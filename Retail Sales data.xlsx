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xcel Dashboards\"/>
    </mc:Choice>
  </mc:AlternateContent>
  <xr:revisionPtr revIDLastSave="0" documentId="13_ncr:1_{956A10F7-7DAE-472D-BB1C-7BB53DC8172D}" xr6:coauthVersionLast="47" xr6:coauthVersionMax="47" xr10:uidLastSave="{00000000-0000-0000-0000-000000000000}"/>
  <bookViews>
    <workbookView xWindow="-108" yWindow="-108" windowWidth="23256" windowHeight="12456" xr2:uid="{00000000-000D-0000-FFFF-FFFF00000000}"/>
  </bookViews>
  <sheets>
    <sheet name="Orders" sheetId="1" r:id="rId1"/>
    <sheet name="Sheet2" sheetId="7" state="hidden" r:id="rId2"/>
    <sheet name="Products" sheetId="2" r:id="rId3"/>
    <sheet name="Customers" sheetId="3" r:id="rId4"/>
    <sheet name="Sheet1" sheetId="10" state="hidden" r:id="rId5"/>
    <sheet name="Sheet4" sheetId="11" state="hidden" r:id="rId6"/>
    <sheet name="Sheet5" sheetId="12" state="hidden" r:id="rId7"/>
    <sheet name="Employees" sheetId="4" r:id="rId8"/>
    <sheet name="Pivot Tables" sheetId="13" r:id="rId9"/>
    <sheet name="DashBoard" sheetId="14" r:id="rId10"/>
  </sheets>
  <definedNames>
    <definedName name="_xlnm._FilterDatabase" localSheetId="3" hidden="1">Customers!$A$1:$E$61</definedName>
    <definedName name="_xlnm._FilterDatabase" localSheetId="7" hidden="1">Employees!$A$1:$E$11</definedName>
    <definedName name="_xlnm._FilterDatabase" localSheetId="0" hidden="1">Orders!$A$1:$R$405</definedName>
    <definedName name="_xlnm._FilterDatabase" localSheetId="2" hidden="1">Products!$A$1:$F$49</definedName>
    <definedName name="Slicer_Category">#N/A</definedName>
    <definedName name="Slicer_Employee_Name">#N/A</definedName>
    <definedName name="Slicer_PaymentMethod">#N/A</definedName>
    <definedName name="Slicer_Region">#N/A</definedName>
  </definedNames>
  <calcPr calcId="191029"/>
  <pivotCaches>
    <pivotCache cacheId="11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9" i="13" l="1"/>
  <c r="C43" i="13"/>
  <c r="C41" i="13"/>
  <c r="C47" i="13" s="1"/>
  <c r="C45" i="13"/>
  <c r="F9" i="1"/>
  <c r="H9" i="1"/>
  <c r="I9" i="1"/>
  <c r="F10" i="1"/>
  <c r="H10" i="1"/>
  <c r="I10" i="1"/>
  <c r="F11" i="1"/>
  <c r="H11" i="1"/>
  <c r="I11" i="1"/>
  <c r="F12" i="1"/>
  <c r="H12" i="1"/>
  <c r="I12" i="1"/>
  <c r="F13" i="1"/>
  <c r="H13" i="1"/>
  <c r="I13" i="1"/>
  <c r="F14" i="1"/>
  <c r="H14" i="1"/>
  <c r="I14" i="1"/>
  <c r="F15" i="1"/>
  <c r="H15" i="1"/>
  <c r="I15" i="1"/>
  <c r="F16" i="1"/>
  <c r="H16" i="1"/>
  <c r="I16" i="1"/>
  <c r="F17" i="1"/>
  <c r="H17" i="1"/>
  <c r="I17" i="1"/>
  <c r="F18" i="1"/>
  <c r="H18" i="1"/>
  <c r="I18" i="1"/>
  <c r="F19" i="1"/>
  <c r="H19" i="1"/>
  <c r="I19" i="1"/>
  <c r="F20" i="1"/>
  <c r="H20" i="1"/>
  <c r="I20" i="1"/>
  <c r="F21" i="1"/>
  <c r="H21" i="1"/>
  <c r="I21" i="1"/>
  <c r="I3" i="1" l="1"/>
  <c r="I4" i="1"/>
  <c r="I5" i="1"/>
  <c r="I6" i="1"/>
  <c r="I7" i="1"/>
  <c r="I8"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2" i="1"/>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3" i="1"/>
  <c r="R334" i="1"/>
  <c r="R335" i="1"/>
  <c r="R336" i="1"/>
  <c r="R337" i="1"/>
  <c r="R338" i="1"/>
  <c r="R339" i="1"/>
  <c r="R340" i="1"/>
  <c r="R341" i="1"/>
  <c r="R342" i="1"/>
  <c r="R343"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5" i="1"/>
  <c r="R404" i="1"/>
  <c r="R128" i="1"/>
  <c r="R332" i="1"/>
  <c r="R344" i="1"/>
  <c r="K209" i="1"/>
  <c r="N209" i="1" s="1"/>
  <c r="O209" i="1" s="1"/>
  <c r="K2" i="1"/>
  <c r="N2" i="1" s="1"/>
  <c r="O2" i="1" s="1"/>
  <c r="K3" i="1"/>
  <c r="N3" i="1" s="1"/>
  <c r="O3" i="1" s="1"/>
  <c r="K4" i="1"/>
  <c r="N4" i="1" s="1"/>
  <c r="O4" i="1" s="1"/>
  <c r="K5" i="1"/>
  <c r="N5" i="1" s="1"/>
  <c r="O5" i="1" s="1"/>
  <c r="K6" i="1"/>
  <c r="N6" i="1" s="1"/>
  <c r="O6" i="1" s="1"/>
  <c r="K7" i="1"/>
  <c r="N7" i="1" s="1"/>
  <c r="O7" i="1" s="1"/>
  <c r="K8" i="1"/>
  <c r="N8" i="1" s="1"/>
  <c r="O8" i="1" s="1"/>
  <c r="K9" i="1"/>
  <c r="N9" i="1" s="1"/>
  <c r="O9" i="1" s="1"/>
  <c r="K10" i="1"/>
  <c r="N10" i="1" s="1"/>
  <c r="O10" i="1" s="1"/>
  <c r="K11" i="1"/>
  <c r="N11" i="1" s="1"/>
  <c r="O11" i="1" s="1"/>
  <c r="K12" i="1"/>
  <c r="N12" i="1" s="1"/>
  <c r="O12" i="1" s="1"/>
  <c r="K13" i="1"/>
  <c r="N13" i="1" s="1"/>
  <c r="O13" i="1" s="1"/>
  <c r="K14" i="1"/>
  <c r="N14" i="1" s="1"/>
  <c r="O14" i="1" s="1"/>
  <c r="K15" i="1"/>
  <c r="N15" i="1" s="1"/>
  <c r="O15" i="1" s="1"/>
  <c r="K16" i="1"/>
  <c r="N16" i="1" s="1"/>
  <c r="O16" i="1" s="1"/>
  <c r="K17" i="1"/>
  <c r="N17" i="1" s="1"/>
  <c r="O17" i="1" s="1"/>
  <c r="K18" i="1"/>
  <c r="N18" i="1" s="1"/>
  <c r="O18" i="1" s="1"/>
  <c r="K19" i="1"/>
  <c r="N19" i="1" s="1"/>
  <c r="O19" i="1" s="1"/>
  <c r="K20" i="1"/>
  <c r="N20" i="1" s="1"/>
  <c r="O20" i="1" s="1"/>
  <c r="K21" i="1"/>
  <c r="N21" i="1" s="1"/>
  <c r="O21" i="1" s="1"/>
  <c r="K22" i="1"/>
  <c r="N22" i="1" s="1"/>
  <c r="O22" i="1" s="1"/>
  <c r="K23" i="1"/>
  <c r="N23" i="1" s="1"/>
  <c r="O23" i="1" s="1"/>
  <c r="K24" i="1"/>
  <c r="N24" i="1" s="1"/>
  <c r="O24" i="1" s="1"/>
  <c r="K25" i="1"/>
  <c r="N25" i="1" s="1"/>
  <c r="O25" i="1" s="1"/>
  <c r="K26" i="1"/>
  <c r="N26" i="1" s="1"/>
  <c r="O26" i="1" s="1"/>
  <c r="K27" i="1"/>
  <c r="N27" i="1" s="1"/>
  <c r="O27" i="1" s="1"/>
  <c r="K28" i="1"/>
  <c r="N28" i="1" s="1"/>
  <c r="O28" i="1" s="1"/>
  <c r="K29" i="1"/>
  <c r="N29" i="1" s="1"/>
  <c r="O29" i="1" s="1"/>
  <c r="K30" i="1"/>
  <c r="N30" i="1" s="1"/>
  <c r="O30" i="1" s="1"/>
  <c r="K31" i="1"/>
  <c r="N31" i="1" s="1"/>
  <c r="O31" i="1" s="1"/>
  <c r="K32" i="1"/>
  <c r="N32" i="1" s="1"/>
  <c r="O32" i="1" s="1"/>
  <c r="K33" i="1"/>
  <c r="N33" i="1" s="1"/>
  <c r="O33" i="1" s="1"/>
  <c r="K34" i="1"/>
  <c r="N34" i="1" s="1"/>
  <c r="O34" i="1" s="1"/>
  <c r="K35" i="1"/>
  <c r="N35" i="1" s="1"/>
  <c r="O35" i="1" s="1"/>
  <c r="K36" i="1"/>
  <c r="N36" i="1" s="1"/>
  <c r="O36" i="1" s="1"/>
  <c r="K37" i="1"/>
  <c r="N37" i="1" s="1"/>
  <c r="O37" i="1" s="1"/>
  <c r="K38" i="1"/>
  <c r="N38" i="1" s="1"/>
  <c r="O38" i="1" s="1"/>
  <c r="K39" i="1"/>
  <c r="N39" i="1" s="1"/>
  <c r="O39" i="1" s="1"/>
  <c r="K40" i="1"/>
  <c r="N40" i="1" s="1"/>
  <c r="O40" i="1" s="1"/>
  <c r="K41" i="1"/>
  <c r="N41" i="1" s="1"/>
  <c r="O41" i="1" s="1"/>
  <c r="K42" i="1"/>
  <c r="N42" i="1" s="1"/>
  <c r="O42" i="1" s="1"/>
  <c r="K43" i="1"/>
  <c r="N43" i="1" s="1"/>
  <c r="O43" i="1" s="1"/>
  <c r="K44" i="1"/>
  <c r="N44" i="1" s="1"/>
  <c r="O44" i="1" s="1"/>
  <c r="K45" i="1"/>
  <c r="N45" i="1" s="1"/>
  <c r="O45" i="1" s="1"/>
  <c r="K46" i="1"/>
  <c r="N46" i="1" s="1"/>
  <c r="O46" i="1" s="1"/>
  <c r="K47" i="1"/>
  <c r="N47" i="1" s="1"/>
  <c r="O47" i="1" s="1"/>
  <c r="K48" i="1"/>
  <c r="N48" i="1" s="1"/>
  <c r="O48" i="1" s="1"/>
  <c r="K49" i="1"/>
  <c r="N49" i="1" s="1"/>
  <c r="O49" i="1" s="1"/>
  <c r="K50" i="1"/>
  <c r="N50" i="1" s="1"/>
  <c r="O50" i="1" s="1"/>
  <c r="K51" i="1"/>
  <c r="N51" i="1" s="1"/>
  <c r="O51" i="1" s="1"/>
  <c r="K52" i="1"/>
  <c r="N52" i="1" s="1"/>
  <c r="O52" i="1" s="1"/>
  <c r="K53" i="1"/>
  <c r="N53" i="1" s="1"/>
  <c r="O53" i="1" s="1"/>
  <c r="K54" i="1"/>
  <c r="N54" i="1" s="1"/>
  <c r="O54" i="1" s="1"/>
  <c r="K55" i="1"/>
  <c r="N55" i="1" s="1"/>
  <c r="O55" i="1" s="1"/>
  <c r="K56" i="1"/>
  <c r="N56" i="1" s="1"/>
  <c r="O56" i="1" s="1"/>
  <c r="K57" i="1"/>
  <c r="N57" i="1" s="1"/>
  <c r="O57" i="1" s="1"/>
  <c r="K58" i="1"/>
  <c r="N58" i="1" s="1"/>
  <c r="O58" i="1" s="1"/>
  <c r="K59" i="1"/>
  <c r="N59" i="1" s="1"/>
  <c r="O59" i="1" s="1"/>
  <c r="K60" i="1"/>
  <c r="N60" i="1" s="1"/>
  <c r="O60" i="1" s="1"/>
  <c r="K61" i="1"/>
  <c r="N61" i="1" s="1"/>
  <c r="O61" i="1" s="1"/>
  <c r="K62" i="1"/>
  <c r="N62" i="1" s="1"/>
  <c r="O62" i="1" s="1"/>
  <c r="K63" i="1"/>
  <c r="N63" i="1" s="1"/>
  <c r="O63" i="1" s="1"/>
  <c r="K64" i="1"/>
  <c r="N64" i="1" s="1"/>
  <c r="O64" i="1" s="1"/>
  <c r="K65" i="1"/>
  <c r="N65" i="1" s="1"/>
  <c r="O65" i="1" s="1"/>
  <c r="K66" i="1"/>
  <c r="N66" i="1" s="1"/>
  <c r="O66" i="1" s="1"/>
  <c r="K67" i="1"/>
  <c r="N67" i="1" s="1"/>
  <c r="O67" i="1" s="1"/>
  <c r="K68" i="1"/>
  <c r="N68" i="1" s="1"/>
  <c r="O68" i="1" s="1"/>
  <c r="K69" i="1"/>
  <c r="N69" i="1" s="1"/>
  <c r="O69" i="1" s="1"/>
  <c r="K70" i="1"/>
  <c r="N70" i="1" s="1"/>
  <c r="O70" i="1" s="1"/>
  <c r="K71" i="1"/>
  <c r="N71" i="1" s="1"/>
  <c r="O71" i="1" s="1"/>
  <c r="K72" i="1"/>
  <c r="N72" i="1" s="1"/>
  <c r="O72" i="1" s="1"/>
  <c r="K73" i="1"/>
  <c r="N73" i="1" s="1"/>
  <c r="O73" i="1" s="1"/>
  <c r="K74" i="1"/>
  <c r="N74" i="1" s="1"/>
  <c r="O74" i="1" s="1"/>
  <c r="K75" i="1"/>
  <c r="N75" i="1" s="1"/>
  <c r="O75" i="1" s="1"/>
  <c r="K76" i="1"/>
  <c r="N76" i="1" s="1"/>
  <c r="O76" i="1" s="1"/>
  <c r="K77" i="1"/>
  <c r="N77" i="1" s="1"/>
  <c r="O77" i="1" s="1"/>
  <c r="K78" i="1"/>
  <c r="N78" i="1" s="1"/>
  <c r="O78" i="1" s="1"/>
  <c r="K79" i="1"/>
  <c r="N79" i="1" s="1"/>
  <c r="O79" i="1" s="1"/>
  <c r="K80" i="1"/>
  <c r="N80" i="1" s="1"/>
  <c r="O80" i="1" s="1"/>
  <c r="K81" i="1"/>
  <c r="N81" i="1" s="1"/>
  <c r="O81" i="1" s="1"/>
  <c r="K82" i="1"/>
  <c r="N82" i="1" s="1"/>
  <c r="O82" i="1" s="1"/>
  <c r="K83" i="1"/>
  <c r="N83" i="1" s="1"/>
  <c r="O83" i="1" s="1"/>
  <c r="K84" i="1"/>
  <c r="N84" i="1" s="1"/>
  <c r="O84" i="1" s="1"/>
  <c r="K85" i="1"/>
  <c r="N85" i="1" s="1"/>
  <c r="O85" i="1" s="1"/>
  <c r="K86" i="1"/>
  <c r="N86" i="1" s="1"/>
  <c r="O86" i="1" s="1"/>
  <c r="K87" i="1"/>
  <c r="N87" i="1" s="1"/>
  <c r="O87" i="1" s="1"/>
  <c r="K88" i="1"/>
  <c r="N88" i="1" s="1"/>
  <c r="O88" i="1" s="1"/>
  <c r="K89" i="1"/>
  <c r="N89" i="1" s="1"/>
  <c r="O89" i="1" s="1"/>
  <c r="K90" i="1"/>
  <c r="N90" i="1" s="1"/>
  <c r="O90" i="1" s="1"/>
  <c r="K91" i="1"/>
  <c r="N91" i="1" s="1"/>
  <c r="O91" i="1" s="1"/>
  <c r="K92" i="1"/>
  <c r="N92" i="1" s="1"/>
  <c r="O92" i="1" s="1"/>
  <c r="K93" i="1"/>
  <c r="N93" i="1" s="1"/>
  <c r="O93" i="1" s="1"/>
  <c r="K94" i="1"/>
  <c r="N94" i="1" s="1"/>
  <c r="O94" i="1" s="1"/>
  <c r="K95" i="1"/>
  <c r="N95" i="1" s="1"/>
  <c r="O95" i="1" s="1"/>
  <c r="K96" i="1"/>
  <c r="N96" i="1" s="1"/>
  <c r="O96" i="1" s="1"/>
  <c r="K97" i="1"/>
  <c r="N97" i="1" s="1"/>
  <c r="O97" i="1" s="1"/>
  <c r="K98" i="1"/>
  <c r="N98" i="1" s="1"/>
  <c r="O98" i="1" s="1"/>
  <c r="K99" i="1"/>
  <c r="N99" i="1" s="1"/>
  <c r="O99" i="1" s="1"/>
  <c r="K100" i="1"/>
  <c r="N100" i="1" s="1"/>
  <c r="O100" i="1" s="1"/>
  <c r="K101" i="1"/>
  <c r="N101" i="1" s="1"/>
  <c r="O101" i="1" s="1"/>
  <c r="K102" i="1"/>
  <c r="N102" i="1" s="1"/>
  <c r="O102" i="1" s="1"/>
  <c r="K103" i="1"/>
  <c r="N103" i="1" s="1"/>
  <c r="O103" i="1" s="1"/>
  <c r="K104" i="1"/>
  <c r="N104" i="1" s="1"/>
  <c r="O104" i="1" s="1"/>
  <c r="K105" i="1"/>
  <c r="N105" i="1" s="1"/>
  <c r="O105" i="1" s="1"/>
  <c r="K106" i="1"/>
  <c r="N106" i="1" s="1"/>
  <c r="O106" i="1" s="1"/>
  <c r="K107" i="1"/>
  <c r="N107" i="1" s="1"/>
  <c r="O107" i="1" s="1"/>
  <c r="K108" i="1"/>
  <c r="N108" i="1" s="1"/>
  <c r="O108" i="1" s="1"/>
  <c r="K109" i="1"/>
  <c r="N109" i="1" s="1"/>
  <c r="O109" i="1" s="1"/>
  <c r="K110" i="1"/>
  <c r="N110" i="1" s="1"/>
  <c r="O110" i="1" s="1"/>
  <c r="K111" i="1"/>
  <c r="N111" i="1" s="1"/>
  <c r="O111" i="1" s="1"/>
  <c r="K112" i="1"/>
  <c r="N112" i="1" s="1"/>
  <c r="O112" i="1" s="1"/>
  <c r="K113" i="1"/>
  <c r="N113" i="1" s="1"/>
  <c r="O113" i="1" s="1"/>
  <c r="K114" i="1"/>
  <c r="N114" i="1" s="1"/>
  <c r="O114" i="1" s="1"/>
  <c r="K115" i="1"/>
  <c r="N115" i="1" s="1"/>
  <c r="O115" i="1" s="1"/>
  <c r="K116" i="1"/>
  <c r="N116" i="1" s="1"/>
  <c r="O116" i="1" s="1"/>
  <c r="K117" i="1"/>
  <c r="N117" i="1" s="1"/>
  <c r="O117" i="1" s="1"/>
  <c r="K118" i="1"/>
  <c r="N118" i="1" s="1"/>
  <c r="O118" i="1" s="1"/>
  <c r="K119" i="1"/>
  <c r="N119" i="1" s="1"/>
  <c r="O119" i="1" s="1"/>
  <c r="K120" i="1"/>
  <c r="N120" i="1" s="1"/>
  <c r="O120" i="1" s="1"/>
  <c r="K121" i="1"/>
  <c r="N121" i="1" s="1"/>
  <c r="O121" i="1" s="1"/>
  <c r="K122" i="1"/>
  <c r="N122" i="1" s="1"/>
  <c r="O122" i="1" s="1"/>
  <c r="K123" i="1"/>
  <c r="N123" i="1" s="1"/>
  <c r="O123" i="1" s="1"/>
  <c r="K124" i="1"/>
  <c r="N124" i="1" s="1"/>
  <c r="O124" i="1" s="1"/>
  <c r="K125" i="1"/>
  <c r="N125" i="1" s="1"/>
  <c r="O125" i="1" s="1"/>
  <c r="K126" i="1"/>
  <c r="N126" i="1" s="1"/>
  <c r="O126" i="1" s="1"/>
  <c r="K127" i="1"/>
  <c r="N127" i="1" s="1"/>
  <c r="O127" i="1" s="1"/>
  <c r="K129" i="1"/>
  <c r="N129" i="1" s="1"/>
  <c r="O129" i="1" s="1"/>
  <c r="K130" i="1"/>
  <c r="N130" i="1" s="1"/>
  <c r="O130" i="1" s="1"/>
  <c r="K131" i="1"/>
  <c r="N131" i="1" s="1"/>
  <c r="O131" i="1" s="1"/>
  <c r="K132" i="1"/>
  <c r="N132" i="1" s="1"/>
  <c r="O132" i="1" s="1"/>
  <c r="K133" i="1"/>
  <c r="N133" i="1" s="1"/>
  <c r="O133" i="1" s="1"/>
  <c r="K134" i="1"/>
  <c r="N134" i="1" s="1"/>
  <c r="O134" i="1" s="1"/>
  <c r="K135" i="1"/>
  <c r="N135" i="1" s="1"/>
  <c r="O135" i="1" s="1"/>
  <c r="K136" i="1"/>
  <c r="N136" i="1" s="1"/>
  <c r="O136" i="1" s="1"/>
  <c r="K137" i="1"/>
  <c r="N137" i="1" s="1"/>
  <c r="O137" i="1" s="1"/>
  <c r="K138" i="1"/>
  <c r="N138" i="1" s="1"/>
  <c r="O138" i="1" s="1"/>
  <c r="K139" i="1"/>
  <c r="N139" i="1" s="1"/>
  <c r="O139" i="1" s="1"/>
  <c r="K140" i="1"/>
  <c r="N140" i="1" s="1"/>
  <c r="O140" i="1" s="1"/>
  <c r="K141" i="1"/>
  <c r="N141" i="1" s="1"/>
  <c r="O141" i="1" s="1"/>
  <c r="K142" i="1"/>
  <c r="N142" i="1" s="1"/>
  <c r="O142" i="1" s="1"/>
  <c r="K143" i="1"/>
  <c r="N143" i="1" s="1"/>
  <c r="O143" i="1" s="1"/>
  <c r="K144" i="1"/>
  <c r="N144" i="1" s="1"/>
  <c r="O144" i="1" s="1"/>
  <c r="K145" i="1"/>
  <c r="N145" i="1" s="1"/>
  <c r="O145" i="1" s="1"/>
  <c r="K146" i="1"/>
  <c r="N146" i="1" s="1"/>
  <c r="O146" i="1" s="1"/>
  <c r="K147" i="1"/>
  <c r="N147" i="1" s="1"/>
  <c r="O147" i="1" s="1"/>
  <c r="K148" i="1"/>
  <c r="N148" i="1" s="1"/>
  <c r="O148" i="1" s="1"/>
  <c r="K149" i="1"/>
  <c r="N149" i="1" s="1"/>
  <c r="O149" i="1" s="1"/>
  <c r="K150" i="1"/>
  <c r="N150" i="1" s="1"/>
  <c r="O150" i="1" s="1"/>
  <c r="K151" i="1"/>
  <c r="N151" i="1" s="1"/>
  <c r="O151" i="1" s="1"/>
  <c r="K152" i="1"/>
  <c r="N152" i="1" s="1"/>
  <c r="O152" i="1" s="1"/>
  <c r="K153" i="1"/>
  <c r="N153" i="1" s="1"/>
  <c r="O153" i="1" s="1"/>
  <c r="K154" i="1"/>
  <c r="N154" i="1" s="1"/>
  <c r="O154" i="1" s="1"/>
  <c r="K155" i="1"/>
  <c r="N155" i="1" s="1"/>
  <c r="O155" i="1" s="1"/>
  <c r="K156" i="1"/>
  <c r="N156" i="1" s="1"/>
  <c r="O156" i="1" s="1"/>
  <c r="K157" i="1"/>
  <c r="N157" i="1" s="1"/>
  <c r="O157" i="1" s="1"/>
  <c r="K158" i="1"/>
  <c r="N158" i="1" s="1"/>
  <c r="O158" i="1" s="1"/>
  <c r="K159" i="1"/>
  <c r="N159" i="1" s="1"/>
  <c r="O159" i="1" s="1"/>
  <c r="K160" i="1"/>
  <c r="N160" i="1" s="1"/>
  <c r="O160" i="1" s="1"/>
  <c r="K161" i="1"/>
  <c r="N161" i="1" s="1"/>
  <c r="O161" i="1" s="1"/>
  <c r="K162" i="1"/>
  <c r="N162" i="1" s="1"/>
  <c r="O162" i="1" s="1"/>
  <c r="K163" i="1"/>
  <c r="N163" i="1" s="1"/>
  <c r="O163" i="1" s="1"/>
  <c r="K164" i="1"/>
  <c r="N164" i="1" s="1"/>
  <c r="O164" i="1" s="1"/>
  <c r="K165" i="1"/>
  <c r="N165" i="1" s="1"/>
  <c r="O165" i="1" s="1"/>
  <c r="K166" i="1"/>
  <c r="N166" i="1" s="1"/>
  <c r="O166" i="1" s="1"/>
  <c r="K167" i="1"/>
  <c r="N167" i="1" s="1"/>
  <c r="O167" i="1" s="1"/>
  <c r="K168" i="1"/>
  <c r="N168" i="1" s="1"/>
  <c r="O168" i="1" s="1"/>
  <c r="K169" i="1"/>
  <c r="N169" i="1" s="1"/>
  <c r="O169" i="1" s="1"/>
  <c r="K170" i="1"/>
  <c r="N170" i="1" s="1"/>
  <c r="O170" i="1" s="1"/>
  <c r="K171" i="1"/>
  <c r="N171" i="1" s="1"/>
  <c r="O171" i="1" s="1"/>
  <c r="K172" i="1"/>
  <c r="N172" i="1" s="1"/>
  <c r="O172" i="1" s="1"/>
  <c r="K173" i="1"/>
  <c r="N173" i="1" s="1"/>
  <c r="O173" i="1" s="1"/>
  <c r="K174" i="1"/>
  <c r="N174" i="1" s="1"/>
  <c r="O174" i="1" s="1"/>
  <c r="K175" i="1"/>
  <c r="N175" i="1" s="1"/>
  <c r="O175" i="1" s="1"/>
  <c r="K176" i="1"/>
  <c r="N176" i="1" s="1"/>
  <c r="O176" i="1" s="1"/>
  <c r="K177" i="1"/>
  <c r="N177" i="1" s="1"/>
  <c r="O177" i="1" s="1"/>
  <c r="K178" i="1"/>
  <c r="N178" i="1" s="1"/>
  <c r="O178" i="1" s="1"/>
  <c r="K179" i="1"/>
  <c r="N179" i="1" s="1"/>
  <c r="O179" i="1" s="1"/>
  <c r="K180" i="1"/>
  <c r="N180" i="1" s="1"/>
  <c r="O180" i="1" s="1"/>
  <c r="K181" i="1"/>
  <c r="N181" i="1" s="1"/>
  <c r="O181" i="1" s="1"/>
  <c r="K182" i="1"/>
  <c r="N182" i="1" s="1"/>
  <c r="O182" i="1" s="1"/>
  <c r="K183" i="1"/>
  <c r="N183" i="1" s="1"/>
  <c r="O183" i="1" s="1"/>
  <c r="K184" i="1"/>
  <c r="N184" i="1" s="1"/>
  <c r="O184" i="1" s="1"/>
  <c r="K185" i="1"/>
  <c r="N185" i="1" s="1"/>
  <c r="O185" i="1" s="1"/>
  <c r="K186" i="1"/>
  <c r="N186" i="1" s="1"/>
  <c r="O186" i="1" s="1"/>
  <c r="K187" i="1"/>
  <c r="N187" i="1" s="1"/>
  <c r="O187" i="1" s="1"/>
  <c r="K188" i="1"/>
  <c r="N188" i="1" s="1"/>
  <c r="O188" i="1" s="1"/>
  <c r="K189" i="1"/>
  <c r="N189" i="1" s="1"/>
  <c r="O189" i="1" s="1"/>
  <c r="K190" i="1"/>
  <c r="N190" i="1" s="1"/>
  <c r="O190" i="1" s="1"/>
  <c r="K191" i="1"/>
  <c r="N191" i="1" s="1"/>
  <c r="O191" i="1" s="1"/>
  <c r="K192" i="1"/>
  <c r="N192" i="1" s="1"/>
  <c r="O192" i="1" s="1"/>
  <c r="K193" i="1"/>
  <c r="N193" i="1" s="1"/>
  <c r="O193" i="1" s="1"/>
  <c r="K194" i="1"/>
  <c r="N194" i="1" s="1"/>
  <c r="O194" i="1" s="1"/>
  <c r="K195" i="1"/>
  <c r="N195" i="1" s="1"/>
  <c r="O195" i="1" s="1"/>
  <c r="K196" i="1"/>
  <c r="N196" i="1" s="1"/>
  <c r="O196" i="1" s="1"/>
  <c r="K197" i="1"/>
  <c r="N197" i="1" s="1"/>
  <c r="O197" i="1" s="1"/>
  <c r="K198" i="1"/>
  <c r="N198" i="1" s="1"/>
  <c r="O198" i="1" s="1"/>
  <c r="K199" i="1"/>
  <c r="N199" i="1" s="1"/>
  <c r="O199" i="1" s="1"/>
  <c r="K200" i="1"/>
  <c r="N200" i="1" s="1"/>
  <c r="O200" i="1" s="1"/>
  <c r="K201" i="1"/>
  <c r="N201" i="1" s="1"/>
  <c r="O201" i="1" s="1"/>
  <c r="K202" i="1"/>
  <c r="N202" i="1" s="1"/>
  <c r="O202" i="1" s="1"/>
  <c r="K203" i="1"/>
  <c r="N203" i="1" s="1"/>
  <c r="O203" i="1" s="1"/>
  <c r="K204" i="1"/>
  <c r="N204" i="1" s="1"/>
  <c r="O204" i="1" s="1"/>
  <c r="K205" i="1"/>
  <c r="N205" i="1" s="1"/>
  <c r="O205" i="1" s="1"/>
  <c r="K206" i="1"/>
  <c r="N206" i="1" s="1"/>
  <c r="O206" i="1" s="1"/>
  <c r="K207" i="1"/>
  <c r="N207" i="1" s="1"/>
  <c r="O207" i="1" s="1"/>
  <c r="K208" i="1"/>
  <c r="N208" i="1" s="1"/>
  <c r="O208" i="1" s="1"/>
  <c r="K210" i="1"/>
  <c r="N210" i="1" s="1"/>
  <c r="O210" i="1" s="1"/>
  <c r="K211" i="1"/>
  <c r="N211" i="1" s="1"/>
  <c r="O211" i="1" s="1"/>
  <c r="K212" i="1"/>
  <c r="N212" i="1" s="1"/>
  <c r="O212" i="1" s="1"/>
  <c r="K213" i="1"/>
  <c r="N213" i="1" s="1"/>
  <c r="O213" i="1" s="1"/>
  <c r="K214" i="1"/>
  <c r="N214" i="1" s="1"/>
  <c r="O214" i="1" s="1"/>
  <c r="K215" i="1"/>
  <c r="N215" i="1" s="1"/>
  <c r="O215" i="1" s="1"/>
  <c r="K216" i="1"/>
  <c r="N216" i="1" s="1"/>
  <c r="O216" i="1" s="1"/>
  <c r="K217" i="1"/>
  <c r="N217" i="1" s="1"/>
  <c r="O217" i="1" s="1"/>
  <c r="K218" i="1"/>
  <c r="N218" i="1" s="1"/>
  <c r="O218" i="1" s="1"/>
  <c r="K219" i="1"/>
  <c r="N219" i="1" s="1"/>
  <c r="O219" i="1" s="1"/>
  <c r="K220" i="1"/>
  <c r="N220" i="1" s="1"/>
  <c r="O220" i="1" s="1"/>
  <c r="K221" i="1"/>
  <c r="N221" i="1" s="1"/>
  <c r="O221" i="1" s="1"/>
  <c r="K222" i="1"/>
  <c r="N222" i="1" s="1"/>
  <c r="O222" i="1" s="1"/>
  <c r="K223" i="1"/>
  <c r="N223" i="1" s="1"/>
  <c r="O223" i="1" s="1"/>
  <c r="K224" i="1"/>
  <c r="N224" i="1" s="1"/>
  <c r="O224" i="1" s="1"/>
  <c r="K225" i="1"/>
  <c r="N225" i="1" s="1"/>
  <c r="O225" i="1" s="1"/>
  <c r="K226" i="1"/>
  <c r="N226" i="1" s="1"/>
  <c r="O226" i="1" s="1"/>
  <c r="K227" i="1"/>
  <c r="N227" i="1" s="1"/>
  <c r="O227" i="1" s="1"/>
  <c r="K228" i="1"/>
  <c r="N228" i="1" s="1"/>
  <c r="O228" i="1" s="1"/>
  <c r="K229" i="1"/>
  <c r="N229" i="1" s="1"/>
  <c r="O229" i="1" s="1"/>
  <c r="K230" i="1"/>
  <c r="N230" i="1" s="1"/>
  <c r="O230" i="1" s="1"/>
  <c r="K231" i="1"/>
  <c r="N231" i="1" s="1"/>
  <c r="O231" i="1" s="1"/>
  <c r="K232" i="1"/>
  <c r="N232" i="1" s="1"/>
  <c r="O232" i="1" s="1"/>
  <c r="K233" i="1"/>
  <c r="N233" i="1" s="1"/>
  <c r="O233" i="1" s="1"/>
  <c r="K234" i="1"/>
  <c r="N234" i="1" s="1"/>
  <c r="O234" i="1" s="1"/>
  <c r="K235" i="1"/>
  <c r="N235" i="1" s="1"/>
  <c r="O235" i="1" s="1"/>
  <c r="K236" i="1"/>
  <c r="N236" i="1" s="1"/>
  <c r="O236" i="1" s="1"/>
  <c r="K237" i="1"/>
  <c r="N237" i="1" s="1"/>
  <c r="O237" i="1" s="1"/>
  <c r="K238" i="1"/>
  <c r="N238" i="1" s="1"/>
  <c r="O238" i="1" s="1"/>
  <c r="K239" i="1"/>
  <c r="N239" i="1" s="1"/>
  <c r="O239" i="1" s="1"/>
  <c r="K240" i="1"/>
  <c r="N240" i="1" s="1"/>
  <c r="O240" i="1" s="1"/>
  <c r="K241" i="1"/>
  <c r="N241" i="1" s="1"/>
  <c r="O241" i="1" s="1"/>
  <c r="K242" i="1"/>
  <c r="N242" i="1" s="1"/>
  <c r="O242" i="1" s="1"/>
  <c r="K243" i="1"/>
  <c r="N243" i="1" s="1"/>
  <c r="O243" i="1" s="1"/>
  <c r="K244" i="1"/>
  <c r="N244" i="1" s="1"/>
  <c r="O244" i="1" s="1"/>
  <c r="K245" i="1"/>
  <c r="N245" i="1" s="1"/>
  <c r="O245" i="1" s="1"/>
  <c r="K246" i="1"/>
  <c r="N246" i="1" s="1"/>
  <c r="O246" i="1" s="1"/>
  <c r="K247" i="1"/>
  <c r="N247" i="1" s="1"/>
  <c r="O247" i="1" s="1"/>
  <c r="K248" i="1"/>
  <c r="N248" i="1" s="1"/>
  <c r="O248" i="1" s="1"/>
  <c r="K249" i="1"/>
  <c r="N249" i="1" s="1"/>
  <c r="O249" i="1" s="1"/>
  <c r="K250" i="1"/>
  <c r="N250" i="1" s="1"/>
  <c r="O250" i="1" s="1"/>
  <c r="K251" i="1"/>
  <c r="N251" i="1" s="1"/>
  <c r="O251" i="1" s="1"/>
  <c r="K252" i="1"/>
  <c r="N252" i="1" s="1"/>
  <c r="O252" i="1" s="1"/>
  <c r="K253" i="1"/>
  <c r="N253" i="1" s="1"/>
  <c r="O253" i="1" s="1"/>
  <c r="K254" i="1"/>
  <c r="N254" i="1" s="1"/>
  <c r="O254" i="1" s="1"/>
  <c r="K255" i="1"/>
  <c r="N255" i="1" s="1"/>
  <c r="O255" i="1" s="1"/>
  <c r="K256" i="1"/>
  <c r="N256" i="1" s="1"/>
  <c r="O256" i="1" s="1"/>
  <c r="K257" i="1"/>
  <c r="N257" i="1" s="1"/>
  <c r="O257" i="1" s="1"/>
  <c r="K258" i="1"/>
  <c r="N258" i="1" s="1"/>
  <c r="O258" i="1" s="1"/>
  <c r="K259" i="1"/>
  <c r="N259" i="1" s="1"/>
  <c r="O259" i="1" s="1"/>
  <c r="K260" i="1"/>
  <c r="N260" i="1" s="1"/>
  <c r="O260" i="1" s="1"/>
  <c r="K261" i="1"/>
  <c r="N261" i="1" s="1"/>
  <c r="O261" i="1" s="1"/>
  <c r="K262" i="1"/>
  <c r="N262" i="1" s="1"/>
  <c r="O262" i="1" s="1"/>
  <c r="K263" i="1"/>
  <c r="N263" i="1" s="1"/>
  <c r="O263" i="1" s="1"/>
  <c r="K264" i="1"/>
  <c r="N264" i="1" s="1"/>
  <c r="O264" i="1" s="1"/>
  <c r="K265" i="1"/>
  <c r="N265" i="1" s="1"/>
  <c r="O265" i="1" s="1"/>
  <c r="K266" i="1"/>
  <c r="N266" i="1" s="1"/>
  <c r="O266" i="1" s="1"/>
  <c r="K267" i="1"/>
  <c r="N267" i="1" s="1"/>
  <c r="O267" i="1" s="1"/>
  <c r="K268" i="1"/>
  <c r="N268" i="1" s="1"/>
  <c r="O268" i="1" s="1"/>
  <c r="K269" i="1"/>
  <c r="N269" i="1" s="1"/>
  <c r="O269" i="1" s="1"/>
  <c r="K270" i="1"/>
  <c r="N270" i="1" s="1"/>
  <c r="O270" i="1" s="1"/>
  <c r="K271" i="1"/>
  <c r="N271" i="1" s="1"/>
  <c r="O271" i="1" s="1"/>
  <c r="K272" i="1"/>
  <c r="N272" i="1" s="1"/>
  <c r="O272" i="1" s="1"/>
  <c r="K273" i="1"/>
  <c r="N273" i="1" s="1"/>
  <c r="O273" i="1" s="1"/>
  <c r="K274" i="1"/>
  <c r="N274" i="1" s="1"/>
  <c r="O274" i="1" s="1"/>
  <c r="K275" i="1"/>
  <c r="N275" i="1" s="1"/>
  <c r="O275" i="1" s="1"/>
  <c r="K276" i="1"/>
  <c r="N276" i="1" s="1"/>
  <c r="O276" i="1" s="1"/>
  <c r="K277" i="1"/>
  <c r="N277" i="1" s="1"/>
  <c r="O277" i="1" s="1"/>
  <c r="K278" i="1"/>
  <c r="N278" i="1" s="1"/>
  <c r="O278" i="1" s="1"/>
  <c r="K279" i="1"/>
  <c r="N279" i="1" s="1"/>
  <c r="O279" i="1" s="1"/>
  <c r="K280" i="1"/>
  <c r="N280" i="1" s="1"/>
  <c r="O280" i="1" s="1"/>
  <c r="K281" i="1"/>
  <c r="N281" i="1" s="1"/>
  <c r="O281" i="1" s="1"/>
  <c r="K282" i="1"/>
  <c r="N282" i="1" s="1"/>
  <c r="O282" i="1" s="1"/>
  <c r="K283" i="1"/>
  <c r="N283" i="1" s="1"/>
  <c r="O283" i="1" s="1"/>
  <c r="K284" i="1"/>
  <c r="N284" i="1" s="1"/>
  <c r="O284" i="1" s="1"/>
  <c r="K285" i="1"/>
  <c r="N285" i="1" s="1"/>
  <c r="O285" i="1" s="1"/>
  <c r="K286" i="1"/>
  <c r="N286" i="1" s="1"/>
  <c r="O286" i="1" s="1"/>
  <c r="K287" i="1"/>
  <c r="N287" i="1" s="1"/>
  <c r="O287" i="1" s="1"/>
  <c r="K288" i="1"/>
  <c r="N288" i="1" s="1"/>
  <c r="O288" i="1" s="1"/>
  <c r="K289" i="1"/>
  <c r="N289" i="1" s="1"/>
  <c r="O289" i="1" s="1"/>
  <c r="K290" i="1"/>
  <c r="N290" i="1" s="1"/>
  <c r="O290" i="1" s="1"/>
  <c r="K291" i="1"/>
  <c r="N291" i="1" s="1"/>
  <c r="O291" i="1" s="1"/>
  <c r="K292" i="1"/>
  <c r="N292" i="1" s="1"/>
  <c r="O292" i="1" s="1"/>
  <c r="K293" i="1"/>
  <c r="N293" i="1" s="1"/>
  <c r="O293" i="1" s="1"/>
  <c r="K294" i="1"/>
  <c r="N294" i="1" s="1"/>
  <c r="O294" i="1" s="1"/>
  <c r="K295" i="1"/>
  <c r="N295" i="1" s="1"/>
  <c r="O295" i="1" s="1"/>
  <c r="K296" i="1"/>
  <c r="N296" i="1" s="1"/>
  <c r="O296" i="1" s="1"/>
  <c r="K297" i="1"/>
  <c r="N297" i="1" s="1"/>
  <c r="O297" i="1" s="1"/>
  <c r="K298" i="1"/>
  <c r="N298" i="1" s="1"/>
  <c r="O298" i="1" s="1"/>
  <c r="K299" i="1"/>
  <c r="N299" i="1" s="1"/>
  <c r="O299" i="1" s="1"/>
  <c r="K300" i="1"/>
  <c r="N300" i="1" s="1"/>
  <c r="O300" i="1" s="1"/>
  <c r="K301" i="1"/>
  <c r="N301" i="1" s="1"/>
  <c r="O301" i="1" s="1"/>
  <c r="K302" i="1"/>
  <c r="N302" i="1" s="1"/>
  <c r="O302" i="1" s="1"/>
  <c r="K303" i="1"/>
  <c r="N303" i="1" s="1"/>
  <c r="O303" i="1" s="1"/>
  <c r="K304" i="1"/>
  <c r="N304" i="1" s="1"/>
  <c r="O304" i="1" s="1"/>
  <c r="K305" i="1"/>
  <c r="N305" i="1" s="1"/>
  <c r="O305" i="1" s="1"/>
  <c r="K306" i="1"/>
  <c r="N306" i="1" s="1"/>
  <c r="O306" i="1" s="1"/>
  <c r="K307" i="1"/>
  <c r="N307" i="1" s="1"/>
  <c r="O307" i="1" s="1"/>
  <c r="K308" i="1"/>
  <c r="N308" i="1" s="1"/>
  <c r="O308" i="1" s="1"/>
  <c r="K309" i="1"/>
  <c r="N309" i="1" s="1"/>
  <c r="O309" i="1" s="1"/>
  <c r="K310" i="1"/>
  <c r="N310" i="1" s="1"/>
  <c r="O310" i="1" s="1"/>
  <c r="K311" i="1"/>
  <c r="N311" i="1" s="1"/>
  <c r="O311" i="1" s="1"/>
  <c r="K312" i="1"/>
  <c r="N312" i="1" s="1"/>
  <c r="O312" i="1" s="1"/>
  <c r="K313" i="1"/>
  <c r="N313" i="1" s="1"/>
  <c r="O313" i="1" s="1"/>
  <c r="K314" i="1"/>
  <c r="N314" i="1" s="1"/>
  <c r="O314" i="1" s="1"/>
  <c r="K315" i="1"/>
  <c r="N315" i="1" s="1"/>
  <c r="O315" i="1" s="1"/>
  <c r="K316" i="1"/>
  <c r="N316" i="1" s="1"/>
  <c r="O316" i="1" s="1"/>
  <c r="K317" i="1"/>
  <c r="N317" i="1" s="1"/>
  <c r="O317" i="1" s="1"/>
  <c r="K318" i="1"/>
  <c r="N318" i="1" s="1"/>
  <c r="O318" i="1" s="1"/>
  <c r="K319" i="1"/>
  <c r="N319" i="1" s="1"/>
  <c r="O319" i="1" s="1"/>
  <c r="K320" i="1"/>
  <c r="N320" i="1" s="1"/>
  <c r="O320" i="1" s="1"/>
  <c r="K321" i="1"/>
  <c r="N321" i="1" s="1"/>
  <c r="O321" i="1" s="1"/>
  <c r="K322" i="1"/>
  <c r="N322" i="1" s="1"/>
  <c r="O322" i="1" s="1"/>
  <c r="K323" i="1"/>
  <c r="N323" i="1" s="1"/>
  <c r="O323" i="1" s="1"/>
  <c r="K324" i="1"/>
  <c r="N324" i="1" s="1"/>
  <c r="O324" i="1" s="1"/>
  <c r="K325" i="1"/>
  <c r="N325" i="1" s="1"/>
  <c r="O325" i="1" s="1"/>
  <c r="K326" i="1"/>
  <c r="N326" i="1" s="1"/>
  <c r="O326" i="1" s="1"/>
  <c r="K327" i="1"/>
  <c r="N327" i="1" s="1"/>
  <c r="O327" i="1" s="1"/>
  <c r="K328" i="1"/>
  <c r="N328" i="1" s="1"/>
  <c r="O328" i="1" s="1"/>
  <c r="K329" i="1"/>
  <c r="N329" i="1" s="1"/>
  <c r="O329" i="1" s="1"/>
  <c r="K330" i="1"/>
  <c r="N330" i="1" s="1"/>
  <c r="O330" i="1" s="1"/>
  <c r="K331" i="1"/>
  <c r="N331" i="1" s="1"/>
  <c r="O331" i="1" s="1"/>
  <c r="K333" i="1"/>
  <c r="N333" i="1" s="1"/>
  <c r="O333" i="1" s="1"/>
  <c r="K334" i="1"/>
  <c r="N334" i="1" s="1"/>
  <c r="O334" i="1" s="1"/>
  <c r="K335" i="1"/>
  <c r="N335" i="1" s="1"/>
  <c r="O335" i="1" s="1"/>
  <c r="K336" i="1"/>
  <c r="N336" i="1" s="1"/>
  <c r="O336" i="1" s="1"/>
  <c r="K337" i="1"/>
  <c r="N337" i="1" s="1"/>
  <c r="O337" i="1" s="1"/>
  <c r="K338" i="1"/>
  <c r="N338" i="1" s="1"/>
  <c r="O338" i="1" s="1"/>
  <c r="K339" i="1"/>
  <c r="N339" i="1" s="1"/>
  <c r="O339" i="1" s="1"/>
  <c r="K340" i="1"/>
  <c r="N340" i="1" s="1"/>
  <c r="O340" i="1" s="1"/>
  <c r="K341" i="1"/>
  <c r="N341" i="1" s="1"/>
  <c r="O341" i="1" s="1"/>
  <c r="K342" i="1"/>
  <c r="N342" i="1" s="1"/>
  <c r="O342" i="1" s="1"/>
  <c r="K343" i="1"/>
  <c r="N343" i="1" s="1"/>
  <c r="O343" i="1" s="1"/>
  <c r="K345" i="1"/>
  <c r="N345" i="1" s="1"/>
  <c r="O345" i="1" s="1"/>
  <c r="K346" i="1"/>
  <c r="N346" i="1" s="1"/>
  <c r="O346" i="1" s="1"/>
  <c r="K347" i="1"/>
  <c r="N347" i="1" s="1"/>
  <c r="O347" i="1" s="1"/>
  <c r="K348" i="1"/>
  <c r="N348" i="1" s="1"/>
  <c r="O348" i="1" s="1"/>
  <c r="K349" i="1"/>
  <c r="N349" i="1" s="1"/>
  <c r="O349" i="1" s="1"/>
  <c r="K350" i="1"/>
  <c r="N350" i="1" s="1"/>
  <c r="O350" i="1" s="1"/>
  <c r="K351" i="1"/>
  <c r="N351" i="1" s="1"/>
  <c r="O351" i="1" s="1"/>
  <c r="K352" i="1"/>
  <c r="N352" i="1" s="1"/>
  <c r="O352" i="1" s="1"/>
  <c r="K353" i="1"/>
  <c r="N353" i="1" s="1"/>
  <c r="O353" i="1" s="1"/>
  <c r="K354" i="1"/>
  <c r="N354" i="1" s="1"/>
  <c r="O354" i="1" s="1"/>
  <c r="K355" i="1"/>
  <c r="N355" i="1" s="1"/>
  <c r="O355" i="1" s="1"/>
  <c r="K356" i="1"/>
  <c r="N356" i="1" s="1"/>
  <c r="O356" i="1" s="1"/>
  <c r="K357" i="1"/>
  <c r="N357" i="1" s="1"/>
  <c r="O357" i="1" s="1"/>
  <c r="K358" i="1"/>
  <c r="N358" i="1" s="1"/>
  <c r="O358" i="1" s="1"/>
  <c r="K359" i="1"/>
  <c r="N359" i="1" s="1"/>
  <c r="O359" i="1" s="1"/>
  <c r="K360" i="1"/>
  <c r="N360" i="1" s="1"/>
  <c r="O360" i="1" s="1"/>
  <c r="K361" i="1"/>
  <c r="N361" i="1" s="1"/>
  <c r="O361" i="1" s="1"/>
  <c r="K362" i="1"/>
  <c r="N362" i="1" s="1"/>
  <c r="O362" i="1" s="1"/>
  <c r="K363" i="1"/>
  <c r="N363" i="1" s="1"/>
  <c r="O363" i="1" s="1"/>
  <c r="K364" i="1"/>
  <c r="N364" i="1" s="1"/>
  <c r="O364" i="1" s="1"/>
  <c r="K365" i="1"/>
  <c r="N365" i="1" s="1"/>
  <c r="O365" i="1" s="1"/>
  <c r="K366" i="1"/>
  <c r="N366" i="1" s="1"/>
  <c r="O366" i="1" s="1"/>
  <c r="K367" i="1"/>
  <c r="N367" i="1" s="1"/>
  <c r="O367" i="1" s="1"/>
  <c r="K368" i="1"/>
  <c r="N368" i="1" s="1"/>
  <c r="O368" i="1" s="1"/>
  <c r="K369" i="1"/>
  <c r="N369" i="1" s="1"/>
  <c r="O369" i="1" s="1"/>
  <c r="K370" i="1"/>
  <c r="N370" i="1" s="1"/>
  <c r="O370" i="1" s="1"/>
  <c r="K371" i="1"/>
  <c r="N371" i="1" s="1"/>
  <c r="O371" i="1" s="1"/>
  <c r="K372" i="1"/>
  <c r="N372" i="1" s="1"/>
  <c r="O372" i="1" s="1"/>
  <c r="K373" i="1"/>
  <c r="N373" i="1" s="1"/>
  <c r="O373" i="1" s="1"/>
  <c r="K374" i="1"/>
  <c r="N374" i="1" s="1"/>
  <c r="O374" i="1" s="1"/>
  <c r="K375" i="1"/>
  <c r="N375" i="1" s="1"/>
  <c r="O375" i="1" s="1"/>
  <c r="K376" i="1"/>
  <c r="N376" i="1" s="1"/>
  <c r="O376" i="1" s="1"/>
  <c r="K377" i="1"/>
  <c r="N377" i="1" s="1"/>
  <c r="O377" i="1" s="1"/>
  <c r="K378" i="1"/>
  <c r="N378" i="1" s="1"/>
  <c r="O378" i="1" s="1"/>
  <c r="K379" i="1"/>
  <c r="N379" i="1" s="1"/>
  <c r="O379" i="1" s="1"/>
  <c r="K380" i="1"/>
  <c r="N380" i="1" s="1"/>
  <c r="O380" i="1" s="1"/>
  <c r="K381" i="1"/>
  <c r="N381" i="1" s="1"/>
  <c r="O381" i="1" s="1"/>
  <c r="K382" i="1"/>
  <c r="N382" i="1" s="1"/>
  <c r="O382" i="1" s="1"/>
  <c r="K383" i="1"/>
  <c r="N383" i="1" s="1"/>
  <c r="O383" i="1" s="1"/>
  <c r="K384" i="1"/>
  <c r="N384" i="1" s="1"/>
  <c r="O384" i="1" s="1"/>
  <c r="K385" i="1"/>
  <c r="N385" i="1" s="1"/>
  <c r="O385" i="1" s="1"/>
  <c r="K386" i="1"/>
  <c r="N386" i="1" s="1"/>
  <c r="O386" i="1" s="1"/>
  <c r="K387" i="1"/>
  <c r="N387" i="1" s="1"/>
  <c r="O387" i="1" s="1"/>
  <c r="K388" i="1"/>
  <c r="N388" i="1" s="1"/>
  <c r="O388" i="1" s="1"/>
  <c r="K389" i="1"/>
  <c r="N389" i="1" s="1"/>
  <c r="O389" i="1" s="1"/>
  <c r="K390" i="1"/>
  <c r="N390" i="1" s="1"/>
  <c r="O390" i="1" s="1"/>
  <c r="K391" i="1"/>
  <c r="N391" i="1" s="1"/>
  <c r="O391" i="1" s="1"/>
  <c r="K392" i="1"/>
  <c r="N392" i="1" s="1"/>
  <c r="O392" i="1" s="1"/>
  <c r="K393" i="1"/>
  <c r="N393" i="1" s="1"/>
  <c r="O393" i="1" s="1"/>
  <c r="K394" i="1"/>
  <c r="N394" i="1" s="1"/>
  <c r="O394" i="1" s="1"/>
  <c r="K395" i="1"/>
  <c r="N395" i="1" s="1"/>
  <c r="O395" i="1" s="1"/>
  <c r="K396" i="1"/>
  <c r="N396" i="1" s="1"/>
  <c r="O396" i="1" s="1"/>
  <c r="K397" i="1"/>
  <c r="N397" i="1" s="1"/>
  <c r="O397" i="1" s="1"/>
  <c r="K398" i="1"/>
  <c r="N398" i="1" s="1"/>
  <c r="O398" i="1" s="1"/>
  <c r="K399" i="1"/>
  <c r="N399" i="1" s="1"/>
  <c r="O399" i="1" s="1"/>
  <c r="K400" i="1"/>
  <c r="N400" i="1" s="1"/>
  <c r="O400" i="1" s="1"/>
  <c r="K401" i="1"/>
  <c r="N401" i="1" s="1"/>
  <c r="O401" i="1" s="1"/>
  <c r="K402" i="1"/>
  <c r="N402" i="1" s="1"/>
  <c r="O402" i="1" s="1"/>
  <c r="K403" i="1"/>
  <c r="N403" i="1" s="1"/>
  <c r="O403" i="1" s="1"/>
  <c r="K405" i="1"/>
  <c r="N405" i="1" s="1"/>
  <c r="O405" i="1" s="1"/>
  <c r="K404" i="1"/>
  <c r="N404" i="1" s="1"/>
  <c r="O404" i="1" s="1"/>
  <c r="K128" i="1"/>
  <c r="N128" i="1" s="1"/>
  <c r="O128" i="1" s="1"/>
  <c r="K332" i="1"/>
  <c r="N332" i="1" s="1"/>
  <c r="O332" i="1" s="1"/>
  <c r="K344" i="1"/>
  <c r="N344" i="1" s="1"/>
  <c r="O344" i="1" s="1"/>
  <c r="F2" i="1"/>
  <c r="H2" i="1"/>
  <c r="H3" i="1"/>
  <c r="H4" i="1"/>
  <c r="H5" i="1"/>
  <c r="H6" i="1"/>
  <c r="H7" i="1"/>
  <c r="H8"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3" i="1"/>
  <c r="H334" i="1"/>
  <c r="H335" i="1"/>
  <c r="H336" i="1"/>
  <c r="H337" i="1"/>
  <c r="H338" i="1"/>
  <c r="H339" i="1"/>
  <c r="H340" i="1"/>
  <c r="H341" i="1"/>
  <c r="H342" i="1"/>
  <c r="H343"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5" i="1"/>
  <c r="H404" i="1"/>
  <c r="H128" i="1"/>
  <c r="H332" i="1"/>
  <c r="H344" i="1"/>
  <c r="F3" i="1"/>
  <c r="F4" i="1"/>
  <c r="F5" i="1"/>
  <c r="F6" i="1"/>
  <c r="F7" i="1"/>
  <c r="F8"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3" i="1"/>
  <c r="F334" i="1"/>
  <c r="F335" i="1"/>
  <c r="F336" i="1"/>
  <c r="F337" i="1"/>
  <c r="F338" i="1"/>
  <c r="F339" i="1"/>
  <c r="F340" i="1"/>
  <c r="F341" i="1"/>
  <c r="F342" i="1"/>
  <c r="F343"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5" i="1"/>
  <c r="F404" i="1"/>
  <c r="F128" i="1"/>
  <c r="F332" i="1"/>
  <c r="F344" i="1"/>
</calcChain>
</file>

<file path=xl/sharedStrings.xml><?xml version="1.0" encoding="utf-8"?>
<sst xmlns="http://schemas.openxmlformats.org/spreadsheetml/2006/main" count="14970" uniqueCount="1175">
  <si>
    <t>OrderID</t>
  </si>
  <si>
    <t>OrderDate</t>
  </si>
  <si>
    <t>CustomerID</t>
  </si>
  <si>
    <t>ProductID</t>
  </si>
  <si>
    <t>EmployeeID</t>
  </si>
  <si>
    <t>Region</t>
  </si>
  <si>
    <t>Quantity</t>
  </si>
  <si>
    <t>Discount</t>
  </si>
  <si>
    <t>ShipDate</t>
  </si>
  <si>
    <t>PaymentMethod</t>
  </si>
  <si>
    <t>O0001</t>
  </si>
  <si>
    <t>2025-03-22</t>
  </si>
  <si>
    <t>C042</t>
  </si>
  <si>
    <t>P028</t>
  </si>
  <si>
    <t>E04</t>
  </si>
  <si>
    <t>North</t>
  </si>
  <si>
    <t>2025-03-31</t>
  </si>
  <si>
    <t>Cash on Delivery</t>
  </si>
  <si>
    <t>O0002</t>
  </si>
  <si>
    <t>C029</t>
  </si>
  <si>
    <t>P016</t>
  </si>
  <si>
    <t>E01</t>
  </si>
  <si>
    <t>South</t>
  </si>
  <si>
    <t>2025-03-23</t>
  </si>
  <si>
    <t>Credit Card</t>
  </si>
  <si>
    <t>O0003</t>
  </si>
  <si>
    <t>2024-11-03</t>
  </si>
  <si>
    <t>C013</t>
  </si>
  <si>
    <t>P014</t>
  </si>
  <si>
    <t>2024-11-10</t>
  </si>
  <si>
    <t>Debit Card</t>
  </si>
  <si>
    <t>O0004</t>
  </si>
  <si>
    <t>C044</t>
  </si>
  <si>
    <t>P044</t>
  </si>
  <si>
    <t>E03</t>
  </si>
  <si>
    <t>East</t>
  </si>
  <si>
    <t>2024-11-02</t>
  </si>
  <si>
    <t>O0005</t>
  </si>
  <si>
    <t>2024-06-27</t>
  </si>
  <si>
    <t>C021</t>
  </si>
  <si>
    <t>P041</t>
  </si>
  <si>
    <t>2024-07-02</t>
  </si>
  <si>
    <t>Net Banking</t>
  </si>
  <si>
    <t>O0006</t>
  </si>
  <si>
    <t>P026</t>
  </si>
  <si>
    <t>E09</t>
  </si>
  <si>
    <t>2024-01-05</t>
  </si>
  <si>
    <t>O0007</t>
  </si>
  <si>
    <t>2024-11-25</t>
  </si>
  <si>
    <t>C040</t>
  </si>
  <si>
    <t>P048</t>
  </si>
  <si>
    <t>2024-12-03</t>
  </si>
  <si>
    <t>O0008</t>
  </si>
  <si>
    <t>C041</t>
  </si>
  <si>
    <t>P009</t>
  </si>
  <si>
    <t>2025-05-01</t>
  </si>
  <si>
    <t>O0009</t>
  </si>
  <si>
    <t>2024-12-09</t>
  </si>
  <si>
    <t>C032</t>
  </si>
  <si>
    <t>2024-12-13</t>
  </si>
  <si>
    <t>UPI</t>
  </si>
  <si>
    <t>O0010</t>
  </si>
  <si>
    <t>2024-07-22</t>
  </si>
  <si>
    <t>2024-07-23</t>
  </si>
  <si>
    <t>O0011</t>
  </si>
  <si>
    <t>2024-03-15</t>
  </si>
  <si>
    <t>C008</t>
  </si>
  <si>
    <t>P038</t>
  </si>
  <si>
    <t>2024-03-25</t>
  </si>
  <si>
    <t>O0012</t>
  </si>
  <si>
    <t>2025-05-21</t>
  </si>
  <si>
    <t>C017</t>
  </si>
  <si>
    <t>P033</t>
  </si>
  <si>
    <t>West</t>
  </si>
  <si>
    <t>2025-05-24</t>
  </si>
  <si>
    <t>O0013</t>
  </si>
  <si>
    <t>2025-03-11</t>
  </si>
  <si>
    <t>P003</t>
  </si>
  <si>
    <t>2025-03-20</t>
  </si>
  <si>
    <t>O0014</t>
  </si>
  <si>
    <t>C051</t>
  </si>
  <si>
    <t>P005</t>
  </si>
  <si>
    <t>E02</t>
  </si>
  <si>
    <t>2024-09-15</t>
  </si>
  <si>
    <t>O0015</t>
  </si>
  <si>
    <t>P046</t>
  </si>
  <si>
    <t>2024-11-29</t>
  </si>
  <si>
    <t>O0016</t>
  </si>
  <si>
    <t>2025-04-01</t>
  </si>
  <si>
    <t>C056</t>
  </si>
  <si>
    <t>P019</t>
  </si>
  <si>
    <t>2025-04-09</t>
  </si>
  <si>
    <t>O0017</t>
  </si>
  <si>
    <t>2024-09-10</t>
  </si>
  <si>
    <t>P047</t>
  </si>
  <si>
    <t>2024-09-19</t>
  </si>
  <si>
    <t>O0018</t>
  </si>
  <si>
    <t>2024-10-08</t>
  </si>
  <si>
    <t>C043</t>
  </si>
  <si>
    <t>P001</t>
  </si>
  <si>
    <t>2024-10-13</t>
  </si>
  <si>
    <t>O0019</t>
  </si>
  <si>
    <t>C038</t>
  </si>
  <si>
    <t>2024-12-11</t>
  </si>
  <si>
    <t>O0020</t>
  </si>
  <si>
    <t>C001</t>
  </si>
  <si>
    <t>P012</t>
  </si>
  <si>
    <t>2024-08-27</t>
  </si>
  <si>
    <t>O0021</t>
  </si>
  <si>
    <t>2025-02-28</t>
  </si>
  <si>
    <t>C055</t>
  </si>
  <si>
    <t>P042</t>
  </si>
  <si>
    <t>2025-03-09</t>
  </si>
  <si>
    <t>O0022</t>
  </si>
  <si>
    <t>2024-03-04</t>
  </si>
  <si>
    <t>C024</t>
  </si>
  <si>
    <t>P010</t>
  </si>
  <si>
    <t>2024-03-11</t>
  </si>
  <si>
    <t>O0023</t>
  </si>
  <si>
    <t>2024-01-21</t>
  </si>
  <si>
    <t>C022</t>
  </si>
  <si>
    <t>P022</t>
  </si>
  <si>
    <t>2024-01-29</t>
  </si>
  <si>
    <t>O0024</t>
  </si>
  <si>
    <t>C006</t>
  </si>
  <si>
    <t>P043</t>
  </si>
  <si>
    <t>2024-11-08</t>
  </si>
  <si>
    <t>O0025</t>
  </si>
  <si>
    <t>2024-08-12</t>
  </si>
  <si>
    <t>C009</t>
  </si>
  <si>
    <t>P027</t>
  </si>
  <si>
    <t>2024-08-20</t>
  </si>
  <si>
    <t>O0026</t>
  </si>
  <si>
    <t>2024-12-10</t>
  </si>
  <si>
    <t>C048</t>
  </si>
  <si>
    <t>O0027</t>
  </si>
  <si>
    <t>2024-01-28</t>
  </si>
  <si>
    <t>C003</t>
  </si>
  <si>
    <t>2024-02-07</t>
  </si>
  <si>
    <t>O0028</t>
  </si>
  <si>
    <t>2025-03-14</t>
  </si>
  <si>
    <t>C023</t>
  </si>
  <si>
    <t>O0029</t>
  </si>
  <si>
    <t>2024-09-23</t>
  </si>
  <si>
    <t>C007</t>
  </si>
  <si>
    <t>P017</t>
  </si>
  <si>
    <t>2024-09-27</t>
  </si>
  <si>
    <t>O0030</t>
  </si>
  <si>
    <t>P045</t>
  </si>
  <si>
    <t>2024-12-18</t>
  </si>
  <si>
    <t>O0031</t>
  </si>
  <si>
    <t>2025-04-26</t>
  </si>
  <si>
    <t>C002</t>
  </si>
  <si>
    <t>P031</t>
  </si>
  <si>
    <t>2025-05-05</t>
  </si>
  <si>
    <t>O0032</t>
  </si>
  <si>
    <t>2024-08-17</t>
  </si>
  <si>
    <t>C050</t>
  </si>
  <si>
    <t>2024-08-18</t>
  </si>
  <si>
    <t>O0033</t>
  </si>
  <si>
    <t>C026</t>
  </si>
  <si>
    <t>P021</t>
  </si>
  <si>
    <t>2024-07-26</t>
  </si>
  <si>
    <t>O0034</t>
  </si>
  <si>
    <t>P036</t>
  </si>
  <si>
    <t>2025-05-03</t>
  </si>
  <si>
    <t>O0035</t>
  </si>
  <si>
    <t>2025-01-12</t>
  </si>
  <si>
    <t>C031</t>
  </si>
  <si>
    <t>2025-01-22</t>
  </si>
  <si>
    <t>O0036</t>
  </si>
  <si>
    <t>C030</t>
  </si>
  <si>
    <t>P015</t>
  </si>
  <si>
    <t>2024-11-15</t>
  </si>
  <si>
    <t>O0037</t>
  </si>
  <si>
    <t>2025-01-19</t>
  </si>
  <si>
    <t>C045</t>
  </si>
  <si>
    <t>2025-01-23</t>
  </si>
  <si>
    <t>O0038</t>
  </si>
  <si>
    <t>2024-09-05</t>
  </si>
  <si>
    <t>C016</t>
  </si>
  <si>
    <t>O0039</t>
  </si>
  <si>
    <t>2024-02-19</t>
  </si>
  <si>
    <t>O0040</t>
  </si>
  <si>
    <t>2025-06-09</t>
  </si>
  <si>
    <t>O0041</t>
  </si>
  <si>
    <t>2025-03-19</t>
  </si>
  <si>
    <t>C005</t>
  </si>
  <si>
    <t>2025-03-27</t>
  </si>
  <si>
    <t>O0042</t>
  </si>
  <si>
    <t>C059</t>
  </si>
  <si>
    <t>2024-07-04</t>
  </si>
  <si>
    <t>O0043</t>
  </si>
  <si>
    <t>2025-03-28</t>
  </si>
  <si>
    <t>O0044</t>
  </si>
  <si>
    <t>2024-10-12</t>
  </si>
  <si>
    <t>P004</t>
  </si>
  <si>
    <t>2024-10-20</t>
  </si>
  <si>
    <t>O0045</t>
  </si>
  <si>
    <t>C035</t>
  </si>
  <si>
    <t>2024-02-05</t>
  </si>
  <si>
    <t>O0046</t>
  </si>
  <si>
    <t>C039</t>
  </si>
  <si>
    <t>2024-08-10</t>
  </si>
  <si>
    <t>O0047</t>
  </si>
  <si>
    <t>2024-10-09</t>
  </si>
  <si>
    <t>P006</t>
  </si>
  <si>
    <t>2024-10-18</t>
  </si>
  <si>
    <t>O0048</t>
  </si>
  <si>
    <t>C011</t>
  </si>
  <si>
    <t>P029</t>
  </si>
  <si>
    <t>2024-09-13</t>
  </si>
  <si>
    <t>O0049</t>
  </si>
  <si>
    <t>2025-05-17</t>
  </si>
  <si>
    <t>C053</t>
  </si>
  <si>
    <t>2025-05-18</t>
  </si>
  <si>
    <t>O0050</t>
  </si>
  <si>
    <t>2024-08-14</t>
  </si>
  <si>
    <t>C027</t>
  </si>
  <si>
    <t>O0051</t>
  </si>
  <si>
    <t>2025-01-21</t>
  </si>
  <si>
    <t>O0052</t>
  </si>
  <si>
    <t>2024-12-04</t>
  </si>
  <si>
    <t>2024-12-12</t>
  </si>
  <si>
    <t>O0053</t>
  </si>
  <si>
    <t>2024-09-14</t>
  </si>
  <si>
    <t>P020</t>
  </si>
  <si>
    <t>2024-09-18</t>
  </si>
  <si>
    <t>O0054</t>
  </si>
  <si>
    <t>C052</t>
  </si>
  <si>
    <t>2024-07-16</t>
  </si>
  <si>
    <t>O0055</t>
  </si>
  <si>
    <t>2025-06-23</t>
  </si>
  <si>
    <t>O0056</t>
  </si>
  <si>
    <t>C037</t>
  </si>
  <si>
    <t>2024-08-25</t>
  </si>
  <si>
    <t>O0057</t>
  </si>
  <si>
    <t>2024-05-09</t>
  </si>
  <si>
    <t>2024-05-10</t>
  </si>
  <si>
    <t>O0058</t>
  </si>
  <si>
    <t>P034</t>
  </si>
  <si>
    <t>O0059</t>
  </si>
  <si>
    <t>2025-05-08</t>
  </si>
  <si>
    <t>O0060</t>
  </si>
  <si>
    <t>2025-05-04</t>
  </si>
  <si>
    <t>C015</t>
  </si>
  <si>
    <t>2025-05-06</t>
  </si>
  <si>
    <t>O0061</t>
  </si>
  <si>
    <t>2024-03-16</t>
  </si>
  <si>
    <t>P011</t>
  </si>
  <si>
    <t>2024-03-17</t>
  </si>
  <si>
    <t>O0062</t>
  </si>
  <si>
    <t>2024-11-07</t>
  </si>
  <si>
    <t>C047</t>
  </si>
  <si>
    <t>P032</t>
  </si>
  <si>
    <t>2024-11-09</t>
  </si>
  <si>
    <t>O0063</t>
  </si>
  <si>
    <t>2024-08-19</t>
  </si>
  <si>
    <t>O0064</t>
  </si>
  <si>
    <t>2025-03-15</t>
  </si>
  <si>
    <t>P013</t>
  </si>
  <si>
    <t>2025-03-25</t>
  </si>
  <si>
    <t>O0065</t>
  </si>
  <si>
    <t>2024-04-11</t>
  </si>
  <si>
    <t>2024-04-15</t>
  </si>
  <si>
    <t>O0066</t>
  </si>
  <si>
    <t>2024-06-09</t>
  </si>
  <si>
    <t>P030</t>
  </si>
  <si>
    <t>2024-06-18</t>
  </si>
  <si>
    <t>O0067</t>
  </si>
  <si>
    <t>2024-01-13</t>
  </si>
  <si>
    <t>O0068</t>
  </si>
  <si>
    <t>2024-02-03</t>
  </si>
  <si>
    <t>C057</t>
  </si>
  <si>
    <t>2024-02-08</t>
  </si>
  <si>
    <t>O0069</t>
  </si>
  <si>
    <t>2024-09-06</t>
  </si>
  <si>
    <t>O0070</t>
  </si>
  <si>
    <t>2024-04-27</t>
  </si>
  <si>
    <t>C033</t>
  </si>
  <si>
    <t>2024-04-30</t>
  </si>
  <si>
    <t>O0071</t>
  </si>
  <si>
    <t>2024-03-19</t>
  </si>
  <si>
    <t>O0072</t>
  </si>
  <si>
    <t>2024-05-07</t>
  </si>
  <si>
    <t>2024-05-12</t>
  </si>
  <si>
    <t>O0073</t>
  </si>
  <si>
    <t>2025-05-27</t>
  </si>
  <si>
    <t>2025-06-04</t>
  </si>
  <si>
    <t>O0074</t>
  </si>
  <si>
    <t>2024-02-10</t>
  </si>
  <si>
    <t>C020</t>
  </si>
  <si>
    <t>2024-02-16</t>
  </si>
  <si>
    <t>O0075</t>
  </si>
  <si>
    <t>2024-04-03</t>
  </si>
  <si>
    <t>2024-04-13</t>
  </si>
  <si>
    <t>O0076</t>
  </si>
  <si>
    <t>2024-02-11</t>
  </si>
  <si>
    <t>2024-02-20</t>
  </si>
  <si>
    <t>O0077</t>
  </si>
  <si>
    <t>P018</t>
  </si>
  <si>
    <t>2024-07-12</t>
  </si>
  <si>
    <t>O0078</t>
  </si>
  <si>
    <t>2024-12-22</t>
  </si>
  <si>
    <t>P008</t>
  </si>
  <si>
    <t>2024-12-28</t>
  </si>
  <si>
    <t>O0079</t>
  </si>
  <si>
    <t>O0080</t>
  </si>
  <si>
    <t>2024-02-13</t>
  </si>
  <si>
    <t>O0081</t>
  </si>
  <si>
    <t>2024-04-28</t>
  </si>
  <si>
    <t>C054</t>
  </si>
  <si>
    <t>O0082</t>
  </si>
  <si>
    <t>2025-04-18</t>
  </si>
  <si>
    <t>2025-04-22</t>
  </si>
  <si>
    <t>O0083</t>
  </si>
  <si>
    <t>P023</t>
  </si>
  <si>
    <t>2025-05-26</t>
  </si>
  <si>
    <t>O0084</t>
  </si>
  <si>
    <t>2024-05-14</t>
  </si>
  <si>
    <t>2024-05-22</t>
  </si>
  <si>
    <t>O0085</t>
  </si>
  <si>
    <t>2024-09-02</t>
  </si>
  <si>
    <t>2024-09-11</t>
  </si>
  <si>
    <t>O0086</t>
  </si>
  <si>
    <t>2025-02-23</t>
  </si>
  <si>
    <t>O0087</t>
  </si>
  <si>
    <t>2024-06-11</t>
  </si>
  <si>
    <t>O0088</t>
  </si>
  <si>
    <t>O0089</t>
  </si>
  <si>
    <t>2024-07-14</t>
  </si>
  <si>
    <t>C028</t>
  </si>
  <si>
    <t>2024-07-17</t>
  </si>
  <si>
    <t>O0090</t>
  </si>
  <si>
    <t>O0091</t>
  </si>
  <si>
    <t>2024-10-26</t>
  </si>
  <si>
    <t>O0092</t>
  </si>
  <si>
    <t>2025-04-02</t>
  </si>
  <si>
    <t>2025-04-08</t>
  </si>
  <si>
    <t>O0093</t>
  </si>
  <si>
    <t>2025-01-25</t>
  </si>
  <si>
    <t>O0094</t>
  </si>
  <si>
    <t>2025-01-27</t>
  </si>
  <si>
    <t>2025-02-03</t>
  </si>
  <si>
    <t>O0095</t>
  </si>
  <si>
    <t>P040</t>
  </si>
  <si>
    <t>2025-05-02</t>
  </si>
  <si>
    <t>O0096</t>
  </si>
  <si>
    <t>2024-05-15</t>
  </si>
  <si>
    <t>O0097</t>
  </si>
  <si>
    <t>2024-04-12</t>
  </si>
  <si>
    <t>O0098</t>
  </si>
  <si>
    <t>2024-06-07</t>
  </si>
  <si>
    <t>2024-06-12</t>
  </si>
  <si>
    <t>O0099</t>
  </si>
  <si>
    <t>2025-02-11</t>
  </si>
  <si>
    <t>C012</t>
  </si>
  <si>
    <t>2025-02-17</t>
  </si>
  <si>
    <t>O0100</t>
  </si>
  <si>
    <t>2025-05-14</t>
  </si>
  <si>
    <t>O0101</t>
  </si>
  <si>
    <t>2024-10-23</t>
  </si>
  <si>
    <t>O0102</t>
  </si>
  <si>
    <t>2024-04-17</t>
  </si>
  <si>
    <t>O0103</t>
  </si>
  <si>
    <t>2024-11-28</t>
  </si>
  <si>
    <t>O0104</t>
  </si>
  <si>
    <t>2024-05-29</t>
  </si>
  <si>
    <t>2024-06-05</t>
  </si>
  <si>
    <t>O0105</t>
  </si>
  <si>
    <t>2024-07-05</t>
  </si>
  <si>
    <t>O0106</t>
  </si>
  <si>
    <t>2024-05-26</t>
  </si>
  <si>
    <t>2024-05-31</t>
  </si>
  <si>
    <t>O0107</t>
  </si>
  <si>
    <t>2024-01-19</t>
  </si>
  <si>
    <t>O0108</t>
  </si>
  <si>
    <t>P025</t>
  </si>
  <si>
    <t>O0109</t>
  </si>
  <si>
    <t>2025-04-12</t>
  </si>
  <si>
    <t>2025-04-19</t>
  </si>
  <si>
    <t>O0110</t>
  </si>
  <si>
    <t>O0111</t>
  </si>
  <si>
    <t>2024-01-23</t>
  </si>
  <si>
    <t>2024-01-24</t>
  </si>
  <si>
    <t>O0112</t>
  </si>
  <si>
    <t>2025-05-23</t>
  </si>
  <si>
    <t>O0113</t>
  </si>
  <si>
    <t>2024-07-13</t>
  </si>
  <si>
    <t>P002</t>
  </si>
  <si>
    <t>O0114</t>
  </si>
  <si>
    <t>2024-11-12</t>
  </si>
  <si>
    <t>C034</t>
  </si>
  <si>
    <t>2024-11-22</t>
  </si>
  <si>
    <t>O0115</t>
  </si>
  <si>
    <t>2024-04-02</t>
  </si>
  <si>
    <t>2024-04-09</t>
  </si>
  <si>
    <t>O0116</t>
  </si>
  <si>
    <t>2024-05-24</t>
  </si>
  <si>
    <t>O0117</t>
  </si>
  <si>
    <t>P037</t>
  </si>
  <si>
    <t>2024-09-25</t>
  </si>
  <si>
    <t>O0118</t>
  </si>
  <si>
    <t>C010</t>
  </si>
  <si>
    <t>2025-04-28</t>
  </si>
  <si>
    <t>O0119</t>
  </si>
  <si>
    <t>2025-01-09</t>
  </si>
  <si>
    <t>2025-01-16</t>
  </si>
  <si>
    <t>O0120</t>
  </si>
  <si>
    <t>2024-05-06</t>
  </si>
  <si>
    <t>2024-05-11</t>
  </si>
  <si>
    <t>O0121</t>
  </si>
  <si>
    <t>2024-04-20</t>
  </si>
  <si>
    <t>2024-04-21</t>
  </si>
  <si>
    <t>O0122</t>
  </si>
  <si>
    <t>2024-08-22</t>
  </si>
  <si>
    <t>O0123</t>
  </si>
  <si>
    <t>O0124</t>
  </si>
  <si>
    <t>O0125</t>
  </si>
  <si>
    <t>O0126</t>
  </si>
  <si>
    <t>O0127</t>
  </si>
  <si>
    <t>2025-02-27</t>
  </si>
  <si>
    <t>O0128</t>
  </si>
  <si>
    <t>2025-04-06</t>
  </si>
  <si>
    <t>O0129</t>
  </si>
  <si>
    <t>2025-01-07</t>
  </si>
  <si>
    <t>O0130</t>
  </si>
  <si>
    <t>2025-04-10</t>
  </si>
  <si>
    <t>2025-04-14</t>
  </si>
  <si>
    <t>O0131</t>
  </si>
  <si>
    <t>2024-12-17</t>
  </si>
  <si>
    <t>O0132</t>
  </si>
  <si>
    <t>2024-07-31</t>
  </si>
  <si>
    <t>2024-08-04</t>
  </si>
  <si>
    <t>O0133</t>
  </si>
  <si>
    <t>2024-01-06</t>
  </si>
  <si>
    <t>O0134</t>
  </si>
  <si>
    <t>O0135</t>
  </si>
  <si>
    <t>2025-01-01</t>
  </si>
  <si>
    <t>O0136</t>
  </si>
  <si>
    <t>2024-09-28</t>
  </si>
  <si>
    <t>2024-10-05</t>
  </si>
  <si>
    <t>O0137</t>
  </si>
  <si>
    <t>O0138</t>
  </si>
  <si>
    <t>2025-05-30</t>
  </si>
  <si>
    <t>2025-05-31</t>
  </si>
  <si>
    <t>O0139</t>
  </si>
  <si>
    <t>2024-02-01</t>
  </si>
  <si>
    <t>O0140</t>
  </si>
  <si>
    <t>2025-05-19</t>
  </si>
  <si>
    <t>O0141</t>
  </si>
  <si>
    <t>O0142</t>
  </si>
  <si>
    <t>2025-07-06</t>
  </si>
  <si>
    <t>O0143</t>
  </si>
  <si>
    <t>P035</t>
  </si>
  <si>
    <t>2024-05-01</t>
  </si>
  <si>
    <t>O0144</t>
  </si>
  <si>
    <t>2024-08-29</t>
  </si>
  <si>
    <t>O0145</t>
  </si>
  <si>
    <t>2024-04-07</t>
  </si>
  <si>
    <t>C025</t>
  </si>
  <si>
    <t>O0146</t>
  </si>
  <si>
    <t>C060</t>
  </si>
  <si>
    <t>O0147</t>
  </si>
  <si>
    <t>2025-03-18</t>
  </si>
  <si>
    <t>P024</t>
  </si>
  <si>
    <t>2025-03-24</t>
  </si>
  <si>
    <t>O0148</t>
  </si>
  <si>
    <t>P039</t>
  </si>
  <si>
    <t>O0149</t>
  </si>
  <si>
    <t>2025-02-24</t>
  </si>
  <si>
    <t>2025-03-03</t>
  </si>
  <si>
    <t>O0150</t>
  </si>
  <si>
    <t>O0151</t>
  </si>
  <si>
    <t>2025-05-10</t>
  </si>
  <si>
    <t>O0152</t>
  </si>
  <si>
    <t>C018</t>
  </si>
  <si>
    <t>O0153</t>
  </si>
  <si>
    <t>2024-01-27</t>
  </si>
  <si>
    <t>O0154</t>
  </si>
  <si>
    <t>2024-10-06</t>
  </si>
  <si>
    <t>O0155</t>
  </si>
  <si>
    <t>2024-06-02</t>
  </si>
  <si>
    <t>O0156</t>
  </si>
  <si>
    <t>O0157</t>
  </si>
  <si>
    <t>2025-03-05</t>
  </si>
  <si>
    <t>2025-03-08</t>
  </si>
  <si>
    <t>O0158</t>
  </si>
  <si>
    <t>2024-11-30</t>
  </si>
  <si>
    <t>O0159</t>
  </si>
  <si>
    <t>O0160</t>
  </si>
  <si>
    <t>O0161</t>
  </si>
  <si>
    <t>O0162</t>
  </si>
  <si>
    <t>O0163</t>
  </si>
  <si>
    <t>2024-08-13</t>
  </si>
  <si>
    <t>O0164</t>
  </si>
  <si>
    <t>2024-11-04</t>
  </si>
  <si>
    <t>O0165</t>
  </si>
  <si>
    <t>O0166</t>
  </si>
  <si>
    <t>2024-05-16</t>
  </si>
  <si>
    <t>O0167</t>
  </si>
  <si>
    <t>2025-02-10</t>
  </si>
  <si>
    <t>C014</t>
  </si>
  <si>
    <t>O0168</t>
  </si>
  <si>
    <t>2024-11-16</t>
  </si>
  <si>
    <t>2024-11-26</t>
  </si>
  <si>
    <t>O0169</t>
  </si>
  <si>
    <t>2024-10-24</t>
  </si>
  <si>
    <t>O0170</t>
  </si>
  <si>
    <t>2025-04-16</t>
  </si>
  <si>
    <t>2025-04-23</t>
  </si>
  <si>
    <t>O0171</t>
  </si>
  <si>
    <t>O0172</t>
  </si>
  <si>
    <t>2024-11-19</t>
  </si>
  <si>
    <t>O0173</t>
  </si>
  <si>
    <t>2025-06-15</t>
  </si>
  <si>
    <t>O0174</t>
  </si>
  <si>
    <t>2024-12-27</t>
  </si>
  <si>
    <t>O0175</t>
  </si>
  <si>
    <t>2024-07-21</t>
  </si>
  <si>
    <t>2024-07-24</t>
  </si>
  <si>
    <t>O0176</t>
  </si>
  <si>
    <t>O0177</t>
  </si>
  <si>
    <t>O0178</t>
  </si>
  <si>
    <t>O0179</t>
  </si>
  <si>
    <t>2025-06-03</t>
  </si>
  <si>
    <t>2025-06-11</t>
  </si>
  <si>
    <t>O0180</t>
  </si>
  <si>
    <t>2024-02-28</t>
  </si>
  <si>
    <t>O0181</t>
  </si>
  <si>
    <t>2025-06-13</t>
  </si>
  <si>
    <t>O0182</t>
  </si>
  <si>
    <t>2024-07-19</t>
  </si>
  <si>
    <t>O0183</t>
  </si>
  <si>
    <t>O0184</t>
  </si>
  <si>
    <t>2024-06-25</t>
  </si>
  <si>
    <t>2024-07-03</t>
  </si>
  <si>
    <t>O0185</t>
  </si>
  <si>
    <t>2025-06-25</t>
  </si>
  <si>
    <t>O0186</t>
  </si>
  <si>
    <t>2025-01-31</t>
  </si>
  <si>
    <t>2025-02-06</t>
  </si>
  <si>
    <t>O0187</t>
  </si>
  <si>
    <t>O0188</t>
  </si>
  <si>
    <t>O0189</t>
  </si>
  <si>
    <t>O0190</t>
  </si>
  <si>
    <t>O0191</t>
  </si>
  <si>
    <t>C058</t>
  </si>
  <si>
    <t>2025-06-30</t>
  </si>
  <si>
    <t>O0192</t>
  </si>
  <si>
    <t>C019</t>
  </si>
  <si>
    <t>2025-01-10</t>
  </si>
  <si>
    <t>O0193</t>
  </si>
  <si>
    <t>2024-07-15</t>
  </si>
  <si>
    <t>2024-07-18</t>
  </si>
  <si>
    <t>O0194</t>
  </si>
  <si>
    <t>2024-04-22</t>
  </si>
  <si>
    <t>O0195</t>
  </si>
  <si>
    <t>2024-05-17</t>
  </si>
  <si>
    <t>O0196</t>
  </si>
  <si>
    <t>O0197</t>
  </si>
  <si>
    <t>2025-03-30</t>
  </si>
  <si>
    <t>2025-04-07</t>
  </si>
  <si>
    <t>O0198</t>
  </si>
  <si>
    <t>2024-09-01</t>
  </si>
  <si>
    <t>2024-09-09</t>
  </si>
  <si>
    <t>O0199</t>
  </si>
  <si>
    <t>O0200</t>
  </si>
  <si>
    <t>2025-06-24</t>
  </si>
  <si>
    <t>2025-06-28</t>
  </si>
  <si>
    <t>O0201</t>
  </si>
  <si>
    <t>2024-02-23</t>
  </si>
  <si>
    <t>2024-02-29</t>
  </si>
  <si>
    <t>O0202</t>
  </si>
  <si>
    <t>O0203</t>
  </si>
  <si>
    <t>2025-06-16</t>
  </si>
  <si>
    <t>O0204</t>
  </si>
  <si>
    <t>2025-04-13</t>
  </si>
  <si>
    <t>O0205</t>
  </si>
  <si>
    <t>2025-05-29</t>
  </si>
  <si>
    <t>2025-06-05</t>
  </si>
  <si>
    <t>O0206</t>
  </si>
  <si>
    <t>O0207</t>
  </si>
  <si>
    <t>2024-05-28</t>
  </si>
  <si>
    <t>O0208</t>
  </si>
  <si>
    <t>2025-04-04</t>
  </si>
  <si>
    <t>O0209</t>
  </si>
  <si>
    <t>O0210</t>
  </si>
  <si>
    <t>2024-10-22</t>
  </si>
  <si>
    <t>O0211</t>
  </si>
  <si>
    <t>C046</t>
  </si>
  <si>
    <t>2025-03-07</t>
  </si>
  <si>
    <t>O0212</t>
  </si>
  <si>
    <t>2024-01-17</t>
  </si>
  <si>
    <t>O0213</t>
  </si>
  <si>
    <t>2025-03-21</t>
  </si>
  <si>
    <t>O0214</t>
  </si>
  <si>
    <t>2025-03-04</t>
  </si>
  <si>
    <t>O0215</t>
  </si>
  <si>
    <t>2025-06-22</t>
  </si>
  <si>
    <t>2025-07-01</t>
  </si>
  <si>
    <t>O0216</t>
  </si>
  <si>
    <t>O0217</t>
  </si>
  <si>
    <t>O0218</t>
  </si>
  <si>
    <t>2024-04-16</t>
  </si>
  <si>
    <t>C036</t>
  </si>
  <si>
    <t>O0219</t>
  </si>
  <si>
    <t>C004</t>
  </si>
  <si>
    <t>2024-12-29</t>
  </si>
  <si>
    <t>O0220</t>
  </si>
  <si>
    <t>O0221</t>
  </si>
  <si>
    <t>2024-07-25</t>
  </si>
  <si>
    <t>2024-07-29</t>
  </si>
  <si>
    <t>O0222</t>
  </si>
  <si>
    <t>O0223</t>
  </si>
  <si>
    <t>O0224</t>
  </si>
  <si>
    <t>O0225</t>
  </si>
  <si>
    <t>2025-03-26</t>
  </si>
  <si>
    <t>2025-03-29</t>
  </si>
  <si>
    <t>O0226</t>
  </si>
  <si>
    <t>2025-01-13</t>
  </si>
  <si>
    <t>O0227</t>
  </si>
  <si>
    <t>O0228</t>
  </si>
  <si>
    <t>O0229</t>
  </si>
  <si>
    <t>O0230</t>
  </si>
  <si>
    <t>O0231</t>
  </si>
  <si>
    <t>2024-03-26</t>
  </si>
  <si>
    <t>O0232</t>
  </si>
  <si>
    <t>2024-06-03</t>
  </si>
  <si>
    <t>O0233</t>
  </si>
  <si>
    <t>2024-03-09</t>
  </si>
  <si>
    <t>O0234</t>
  </si>
  <si>
    <t>O0235</t>
  </si>
  <si>
    <t>O0236</t>
  </si>
  <si>
    <t>2024-11-17</t>
  </si>
  <si>
    <t>O0237</t>
  </si>
  <si>
    <t>O0238</t>
  </si>
  <si>
    <t>2024-10-03</t>
  </si>
  <si>
    <t>O0239</t>
  </si>
  <si>
    <t>O0240</t>
  </si>
  <si>
    <t>O0241</t>
  </si>
  <si>
    <t>2024-10-27</t>
  </si>
  <si>
    <t>O0242</t>
  </si>
  <si>
    <t>2025-06-08</t>
  </si>
  <si>
    <t>O0243</t>
  </si>
  <si>
    <t>O0244</t>
  </si>
  <si>
    <t>O0245</t>
  </si>
  <si>
    <t>2025-05-12</t>
  </si>
  <si>
    <t>O0246</t>
  </si>
  <si>
    <t>O0247</t>
  </si>
  <si>
    <t>O0248</t>
  </si>
  <si>
    <t>2025-06-17</t>
  </si>
  <si>
    <t>O0249</t>
  </si>
  <si>
    <t>2024-08-23</t>
  </si>
  <si>
    <t>O0250</t>
  </si>
  <si>
    <t>2024-07-20</t>
  </si>
  <si>
    <t>O0251</t>
  </si>
  <si>
    <t>2024-04-08</t>
  </si>
  <si>
    <t>O0252</t>
  </si>
  <si>
    <t>O0253</t>
  </si>
  <si>
    <t>O0254</t>
  </si>
  <si>
    <t>O0255</t>
  </si>
  <si>
    <t>2025-05-16</t>
  </si>
  <si>
    <t>O0256</t>
  </si>
  <si>
    <t>2024-03-23</t>
  </si>
  <si>
    <t>O0257</t>
  </si>
  <si>
    <t>2025-04-30</t>
  </si>
  <si>
    <t>O0258</t>
  </si>
  <si>
    <t>O0259</t>
  </si>
  <si>
    <t>2024-04-18</t>
  </si>
  <si>
    <t>2024-04-26</t>
  </si>
  <si>
    <t>O0260</t>
  </si>
  <si>
    <t>2025-04-05</t>
  </si>
  <si>
    <t>O0261</t>
  </si>
  <si>
    <t>2025-02-01</t>
  </si>
  <si>
    <t>O0262</t>
  </si>
  <si>
    <t>O0263</t>
  </si>
  <si>
    <t>O0264</t>
  </si>
  <si>
    <t>O0265</t>
  </si>
  <si>
    <t>O0266</t>
  </si>
  <si>
    <t>2025-04-27</t>
  </si>
  <si>
    <t>O0267</t>
  </si>
  <si>
    <t>2024-05-23</t>
  </si>
  <si>
    <t>O0268</t>
  </si>
  <si>
    <t>2024-02-26</t>
  </si>
  <si>
    <t>O0269</t>
  </si>
  <si>
    <t>2024-10-31</t>
  </si>
  <si>
    <t>O0270</t>
  </si>
  <si>
    <t>O0271</t>
  </si>
  <si>
    <t>O0272</t>
  </si>
  <si>
    <t>C049</t>
  </si>
  <si>
    <t>O0273</t>
  </si>
  <si>
    <t>2024-02-09</t>
  </si>
  <si>
    <t>2024-02-15</t>
  </si>
  <si>
    <t>O0274</t>
  </si>
  <si>
    <t>2025-04-21</t>
  </si>
  <si>
    <t>O0275</t>
  </si>
  <si>
    <t>2024-12-02</t>
  </si>
  <si>
    <t>O0276</t>
  </si>
  <si>
    <t>2024-12-19</t>
  </si>
  <si>
    <t>O0277</t>
  </si>
  <si>
    <t>O0278</t>
  </si>
  <si>
    <t>O0279</t>
  </si>
  <si>
    <t>O0280</t>
  </si>
  <si>
    <t>O0281</t>
  </si>
  <si>
    <t>2024-09-07</t>
  </si>
  <si>
    <t>O0282</t>
  </si>
  <si>
    <t>O0283</t>
  </si>
  <si>
    <t>2025-03-06</t>
  </si>
  <si>
    <t>O0284</t>
  </si>
  <si>
    <t>2024-05-30</t>
  </si>
  <si>
    <t>O0285</t>
  </si>
  <si>
    <t>O0286</t>
  </si>
  <si>
    <t>2024-12-21</t>
  </si>
  <si>
    <t>O0287</t>
  </si>
  <si>
    <t>O0288</t>
  </si>
  <si>
    <t>2024-10-30</t>
  </si>
  <si>
    <t>O0289</t>
  </si>
  <si>
    <t>O0290</t>
  </si>
  <si>
    <t>2025-01-29</t>
  </si>
  <si>
    <t>O0291</t>
  </si>
  <si>
    <t>O0292</t>
  </si>
  <si>
    <t>O0293</t>
  </si>
  <si>
    <t>2024-10-15</t>
  </si>
  <si>
    <t>O0294</t>
  </si>
  <si>
    <t>2024-02-21</t>
  </si>
  <si>
    <t>2024-02-25</t>
  </si>
  <si>
    <t>O0295</t>
  </si>
  <si>
    <t>O0296</t>
  </si>
  <si>
    <t>P007</t>
  </si>
  <si>
    <t>O0297</t>
  </si>
  <si>
    <t>2024-07-28</t>
  </si>
  <si>
    <t>O0298</t>
  </si>
  <si>
    <t>2024-08-26</t>
  </si>
  <si>
    <t>O0299</t>
  </si>
  <si>
    <t>2024-07-06</t>
  </si>
  <si>
    <t>O0300</t>
  </si>
  <si>
    <t>2024-10-28</t>
  </si>
  <si>
    <t>O0301</t>
  </si>
  <si>
    <t>O0302</t>
  </si>
  <si>
    <t>O0303</t>
  </si>
  <si>
    <t>2024-06-20</t>
  </si>
  <si>
    <t>O0304</t>
  </si>
  <si>
    <t>2024-12-15</t>
  </si>
  <si>
    <t>O0305</t>
  </si>
  <si>
    <t>2025-02-19</t>
  </si>
  <si>
    <t>2025-02-25</t>
  </si>
  <si>
    <t>O0306</t>
  </si>
  <si>
    <t>O0307</t>
  </si>
  <si>
    <t>2024-01-07</t>
  </si>
  <si>
    <t>2024-01-11</t>
  </si>
  <si>
    <t>O0308</t>
  </si>
  <si>
    <t>O0309</t>
  </si>
  <si>
    <t>2025-01-05</t>
  </si>
  <si>
    <t>O0310</t>
  </si>
  <si>
    <t>2024-06-21</t>
  </si>
  <si>
    <t>O0311</t>
  </si>
  <si>
    <t>O0312</t>
  </si>
  <si>
    <t>O0313</t>
  </si>
  <si>
    <t>O0314</t>
  </si>
  <si>
    <t>2024-03-24</t>
  </si>
  <si>
    <t>O0315</t>
  </si>
  <si>
    <t>2024-05-03</t>
  </si>
  <si>
    <t>O0316</t>
  </si>
  <si>
    <t>O0317</t>
  </si>
  <si>
    <t>O0318</t>
  </si>
  <si>
    <t>O0319</t>
  </si>
  <si>
    <t>2024-03-05</t>
  </si>
  <si>
    <t>O0320</t>
  </si>
  <si>
    <t>2024-09-17</t>
  </si>
  <si>
    <t>2024-09-21</t>
  </si>
  <si>
    <t>O0321</t>
  </si>
  <si>
    <t>O0322</t>
  </si>
  <si>
    <t>O0323</t>
  </si>
  <si>
    <t>O0324</t>
  </si>
  <si>
    <t>2024-03-29</t>
  </si>
  <si>
    <t>O0325</t>
  </si>
  <si>
    <t>O0326</t>
  </si>
  <si>
    <t>O0327</t>
  </si>
  <si>
    <t>O0328</t>
  </si>
  <si>
    <t>2024-10-11</t>
  </si>
  <si>
    <t>O0329</t>
  </si>
  <si>
    <t>O0330</t>
  </si>
  <si>
    <t>O0331</t>
  </si>
  <si>
    <t>2025-02-15</t>
  </si>
  <si>
    <t>O0332</t>
  </si>
  <si>
    <t>2024-05-27</t>
  </si>
  <si>
    <t>O0333</t>
  </si>
  <si>
    <t>2024-11-27</t>
  </si>
  <si>
    <t>O0334</t>
  </si>
  <si>
    <t>O0335</t>
  </si>
  <si>
    <t>O0336</t>
  </si>
  <si>
    <t>2025-03-01</t>
  </si>
  <si>
    <t>O0337</t>
  </si>
  <si>
    <t>O0338</t>
  </si>
  <si>
    <t>O0339</t>
  </si>
  <si>
    <t>O0340</t>
  </si>
  <si>
    <t>O0341</t>
  </si>
  <si>
    <t>O0342</t>
  </si>
  <si>
    <t>O0343</t>
  </si>
  <si>
    <t>2024-08-02</t>
  </si>
  <si>
    <t>O0344</t>
  </si>
  <si>
    <t>O0345</t>
  </si>
  <si>
    <t>O0346</t>
  </si>
  <si>
    <t>2025-01-08</t>
  </si>
  <si>
    <t>O0347</t>
  </si>
  <si>
    <t>O0348</t>
  </si>
  <si>
    <t>O0349</t>
  </si>
  <si>
    <t>O0350</t>
  </si>
  <si>
    <t>O0351</t>
  </si>
  <si>
    <t>2024-09-08</t>
  </si>
  <si>
    <t>O0352</t>
  </si>
  <si>
    <t>O0353</t>
  </si>
  <si>
    <t>2025-05-15</t>
  </si>
  <si>
    <t>O0354</t>
  </si>
  <si>
    <t>2024-02-22</t>
  </si>
  <si>
    <t>O0355</t>
  </si>
  <si>
    <t>O0356</t>
  </si>
  <si>
    <t>2024-03-12</t>
  </si>
  <si>
    <t>O0357</t>
  </si>
  <si>
    <t>2024-01-26</t>
  </si>
  <si>
    <t>O0358</t>
  </si>
  <si>
    <t>2024-01-18</t>
  </si>
  <si>
    <t>O0359</t>
  </si>
  <si>
    <t>2025-06-01</t>
  </si>
  <si>
    <t>O0360</t>
  </si>
  <si>
    <t>O0361</t>
  </si>
  <si>
    <t>O0362</t>
  </si>
  <si>
    <t>O0363</t>
  </si>
  <si>
    <t>O0364</t>
  </si>
  <si>
    <t>O0365</t>
  </si>
  <si>
    <t>O0366</t>
  </si>
  <si>
    <t>O0367</t>
  </si>
  <si>
    <t>O0368</t>
  </si>
  <si>
    <t>2024-06-01</t>
  </si>
  <si>
    <t>O0369</t>
  </si>
  <si>
    <t>O0370</t>
  </si>
  <si>
    <t>O0371</t>
  </si>
  <si>
    <t>O0372</t>
  </si>
  <si>
    <t>O0373</t>
  </si>
  <si>
    <t>2024-08-28</t>
  </si>
  <si>
    <t>O0374</t>
  </si>
  <si>
    <t>O0375</t>
  </si>
  <si>
    <t>O0376</t>
  </si>
  <si>
    <t>2025-02-02</t>
  </si>
  <si>
    <t>2025-02-04</t>
  </si>
  <si>
    <t>O0377</t>
  </si>
  <si>
    <t>2024-11-11</t>
  </si>
  <si>
    <t>O0378</t>
  </si>
  <si>
    <t>O0379</t>
  </si>
  <si>
    <t>O0380</t>
  </si>
  <si>
    <t>O0381</t>
  </si>
  <si>
    <t>2024-04-06</t>
  </si>
  <si>
    <t>O0382</t>
  </si>
  <si>
    <t>O0383</t>
  </si>
  <si>
    <t>O0384</t>
  </si>
  <si>
    <t>O0385</t>
  </si>
  <si>
    <t>O0386</t>
  </si>
  <si>
    <t>O0387</t>
  </si>
  <si>
    <t>2025-01-30</t>
  </si>
  <si>
    <t>O0388</t>
  </si>
  <si>
    <t>O0389</t>
  </si>
  <si>
    <t>2024-11-23</t>
  </si>
  <si>
    <t>O0390</t>
  </si>
  <si>
    <t>O0391</t>
  </si>
  <si>
    <t>O0392</t>
  </si>
  <si>
    <t>O0393</t>
  </si>
  <si>
    <t>O0394</t>
  </si>
  <si>
    <t>O0395</t>
  </si>
  <si>
    <t>O0396</t>
  </si>
  <si>
    <t>O0397</t>
  </si>
  <si>
    <t>2024-04-01</t>
  </si>
  <si>
    <t>O0398</t>
  </si>
  <si>
    <t>O0399</t>
  </si>
  <si>
    <t>2024-04-23</t>
  </si>
  <si>
    <t>O0400</t>
  </si>
  <si>
    <t>ProductName</t>
  </si>
  <si>
    <t>Category</t>
  </si>
  <si>
    <t>CostPrice</t>
  </si>
  <si>
    <t>SellingPrice</t>
  </si>
  <si>
    <t>StockQty</t>
  </si>
  <si>
    <t>Wireless Mouse</t>
  </si>
  <si>
    <t>Electronics</t>
  </si>
  <si>
    <t>Bluetooth Speaker</t>
  </si>
  <si>
    <t>USB-C Charger</t>
  </si>
  <si>
    <t>Laptop Stand</t>
  </si>
  <si>
    <t>Earbuds</t>
  </si>
  <si>
    <t>Power Bank</t>
  </si>
  <si>
    <t>Cotton T-Shirt</t>
  </si>
  <si>
    <t>Clothing</t>
  </si>
  <si>
    <t>Denim Jeans</t>
  </si>
  <si>
    <t>Hoodie</t>
  </si>
  <si>
    <t>Formal Shirt</t>
  </si>
  <si>
    <t>Sports Jacket</t>
  </si>
  <si>
    <t>Winter Scarf</t>
  </si>
  <si>
    <t>Non-stick Pan</t>
  </si>
  <si>
    <t>Home &amp; Kitchen</t>
  </si>
  <si>
    <t>Blender</t>
  </si>
  <si>
    <t>Ceramic Mug Set</t>
  </si>
  <si>
    <t>LED Lamp</t>
  </si>
  <si>
    <t>Storage Box</t>
  </si>
  <si>
    <t>Cushion Cover</t>
  </si>
  <si>
    <t>Face Wash</t>
  </si>
  <si>
    <t>Beauty</t>
  </si>
  <si>
    <t>Moisturizer</t>
  </si>
  <si>
    <t>Lipstick</t>
  </si>
  <si>
    <t>Hair Serum</t>
  </si>
  <si>
    <t>Sunscreen</t>
  </si>
  <si>
    <t>Perfume</t>
  </si>
  <si>
    <t>Yoga Mat</t>
  </si>
  <si>
    <t>Sports</t>
  </si>
  <si>
    <t>Dumbbell Set</t>
  </si>
  <si>
    <t>Cricket Bat</t>
  </si>
  <si>
    <t>Football</t>
  </si>
  <si>
    <t>Skipping Rope</t>
  </si>
  <si>
    <t>Water Bottle</t>
  </si>
  <si>
    <t>Novel - Fiction</t>
  </si>
  <si>
    <t>Books</t>
  </si>
  <si>
    <t>Self-Help Book</t>
  </si>
  <si>
    <t>Cookbook</t>
  </si>
  <si>
    <t>Notebook Set</t>
  </si>
  <si>
    <t>Comic Book</t>
  </si>
  <si>
    <t>Biography</t>
  </si>
  <si>
    <t>Building Blocks</t>
  </si>
  <si>
    <t>Toys</t>
  </si>
  <si>
    <t>Remote Car</t>
  </si>
  <si>
    <t>Puzzle Set</t>
  </si>
  <si>
    <t>Soft Toy</t>
  </si>
  <si>
    <t>Board Game</t>
  </si>
  <si>
    <t>Action Figure</t>
  </si>
  <si>
    <t>Basmati Rice 5kg</t>
  </si>
  <si>
    <t>Grocery</t>
  </si>
  <si>
    <t>Cooking Oil 1L</t>
  </si>
  <si>
    <t>Green Tea Pack</t>
  </si>
  <si>
    <t>Almonds 500g</t>
  </si>
  <si>
    <t>Honey Jar</t>
  </si>
  <si>
    <t>Spice Combo</t>
  </si>
  <si>
    <t>CustomerName</t>
  </si>
  <si>
    <t>Email</t>
  </si>
  <si>
    <t>City</t>
  </si>
  <si>
    <t>JoinDate</t>
  </si>
  <si>
    <t>Yash Mehta</t>
  </si>
  <si>
    <t>yash.mehta1@example.com</t>
  </si>
  <si>
    <t>Mumbai</t>
  </si>
  <si>
    <t>Pooja Shah</t>
  </si>
  <si>
    <t>pooja.shah2@example.com</t>
  </si>
  <si>
    <t>Porbandar</t>
  </si>
  <si>
    <t>kavya.shah3@example.com</t>
  </si>
  <si>
    <t>Jaipur</t>
  </si>
  <si>
    <t>2025-06-18</t>
  </si>
  <si>
    <t>aditya.patel4@example.com</t>
  </si>
  <si>
    <t>Surat</t>
  </si>
  <si>
    <t>2025-04-15</t>
  </si>
  <si>
    <t>yash.kumar5@example.com</t>
  </si>
  <si>
    <t>Delhi</t>
  </si>
  <si>
    <t>2023-05-12</t>
  </si>
  <si>
    <t>riya.mehta6@example.com</t>
  </si>
  <si>
    <t>2024-06-24</t>
  </si>
  <si>
    <t>divya.gupta7@example.com</t>
  </si>
  <si>
    <t>2024-12-31</t>
  </si>
  <si>
    <t>karan.verma8@example.com</t>
  </si>
  <si>
    <t>2024-06-13</t>
  </si>
  <si>
    <t>ananya.gupta9@example.com</t>
  </si>
  <si>
    <t>2023-03-07</t>
  </si>
  <si>
    <t>aarav.singh10@example.com</t>
  </si>
  <si>
    <t>Rajkot</t>
  </si>
  <si>
    <t>Aarav Patel</t>
  </si>
  <si>
    <t>aarav.patel11@example.com</t>
  </si>
  <si>
    <t>2023-08-23</t>
  </si>
  <si>
    <t>deepak.shah12@example.com</t>
  </si>
  <si>
    <t>Bengaluru</t>
  </si>
  <si>
    <t>2023-03-14</t>
  </si>
  <si>
    <t>kavya.sharma13@example.com</t>
  </si>
  <si>
    <t>2023-08-08</t>
  </si>
  <si>
    <t>isha.singh14@example.com</t>
  </si>
  <si>
    <t>2023-09-06</t>
  </si>
  <si>
    <t>simran.joshi15@example.com</t>
  </si>
  <si>
    <t>2023-04-07</t>
  </si>
  <si>
    <t>sakshi.joshi16@example.com</t>
  </si>
  <si>
    <t>Pune</t>
  </si>
  <si>
    <t>Amit Shah</t>
  </si>
  <si>
    <t>amit.shah17@example.com</t>
  </si>
  <si>
    <t>2023-03-04</t>
  </si>
  <si>
    <t>Meera Verma</t>
  </si>
  <si>
    <t>meera.verma18@example.com</t>
  </si>
  <si>
    <t>2023-09-12</t>
  </si>
  <si>
    <t>rohan.kumar19@example.com</t>
  </si>
  <si>
    <t>2023-05-24</t>
  </si>
  <si>
    <t>priya.sharma20@example.com</t>
  </si>
  <si>
    <t>2023-09-13</t>
  </si>
  <si>
    <t>Amit Kumar</t>
  </si>
  <si>
    <t>amit.kumar21@example.com</t>
  </si>
  <si>
    <t>2023-02-21</t>
  </si>
  <si>
    <t>Rajesh Shah</t>
  </si>
  <si>
    <t>rajesh.shah22@example.com</t>
  </si>
  <si>
    <t>priya.joshi23@example.com</t>
  </si>
  <si>
    <t>Anjali Joshi</t>
  </si>
  <si>
    <t>anjali.joshi24@example.com</t>
  </si>
  <si>
    <t>2023-06-18</t>
  </si>
  <si>
    <t>aarav.joshi25@example.com</t>
  </si>
  <si>
    <t>2025-03-13</t>
  </si>
  <si>
    <t>sneha.joshi26@example.com</t>
  </si>
  <si>
    <t>2023-06-08</t>
  </si>
  <si>
    <t>Sneha Gupta</t>
  </si>
  <si>
    <t>sneha.gupta27@example.com</t>
  </si>
  <si>
    <t>2024-08-16</t>
  </si>
  <si>
    <t>Vivaan Verma</t>
  </si>
  <si>
    <t>vivaan.verma28@example.com</t>
  </si>
  <si>
    <t>pooja.kumar29@example.com</t>
  </si>
  <si>
    <t>2023-02-28</t>
  </si>
  <si>
    <t>Aditya Mehta</t>
  </si>
  <si>
    <t>aditya.mehta30@example.com</t>
  </si>
  <si>
    <t>sakshi.gupta31@example.com</t>
  </si>
  <si>
    <t>2023-05-03</t>
  </si>
  <si>
    <t>Kavya Singh</t>
  </si>
  <si>
    <t>kavya.singh32@example.com</t>
  </si>
  <si>
    <t>2024-09-26</t>
  </si>
  <si>
    <t>divya.singh33@example.com</t>
  </si>
  <si>
    <t>2023-09-25</t>
  </si>
  <si>
    <t>sakshi.verma34@example.com</t>
  </si>
  <si>
    <t>2023-09-29</t>
  </si>
  <si>
    <t>isha.sharma35@example.com</t>
  </si>
  <si>
    <t>2023-11-20</t>
  </si>
  <si>
    <t>Aarav Desai</t>
  </si>
  <si>
    <t>aarav.desai36@example.com</t>
  </si>
  <si>
    <t>2023-03-17</t>
  </si>
  <si>
    <t>rohan.kumar37@example.com</t>
  </si>
  <si>
    <t>2023-05-16</t>
  </si>
  <si>
    <t>deepak.patel38@example.com</t>
  </si>
  <si>
    <t>2024-01-14</t>
  </si>
  <si>
    <t>priya.desai39@example.com</t>
  </si>
  <si>
    <t>aarav.kumar40@example.com</t>
  </si>
  <si>
    <t>deepak.mehta41@example.com</t>
  </si>
  <si>
    <t>2023-04-29</t>
  </si>
  <si>
    <t>meera.kumar42@example.com</t>
  </si>
  <si>
    <t>2023-10-06</t>
  </si>
  <si>
    <t>tanya.gupta43@example.com</t>
  </si>
  <si>
    <t>2023-07-28</t>
  </si>
  <si>
    <t>sanjay.desai44@example.com</t>
  </si>
  <si>
    <t>aditya.joshi45@example.com</t>
  </si>
  <si>
    <t>Ahmedabad</t>
  </si>
  <si>
    <t>2023-02-15</t>
  </si>
  <si>
    <t>rahul.mehta46@example.com</t>
  </si>
  <si>
    <t>2023-06-15</t>
  </si>
  <si>
    <t>Riya Joshi</t>
  </si>
  <si>
    <t>riya.joshi47@example.com</t>
  </si>
  <si>
    <t>2023-04-25</t>
  </si>
  <si>
    <t>Deepak Mehta</t>
  </si>
  <si>
    <t>deepak.mehta48@example.com</t>
  </si>
  <si>
    <t>arjun.kumar49@example.com</t>
  </si>
  <si>
    <t>Vadodara</t>
  </si>
  <si>
    <t>vivaan.sharma50@example.com</t>
  </si>
  <si>
    <t>deepak.verma51@example.com</t>
  </si>
  <si>
    <t>sakshi.patel52@example.com</t>
  </si>
  <si>
    <t>deepak.joshi53@example.com</t>
  </si>
  <si>
    <t>2023-08-31</t>
  </si>
  <si>
    <t>simran.mehta54@example.com</t>
  </si>
  <si>
    <t>2023-01-26</t>
  </si>
  <si>
    <t>meera.verma55@example.com</t>
  </si>
  <si>
    <t>Mehul Mehta</t>
  </si>
  <si>
    <t>mehul.mehta56@example.com</t>
  </si>
  <si>
    <t>anjali.desai57@example.com</t>
  </si>
  <si>
    <t>2023-07-24</t>
  </si>
  <si>
    <t>neha.sharma58@example.com</t>
  </si>
  <si>
    <t>2023-08-17</t>
  </si>
  <si>
    <t>sakshi.gupta59@example.com</t>
  </si>
  <si>
    <t>2023-12-03</t>
  </si>
  <si>
    <t>anjali.patel60@example.com</t>
  </si>
  <si>
    <t>2023-12-26</t>
  </si>
  <si>
    <t>EmployeeName</t>
  </si>
  <si>
    <t>Department</t>
  </si>
  <si>
    <t>HireDate</t>
  </si>
  <si>
    <t>MonthlySalesTarget</t>
  </si>
  <si>
    <t>Karan Mehta</t>
  </si>
  <si>
    <t>Sales</t>
  </si>
  <si>
    <t>2024-01-04</t>
  </si>
  <si>
    <t>Priya Nair</t>
  </si>
  <si>
    <t>2021-02-26</t>
  </si>
  <si>
    <t>Rohit Sinha</t>
  </si>
  <si>
    <t>2022-06-19</t>
  </si>
  <si>
    <t>Fatima Sheikh</t>
  </si>
  <si>
    <t>2024-04-04</t>
  </si>
  <si>
    <t>E05</t>
  </si>
  <si>
    <t>Arjun Rao</t>
  </si>
  <si>
    <t>Support</t>
  </si>
  <si>
    <t>2021-03-20</t>
  </si>
  <si>
    <t>E06</t>
  </si>
  <si>
    <t>Sneha Kulkarni</t>
  </si>
  <si>
    <t>2023-06-09</t>
  </si>
  <si>
    <t>E07</t>
  </si>
  <si>
    <t>Vikas Yadav</t>
  </si>
  <si>
    <t>Marketing</t>
  </si>
  <si>
    <t>2022-10-05</t>
  </si>
  <si>
    <t>E08</t>
  </si>
  <si>
    <t>Neha Kapoor</t>
  </si>
  <si>
    <t>2023-11-14</t>
  </si>
  <si>
    <t>Rajesh Iyer</t>
  </si>
  <si>
    <t>E10</t>
  </si>
  <si>
    <t>Divya Menon</t>
  </si>
  <si>
    <t>2022-06-06</t>
  </si>
  <si>
    <t>Product Name</t>
  </si>
  <si>
    <t>Customer Name</t>
  </si>
  <si>
    <t>Employee Name</t>
  </si>
  <si>
    <t>Meera Kumar</t>
  </si>
  <si>
    <t>Pooja Kumar</t>
  </si>
  <si>
    <t>Kavya Sharma</t>
  </si>
  <si>
    <t>Sanjay Desai</t>
  </si>
  <si>
    <t>Aarav Kumar</t>
  </si>
  <si>
    <t>Karan Verma</t>
  </si>
  <si>
    <t>Deepak Verma</t>
  </si>
  <si>
    <t>Tanya Gupta</t>
  </si>
  <si>
    <t>Deepak Patel</t>
  </si>
  <si>
    <t>Riya Mehta</t>
  </si>
  <si>
    <t>Ananya Gupta</t>
  </si>
  <si>
    <t>Kavya Shah</t>
  </si>
  <si>
    <t>Priya Joshi</t>
  </si>
  <si>
    <t>Divya Gupta</t>
  </si>
  <si>
    <t>Vivaan Sharma</t>
  </si>
  <si>
    <t>Sneha Joshi</t>
  </si>
  <si>
    <t>Sakshi Gupta</t>
  </si>
  <si>
    <t>Aditya Joshi</t>
  </si>
  <si>
    <t>Sakshi Joshi</t>
  </si>
  <si>
    <t>Yash Kumar</t>
  </si>
  <si>
    <t>Isha Sharma</t>
  </si>
  <si>
    <t>Priya Desai</t>
  </si>
  <si>
    <t>Deepak Joshi</t>
  </si>
  <si>
    <t>Sakshi Patel</t>
  </si>
  <si>
    <t>Rohan Kumar</t>
  </si>
  <si>
    <t>Simran Joshi</t>
  </si>
  <si>
    <t>Anjali Desai</t>
  </si>
  <si>
    <t>Divya Singh</t>
  </si>
  <si>
    <t>Priya Sharma</t>
  </si>
  <si>
    <t>Simran Mehta</t>
  </si>
  <si>
    <t>Deepak Shah</t>
  </si>
  <si>
    <t>Sakshi Verma</t>
  </si>
  <si>
    <t>Aarav Singh</t>
  </si>
  <si>
    <t>Aarav Joshi</t>
  </si>
  <si>
    <t>Anjali Patel</t>
  </si>
  <si>
    <t>Isha Singh</t>
  </si>
  <si>
    <t>Neha Sharma</t>
  </si>
  <si>
    <t>Rahul Mehta</t>
  </si>
  <si>
    <t>Aditya Patel</t>
  </si>
  <si>
    <t>Arjun Kumar</t>
  </si>
  <si>
    <t>Selling Price</t>
  </si>
  <si>
    <t>Total amount</t>
  </si>
  <si>
    <t>Revenue</t>
  </si>
  <si>
    <t>Data Issue</t>
  </si>
  <si>
    <t>Row Labels</t>
  </si>
  <si>
    <t>Grand Total</t>
  </si>
  <si>
    <t>Count of OrderID</t>
  </si>
  <si>
    <t/>
  </si>
  <si>
    <t>Missing Quantity</t>
  </si>
  <si>
    <t>Sum of Revenue</t>
  </si>
  <si>
    <t>O0401</t>
  </si>
  <si>
    <t>O0402</t>
  </si>
  <si>
    <t>O0403</t>
  </si>
  <si>
    <t>O0404</t>
  </si>
  <si>
    <t>Total Revenue</t>
  </si>
  <si>
    <t>Total Oreders</t>
  </si>
  <si>
    <t>Total Customers</t>
  </si>
  <si>
    <t>Avgrage Order Value</t>
  </si>
  <si>
    <t>Total Qunatity Sold</t>
  </si>
  <si>
    <t>Jan</t>
  </si>
  <si>
    <t>Feb</t>
  </si>
  <si>
    <t>Mar</t>
  </si>
  <si>
    <t>Apr</t>
  </si>
  <si>
    <t>May</t>
  </si>
  <si>
    <t>Jun</t>
  </si>
  <si>
    <t>Jul</t>
  </si>
  <si>
    <t>Aug</t>
  </si>
  <si>
    <t>Sep</t>
  </si>
  <si>
    <t>Oct</t>
  </si>
  <si>
    <t>Nov</t>
  </si>
  <si>
    <t>Dec</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</si>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</sst>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6" formatCode="0.0,&quot;K&quot;"/>
  </numFmts>
  <fonts count="3" x14ac:knownFonts="1">
    <font>
      <sz val="11"/>
      <color theme="1"/>
      <name val="Calibri"/>
      <family val="2"/>
      <scheme val="minor"/>
    </font>
    <font>
      <b/>
      <sz val="11"/>
      <color rgb="FFFFFFFF"/>
      <name val="Arial"/>
    </font>
    <font>
      <sz val="10"/>
      <name val="Arial"/>
    </font>
  </fonts>
  <fills count="4">
    <fill>
      <patternFill patternType="none"/>
    </fill>
    <fill>
      <patternFill patternType="gray125"/>
    </fill>
    <fill>
      <patternFill patternType="solid">
        <fgColor rgb="FF1F4E78"/>
        <bgColor rgb="FF1F4E78"/>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0" borderId="0" xfId="0" applyFont="1"/>
    <xf numFmtId="0" fontId="0" fillId="0" borderId="0" xfId="0" pivotButton="1"/>
    <xf numFmtId="0" fontId="0" fillId="0" borderId="0" xfId="0" applyAlignment="1">
      <alignment horizontal="left"/>
    </xf>
    <xf numFmtId="14" fontId="2" fillId="0" borderId="0" xfId="0" applyNumberFormat="1" applyFont="1"/>
    <xf numFmtId="14" fontId="0" fillId="0" borderId="0" xfId="0" applyNumberFormat="1"/>
    <xf numFmtId="2" fontId="0" fillId="0" borderId="0" xfId="0" applyNumberFormat="1"/>
    <xf numFmtId="0" fontId="0" fillId="3" borderId="0" xfId="0" applyFill="1"/>
    <xf numFmtId="0" fontId="0" fillId="3" borderId="0" xfId="0" applyFill="1" applyAlignment="1">
      <alignment horizontal="center"/>
    </xf>
    <xf numFmtId="0" fontId="0" fillId="0" borderId="0" xfId="0" applyNumberFormat="1"/>
    <xf numFmtId="166" fontId="0" fillId="0" borderId="0" xfId="0" applyNumberFormat="1"/>
    <xf numFmtId="44" fontId="0" fillId="0" borderId="0" xfId="0" applyNumberFormat="1"/>
    <xf numFmtId="10" fontId="0" fillId="0" borderId="0" xfId="0" applyNumberFormat="1"/>
  </cellXfs>
  <cellStyles count="1">
    <cellStyle name="Normal" xfId="0" builtinId="0"/>
  </cellStyles>
  <dxfs count="36">
    <dxf>
      <font>
        <b/>
        <i val="0"/>
        <sz val="14"/>
        <color theme="1"/>
      </font>
      <fill>
        <patternFill>
          <bgColor theme="0"/>
        </patternFill>
      </fill>
    </dxf>
    <dxf>
      <font>
        <sz val="12"/>
        <color theme="0"/>
      </font>
      <fill>
        <patternFill>
          <bgColor theme="3" tint="-0.499984740745262"/>
        </patternFill>
      </fill>
      <border diagonalUp="0" diagonalDown="0">
        <left style="thin">
          <color theme="0"/>
        </left>
        <right style="thin">
          <color theme="0"/>
        </right>
        <top style="thin">
          <color theme="0"/>
        </top>
        <bottom style="thin">
          <color theme="0"/>
        </bottom>
        <vertical/>
        <horizontal/>
      </border>
    </dxf>
    <dxf>
      <numFmt numFmtId="2" formatCode="0.00"/>
    </dxf>
    <dxf>
      <numFmt numFmtId="166" formatCode="0.0,&quot;K&quot;"/>
    </dxf>
    <dxf>
      <font>
        <color rgb="FF9C0006"/>
      </font>
      <fill>
        <patternFill>
          <bgColor rgb="FFFFC7CE"/>
        </patternFill>
      </fill>
    </dxf>
    <dxf>
      <font>
        <color rgb="FF006100"/>
      </font>
      <fill>
        <patternFill>
          <bgColor rgb="FFC6EFCE"/>
        </patternFill>
      </fill>
    </dxf>
    <dxf>
      <font>
        <b/>
        <i val="0"/>
        <color theme="0"/>
      </font>
    </dxf>
    <dxf>
      <font>
        <b/>
        <i val="0"/>
        <color theme="0"/>
      </font>
    </dxf>
    <dxf>
      <font>
        <color theme="0"/>
      </font>
      <fill>
        <patternFill>
          <bgColor theme="3" tint="-0.499984740745262"/>
        </patternFill>
      </fill>
      <border diagonalUp="0" diagonalDown="0">
        <left style="thin">
          <color auto="1"/>
        </left>
        <right style="thin">
          <color auto="1"/>
        </right>
        <top style="thin">
          <color auto="1"/>
        </top>
        <bottom style="thin">
          <color auto="1"/>
        </bottom>
        <vertical/>
        <horizontal/>
      </border>
    </dxf>
    <dxf>
      <numFmt numFmtId="168" formatCode="_ [$₹-4009]\ * #,##0.00_ ;_ [$₹-4009]\ * \-#,##0.00_ ;_ [$₹-4009]\ * &quot;-&quot;??_ ;_ @_ "/>
    </dxf>
    <dxf>
      <numFmt numFmtId="167" formatCode="_([$$-409]* #,##0.00_);_([$$-409]* \(#,##0.00\);_([$$-409]* &quot;-&quot;??_);_(@_)"/>
    </dxf>
    <dxf>
      <numFmt numFmtId="34" formatCode="_(&quot;$&quot;* #,##0.00_);_(&quot;$&quot;* \(#,##0.00\);_(&quot;$&quot;* &quot;-&quot;??_);_(@_)"/>
    </dxf>
    <dxf>
      <numFmt numFmtId="164" formatCode="dd/mm/yyyy"/>
    </dxf>
    <dxf>
      <numFmt numFmtId="164" formatCode="dd/mm/yyyy"/>
    </dxf>
    <dxf>
      <numFmt numFmtId="164" formatCode="dd/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sz val="11"/>
      </font>
      <fill>
        <patternFill>
          <bgColor theme="3" tint="-0.499984740745262"/>
        </patternFill>
      </fill>
      <border>
        <left style="thin">
          <color auto="1"/>
        </left>
        <right style="thin">
          <color auto="1"/>
        </right>
        <top style="thin">
          <color auto="1"/>
        </top>
        <bottom style="thin">
          <color auto="1"/>
        </bottom>
      </border>
    </dxf>
    <dxf>
      <font>
        <color theme="1" tint="0.14996795556505021"/>
      </font>
      <fill>
        <patternFill>
          <bgColor theme="0"/>
        </patternFill>
      </fill>
    </dxf>
  </dxfs>
  <tableStyles count="4" defaultTableStyle="TableStyleMedium9" defaultPivotStyle="PivotStyleLight16">
    <tableStyle name="PivotTable Style 1" table="0" count="3" xr9:uid="{99DB28CE-73FA-4512-920D-AD1F1C5EDC2A}">
      <tableStyleElement type="wholeTable" dxfId="8"/>
      <tableStyleElement type="headerRow" dxfId="6"/>
      <tableStyleElement type="totalRow" dxfId="7"/>
    </tableStyle>
    <tableStyle name="Slicer Style 1" pivot="0" table="0" count="1" xr9:uid="{B4DE6A1E-467F-441D-856E-DEED394AD048}">
      <tableStyleElement type="wholeTable" dxfId="35"/>
    </tableStyle>
    <tableStyle name="Slicer Style 2" pivot="0" table="0" count="7" xr9:uid="{63496D5E-34E6-4381-874C-131A667BDDA4}">
      <tableStyleElement type="wholeTable" dxfId="1"/>
      <tableStyleElement type="headerRow" dxfId="0"/>
    </tableStyle>
    <tableStyle name="Slicer Style 3" pivot="0" table="0" count="1" xr9:uid="{3DFD1A6E-B001-4B81-BC3E-40522453714E}">
      <tableStyleElement type="wholeTable" dxfId="34"/>
    </tableStyle>
  </tableStyles>
  <colors>
    <mruColors>
      <color rgb="FF3D49EB"/>
      <color rgb="FF99938F"/>
      <color rgb="FF666699"/>
    </mruColors>
  </colors>
  <extLst>
    <ext xmlns:x14="http://schemas.microsoft.com/office/spreadsheetml/2009/9/main" uri="{46F421CA-312F-682f-3DD2-61675219B42D}">
      <x14:dxfs count="11">
        <dxf>
          <fill>
            <patternFill>
              <bgColor theme="8" tint="-0.24994659260841701"/>
            </patternFill>
          </fill>
        </dxf>
        <dxf>
          <fill>
            <patternFill>
              <bgColor rgb="FF3D49EB"/>
            </patternFill>
          </fill>
        </dxf>
        <dxf>
          <fill>
            <patternFill>
              <bgColor theme="4" tint="-0.24994659260841701"/>
            </patternFill>
          </fill>
        </dxf>
        <dxf>
          <fill>
            <patternFill>
              <bgColor rgb="FF3D49EB"/>
            </patternFill>
          </fill>
        </dxf>
        <dxf>
          <fill>
            <patternFill>
              <bgColor theme="4" tint="-0.24994659260841701"/>
            </patternFill>
          </fill>
        </dxf>
        <dxf>
          <fill>
            <patternFill>
              <bgColor theme="3" tint="0.39994506668294322"/>
            </patternFill>
          </fill>
        </dxf>
        <dxf>
          <fill>
            <patternFill>
              <bgColor theme="4" tint="-0.24994659260841701"/>
            </patternFill>
          </fill>
        </dxf>
        <dxf>
          <fill>
            <patternFill>
              <bgColor theme="4" tint="0.79998168889431442"/>
            </patternFill>
          </fill>
        </dxf>
        <dxf>
          <fill>
            <patternFill>
              <bgColor theme="4" tint="-0.24994659260841701"/>
            </patternFill>
          </fill>
        </dxf>
        <dxf>
          <border>
            <left style="thin">
              <color auto="1"/>
            </left>
            <right style="thin">
              <color auto="1"/>
            </right>
            <top style="thin">
              <color auto="1"/>
            </top>
            <bottom style="thin">
              <color auto="1"/>
            </bottom>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x14:slicerStyleElement type="selectedItemWithData" dxfId="2"/>
            <x14:slicerStyleElement type="selectedItemWithNoData"/>
            <x14:slicerStyleElement type="hoveredUnselectedItemWithData" dxfId="1"/>
            <x14:slicerStyleElement type="hovered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Tables!PivotTable1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Over Time</a:t>
            </a:r>
          </a:p>
        </c:rich>
      </c:tx>
      <c:layout>
        <c:manualLayout>
          <c:xMode val="edge"/>
          <c:yMode val="edge"/>
          <c:x val="4.0812335958005264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3648293963256"/>
          <c:y val="0.23189814814814816"/>
          <c:w val="0.8383079615048119"/>
          <c:h val="0.66070246427529888"/>
        </c:manualLayout>
      </c:layout>
      <c:lineChart>
        <c:grouping val="stacked"/>
        <c:varyColors val="0"/>
        <c:ser>
          <c:idx val="0"/>
          <c:order val="0"/>
          <c:tx>
            <c:strRef>
              <c:f>'Pivot Tables'!$C$3</c:f>
              <c:strCache>
                <c:ptCount val="1"/>
                <c:pt idx="0">
                  <c:v>Total</c:v>
                </c:pt>
              </c:strCache>
            </c:strRef>
          </c:tx>
          <c:spPr>
            <a:ln w="28575" cap="rnd">
              <a:solidFill>
                <a:schemeClr val="tx2">
                  <a:lumMod val="50000"/>
                </a:schemeClr>
              </a:solidFill>
              <a:round/>
            </a:ln>
            <a:effectLst/>
          </c:spPr>
          <c:marker>
            <c:symbol val="none"/>
          </c:marker>
          <c:cat>
            <c:strRef>
              <c:f>'Pivot Tables'!$B$4:$B$16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General</c:formatCode>
                <c:ptCount val="12"/>
                <c:pt idx="0">
                  <c:v>481369.81549999997</c:v>
                </c:pt>
                <c:pt idx="1">
                  <c:v>585532.07849999995</c:v>
                </c:pt>
                <c:pt idx="2">
                  <c:v>579605.02400000009</c:v>
                </c:pt>
                <c:pt idx="3">
                  <c:v>525950.06699999992</c:v>
                </c:pt>
                <c:pt idx="4">
                  <c:v>627015.09050000005</c:v>
                </c:pt>
                <c:pt idx="5">
                  <c:v>335432.29849999998</c:v>
                </c:pt>
                <c:pt idx="6">
                  <c:v>290554.7855</c:v>
                </c:pt>
                <c:pt idx="7">
                  <c:v>236987.02300000007</c:v>
                </c:pt>
                <c:pt idx="8">
                  <c:v>253920.51200000002</c:v>
                </c:pt>
                <c:pt idx="9">
                  <c:v>213646.88100000005</c:v>
                </c:pt>
                <c:pt idx="10">
                  <c:v>338757.45799999998</c:v>
                </c:pt>
                <c:pt idx="11">
                  <c:v>187060.45199999999</c:v>
                </c:pt>
              </c:numCache>
            </c:numRef>
          </c:val>
          <c:smooth val="0"/>
          <c:extLst>
            <c:ext xmlns:c16="http://schemas.microsoft.com/office/drawing/2014/chart" uri="{C3380CC4-5D6E-409C-BE32-E72D297353CC}">
              <c16:uniqueId val="{00000000-CD26-407A-A2F9-90763921DC03}"/>
            </c:ext>
          </c:extLst>
        </c:ser>
        <c:dLbls>
          <c:showLegendKey val="0"/>
          <c:showVal val="0"/>
          <c:showCatName val="0"/>
          <c:showSerName val="0"/>
          <c:showPercent val="0"/>
          <c:showBubbleSize val="0"/>
        </c:dLbls>
        <c:smooth val="0"/>
        <c:axId val="1622512992"/>
        <c:axId val="1566735568"/>
      </c:lineChart>
      <c:catAx>
        <c:axId val="162251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6735568"/>
        <c:crosses val="autoZero"/>
        <c:auto val="1"/>
        <c:lblAlgn val="ctr"/>
        <c:lblOffset val="100"/>
        <c:noMultiLvlLbl val="0"/>
      </c:catAx>
      <c:valAx>
        <c:axId val="156673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2512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50000"/>
          <a:alpha val="97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data.xlsx]Pivot Tables!PivotTable2</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By Category</a:t>
            </a:r>
          </a:p>
        </c:rich>
      </c:tx>
      <c:layout>
        <c:manualLayout>
          <c:xMode val="edge"/>
          <c:yMode val="edge"/>
          <c:x val="5.6347112860892418E-2"/>
          <c:y val="3.7037037037037035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numFmt formatCode="0.0,&quot;%&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8.3736527265154639E-2"/>
          <c:y val="0.18648950131233596"/>
          <c:w val="0.48794438052595318"/>
          <c:h val="0.74780766987459912"/>
        </c:manualLayout>
      </c:layout>
      <c:doughnutChart>
        <c:varyColors val="1"/>
        <c:ser>
          <c:idx val="0"/>
          <c:order val="0"/>
          <c:tx>
            <c:strRef>
              <c:f>'Pivot Tables'!$F$3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709F-4BC1-89DF-CB743B045532}"/>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709F-4BC1-89DF-CB743B045532}"/>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09F-4BC1-89DF-CB743B045532}"/>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709F-4BC1-89DF-CB743B045532}"/>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709F-4BC1-89DF-CB743B045532}"/>
              </c:ext>
            </c:extLst>
          </c:dPt>
          <c:dPt>
            <c:idx val="5"/>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B-709F-4BC1-89DF-CB743B045532}"/>
              </c:ext>
            </c:extLst>
          </c:dPt>
          <c:dPt>
            <c:idx val="6"/>
            <c:bubble3D val="0"/>
            <c:spPr>
              <a:solidFill>
                <a:schemeClr val="accent1">
                  <a:tint val="7000"/>
                </a:schemeClr>
              </a:solidFill>
              <a:ln w="19050">
                <a:solidFill>
                  <a:schemeClr val="lt1"/>
                </a:solidFill>
              </a:ln>
              <a:effectLst/>
            </c:spPr>
            <c:extLst>
              <c:ext xmlns:c16="http://schemas.microsoft.com/office/drawing/2014/chart" uri="{C3380CC4-5D6E-409C-BE32-E72D297353CC}">
                <c16:uniqueId val="{0000000D-709F-4BC1-89DF-CB743B045532}"/>
              </c:ext>
            </c:extLst>
          </c:dPt>
          <c:dPt>
            <c:idx val="7"/>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0F-709F-4BC1-89DF-CB743B045532}"/>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Tables'!$E$4:$E$9</c:f>
              <c:strCache>
                <c:ptCount val="5"/>
                <c:pt idx="0">
                  <c:v>Clothing</c:v>
                </c:pt>
                <c:pt idx="1">
                  <c:v>Electronics</c:v>
                </c:pt>
                <c:pt idx="2">
                  <c:v>Grocery</c:v>
                </c:pt>
                <c:pt idx="3">
                  <c:v>Home &amp; Kitchen</c:v>
                </c:pt>
                <c:pt idx="4">
                  <c:v>Sports</c:v>
                </c:pt>
              </c:strCache>
            </c:strRef>
          </c:cat>
          <c:val>
            <c:numRef>
              <c:f>'Pivot Tables'!$F$4:$F$9</c:f>
              <c:numCache>
                <c:formatCode>0.00%</c:formatCode>
                <c:ptCount val="5"/>
                <c:pt idx="0">
                  <c:v>0.13828224417097731</c:v>
                </c:pt>
                <c:pt idx="1">
                  <c:v>0.23080723775409542</c:v>
                </c:pt>
                <c:pt idx="2">
                  <c:v>0.1995035081628361</c:v>
                </c:pt>
                <c:pt idx="3">
                  <c:v>0.23137845998310097</c:v>
                </c:pt>
                <c:pt idx="4">
                  <c:v>0.20002854992899016</c:v>
                </c:pt>
              </c:numCache>
            </c:numRef>
          </c:val>
          <c:extLst>
            <c:ext xmlns:c16="http://schemas.microsoft.com/office/drawing/2014/chart" uri="{C3380CC4-5D6E-409C-BE32-E72D297353CC}">
              <c16:uniqueId val="{00000010-709F-4BC1-89DF-CB743B04553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135400613538228"/>
          <c:y val="0.19423594094178218"/>
          <c:w val="0.3138314408729112"/>
          <c:h val="0.6558486439195100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50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Tables!PivotTable3</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By Region</a:t>
            </a:r>
          </a:p>
        </c:rich>
      </c:tx>
      <c:layout>
        <c:manualLayout>
          <c:xMode val="edge"/>
          <c:yMode val="edge"/>
          <c:x val="4.5708223972003498E-2"/>
          <c:y val="4.629629629629629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Total</c:v>
                </c:pt>
              </c:strCache>
            </c:strRef>
          </c:tx>
          <c:spPr>
            <a:solidFill>
              <a:schemeClr val="tx2">
                <a:lumMod val="5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Tables'!$H$4:$H$8</c:f>
              <c:strCache>
                <c:ptCount val="4"/>
                <c:pt idx="0">
                  <c:v>East</c:v>
                </c:pt>
                <c:pt idx="1">
                  <c:v>North</c:v>
                </c:pt>
                <c:pt idx="2">
                  <c:v>South</c:v>
                </c:pt>
                <c:pt idx="3">
                  <c:v>West</c:v>
                </c:pt>
              </c:strCache>
            </c:strRef>
          </c:cat>
          <c:val>
            <c:numRef>
              <c:f>'Pivot Tables'!$I$4:$I$8</c:f>
              <c:numCache>
                <c:formatCode>General</c:formatCode>
                <c:ptCount val="4"/>
                <c:pt idx="0">
                  <c:v>1114020.9294999996</c:v>
                </c:pt>
                <c:pt idx="1">
                  <c:v>1134474.1005000004</c:v>
                </c:pt>
                <c:pt idx="2">
                  <c:v>1175918.4084999999</c:v>
                </c:pt>
                <c:pt idx="3">
                  <c:v>1231418.047</c:v>
                </c:pt>
              </c:numCache>
            </c:numRef>
          </c:val>
          <c:extLst>
            <c:ext xmlns:c16="http://schemas.microsoft.com/office/drawing/2014/chart" uri="{C3380CC4-5D6E-409C-BE32-E72D297353CC}">
              <c16:uniqueId val="{00000000-66AB-4998-AC69-2F141D35D05B}"/>
            </c:ext>
          </c:extLst>
        </c:ser>
        <c:dLbls>
          <c:showLegendKey val="0"/>
          <c:showVal val="1"/>
          <c:showCatName val="0"/>
          <c:showSerName val="0"/>
          <c:showPercent val="0"/>
          <c:showBubbleSize val="0"/>
        </c:dLbls>
        <c:gapWidth val="182"/>
        <c:axId val="1622595120"/>
        <c:axId val="1566817648"/>
      </c:barChart>
      <c:catAx>
        <c:axId val="162259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17648"/>
        <c:crosses val="autoZero"/>
        <c:auto val="1"/>
        <c:lblAlgn val="ctr"/>
        <c:lblOffset val="100"/>
        <c:noMultiLvlLbl val="0"/>
      </c:catAx>
      <c:valAx>
        <c:axId val="1566817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endParaRPr lang="en-US"/>
          </a:p>
        </c:txPr>
        <c:crossAx val="162259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Tables!PivotTable6</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Top 10 Products By Sales</a:t>
            </a:r>
          </a:p>
        </c:rich>
      </c:tx>
      <c:layout>
        <c:manualLayout>
          <c:xMode val="edge"/>
          <c:yMode val="edge"/>
          <c:x val="4.3520778652668415E-2"/>
          <c:y val="4.037435016928376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pivotFmt>
    </c:pivotFmts>
    <c:plotArea>
      <c:layout>
        <c:manualLayout>
          <c:layoutTarget val="inner"/>
          <c:xMode val="edge"/>
          <c:yMode val="edge"/>
          <c:x val="0.22349803149606295"/>
          <c:y val="0.19949074074074077"/>
          <c:w val="0.66044181977252847"/>
          <c:h val="0.69310987168270621"/>
        </c:manualLayout>
      </c:layout>
      <c:barChart>
        <c:barDir val="bar"/>
        <c:grouping val="clustered"/>
        <c:varyColors val="0"/>
        <c:ser>
          <c:idx val="0"/>
          <c:order val="0"/>
          <c:tx>
            <c:strRef>
              <c:f>'Pivot Tables'!$F$21</c:f>
              <c:strCache>
                <c:ptCount val="1"/>
                <c:pt idx="0">
                  <c:v>Total</c:v>
                </c:pt>
              </c:strCache>
            </c:strRef>
          </c:tx>
          <c:spPr>
            <a:solidFill>
              <a:schemeClr val="tx2">
                <a:lumMod val="5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Tables'!$E$22:$E$32</c:f>
              <c:strCache>
                <c:ptCount val="10"/>
                <c:pt idx="0">
                  <c:v>USB-C Charger</c:v>
                </c:pt>
                <c:pt idx="1">
                  <c:v>LED Lamp</c:v>
                </c:pt>
                <c:pt idx="2">
                  <c:v>Football</c:v>
                </c:pt>
                <c:pt idx="3">
                  <c:v>Comic Book</c:v>
                </c:pt>
                <c:pt idx="4">
                  <c:v>Action Figure</c:v>
                </c:pt>
                <c:pt idx="5">
                  <c:v>Power Bank</c:v>
                </c:pt>
                <c:pt idx="6">
                  <c:v>Hair Serum</c:v>
                </c:pt>
                <c:pt idx="7">
                  <c:v>Green Tea Pack</c:v>
                </c:pt>
                <c:pt idx="8">
                  <c:v>Hoodie</c:v>
                </c:pt>
                <c:pt idx="9">
                  <c:v>Honey Jar</c:v>
                </c:pt>
              </c:strCache>
            </c:strRef>
          </c:cat>
          <c:val>
            <c:numRef>
              <c:f>'Pivot Tables'!$F$22:$F$32</c:f>
              <c:numCache>
                <c:formatCode>0.00</c:formatCode>
                <c:ptCount val="10"/>
                <c:pt idx="0">
                  <c:v>213429.114</c:v>
                </c:pt>
                <c:pt idx="1">
                  <c:v>183252.533</c:v>
                </c:pt>
                <c:pt idx="2">
                  <c:v>181879.79799999998</c:v>
                </c:pt>
                <c:pt idx="3">
                  <c:v>178540.28299999997</c:v>
                </c:pt>
                <c:pt idx="4">
                  <c:v>174265.71000000002</c:v>
                </c:pt>
                <c:pt idx="5">
                  <c:v>149959.77100000001</c:v>
                </c:pt>
                <c:pt idx="6">
                  <c:v>149351.46400000001</c:v>
                </c:pt>
                <c:pt idx="7">
                  <c:v>140263.451</c:v>
                </c:pt>
                <c:pt idx="8">
                  <c:v>139777.28700000001</c:v>
                </c:pt>
                <c:pt idx="9">
                  <c:v>139613.54699999999</c:v>
                </c:pt>
              </c:numCache>
            </c:numRef>
          </c:val>
          <c:extLst>
            <c:ext xmlns:c16="http://schemas.microsoft.com/office/drawing/2014/chart" uri="{C3380CC4-5D6E-409C-BE32-E72D297353CC}">
              <c16:uniqueId val="{00000000-2A37-438A-84D7-8C40DA1865C3}"/>
            </c:ext>
          </c:extLst>
        </c:ser>
        <c:dLbls>
          <c:dLblPos val="outEnd"/>
          <c:showLegendKey val="0"/>
          <c:showVal val="1"/>
          <c:showCatName val="0"/>
          <c:showSerName val="0"/>
          <c:showPercent val="0"/>
          <c:showBubbleSize val="0"/>
        </c:dLbls>
        <c:gapWidth val="182"/>
        <c:axId val="1622587696"/>
        <c:axId val="1566763888"/>
      </c:barChart>
      <c:catAx>
        <c:axId val="162258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6763888"/>
        <c:crosses val="autoZero"/>
        <c:auto val="1"/>
        <c:lblAlgn val="ctr"/>
        <c:lblOffset val="100"/>
        <c:noMultiLvlLbl val="0"/>
      </c:catAx>
      <c:valAx>
        <c:axId val="15667638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25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data.xlsx]Pivot Tables!PivotTable4</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By Payment Method</a:t>
            </a:r>
          </a:p>
        </c:rich>
      </c:tx>
      <c:layout>
        <c:manualLayout>
          <c:xMode val="edge"/>
          <c:yMode val="edge"/>
          <c:x val="5.8928067135724474E-2"/>
          <c:y val="4.568320818555648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1437268566198572"/>
          <c:y val="0.20412023042118851"/>
          <c:w val="0.48967058459490881"/>
          <c:h val="0.66464981710144222"/>
        </c:manualLayout>
      </c:layout>
      <c:doughnutChart>
        <c:varyColors val="1"/>
        <c:ser>
          <c:idx val="0"/>
          <c:order val="0"/>
          <c:tx>
            <c:strRef>
              <c:f>'Pivot Tables'!$L$3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C88F-4176-8F52-371219BB64F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C88F-4176-8F52-371219BB64FA}"/>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C88F-4176-8F52-371219BB64FA}"/>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C88F-4176-8F52-371219BB64FA}"/>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C88F-4176-8F52-371219BB64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Tables'!$K$4:$K$9</c:f>
              <c:strCache>
                <c:ptCount val="5"/>
                <c:pt idx="0">
                  <c:v>Cash on Delivery</c:v>
                </c:pt>
                <c:pt idx="1">
                  <c:v>Credit Card</c:v>
                </c:pt>
                <c:pt idx="2">
                  <c:v>Debit Card</c:v>
                </c:pt>
                <c:pt idx="3">
                  <c:v>Net Banking</c:v>
                </c:pt>
                <c:pt idx="4">
                  <c:v>UPI</c:v>
                </c:pt>
              </c:strCache>
            </c:strRef>
          </c:cat>
          <c:val>
            <c:numRef>
              <c:f>'Pivot Tables'!$L$4:$L$9</c:f>
              <c:numCache>
                <c:formatCode>0.00%</c:formatCode>
                <c:ptCount val="5"/>
                <c:pt idx="0">
                  <c:v>0.20792079207920791</c:v>
                </c:pt>
                <c:pt idx="1">
                  <c:v>0.20297029702970298</c:v>
                </c:pt>
                <c:pt idx="2">
                  <c:v>0.22524752475247525</c:v>
                </c:pt>
                <c:pt idx="3">
                  <c:v>0.1905940594059406</c:v>
                </c:pt>
                <c:pt idx="4">
                  <c:v>0.17326732673267325</c:v>
                </c:pt>
              </c:numCache>
            </c:numRef>
          </c:val>
          <c:extLst>
            <c:ext xmlns:c16="http://schemas.microsoft.com/office/drawing/2014/chart" uri="{C3380CC4-5D6E-409C-BE32-E72D297353CC}">
              <c16:uniqueId val="{0000000A-C88F-4176-8F52-371219BB64F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584208223972004"/>
          <c:y val="0.29100539515893847"/>
          <c:w val="0.35983022207392651"/>
          <c:h val="0.52488699329250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Tables!PivotTable5</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Top 10 Customers By Sales</a:t>
            </a:r>
          </a:p>
        </c:rich>
      </c:tx>
      <c:layout>
        <c:manualLayout>
          <c:xMode val="edge"/>
          <c:yMode val="edge"/>
          <c:x val="4.7045139229507968E-2"/>
          <c:y val="4.038996993014443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5193010455299"/>
          <c:y val="0.1861573714080357"/>
          <c:w val="0.73739869702382965"/>
          <c:h val="0.72014489504173351"/>
        </c:manualLayout>
      </c:layout>
      <c:barChart>
        <c:barDir val="bar"/>
        <c:grouping val="clustered"/>
        <c:varyColors val="0"/>
        <c:ser>
          <c:idx val="0"/>
          <c:order val="0"/>
          <c:tx>
            <c:strRef>
              <c:f>'Pivot Tables'!$C$21</c:f>
              <c:strCache>
                <c:ptCount val="1"/>
                <c:pt idx="0">
                  <c:v>Total</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Tables'!$B$22:$B$32</c:f>
              <c:strCache>
                <c:ptCount val="10"/>
                <c:pt idx="0">
                  <c:v>Meera Verma</c:v>
                </c:pt>
                <c:pt idx="1">
                  <c:v>Deepak Mehta</c:v>
                </c:pt>
                <c:pt idx="2">
                  <c:v>Karan Verma</c:v>
                </c:pt>
                <c:pt idx="3">
                  <c:v>Sakshi Gupta</c:v>
                </c:pt>
                <c:pt idx="4">
                  <c:v>Rajesh Shah</c:v>
                </c:pt>
                <c:pt idx="5">
                  <c:v>Priya Joshi</c:v>
                </c:pt>
                <c:pt idx="6">
                  <c:v>Riya Mehta</c:v>
                </c:pt>
                <c:pt idx="7">
                  <c:v>Yash Kumar</c:v>
                </c:pt>
                <c:pt idx="8">
                  <c:v>Kavya Sharma</c:v>
                </c:pt>
                <c:pt idx="9">
                  <c:v>Rohan Kumar</c:v>
                </c:pt>
              </c:strCache>
            </c:strRef>
          </c:cat>
          <c:val>
            <c:numRef>
              <c:f>'Pivot Tables'!$C$22:$C$32</c:f>
              <c:numCache>
                <c:formatCode>0.0,"K"</c:formatCode>
                <c:ptCount val="10"/>
                <c:pt idx="0">
                  <c:v>176894.66899999997</c:v>
                </c:pt>
                <c:pt idx="1">
                  <c:v>170943.29750000002</c:v>
                </c:pt>
                <c:pt idx="2">
                  <c:v>155142.74400000001</c:v>
                </c:pt>
                <c:pt idx="3">
                  <c:v>144965.30800000002</c:v>
                </c:pt>
                <c:pt idx="4">
                  <c:v>143431.34</c:v>
                </c:pt>
                <c:pt idx="5">
                  <c:v>137735.39799999999</c:v>
                </c:pt>
                <c:pt idx="6">
                  <c:v>135656.77750000003</c:v>
                </c:pt>
                <c:pt idx="7">
                  <c:v>127699.12850000001</c:v>
                </c:pt>
                <c:pt idx="8">
                  <c:v>127691.179</c:v>
                </c:pt>
                <c:pt idx="9">
                  <c:v>125935.8365</c:v>
                </c:pt>
              </c:numCache>
            </c:numRef>
          </c:val>
          <c:extLst>
            <c:ext xmlns:c16="http://schemas.microsoft.com/office/drawing/2014/chart" uri="{C3380CC4-5D6E-409C-BE32-E72D297353CC}">
              <c16:uniqueId val="{00000000-0AF4-4A6A-8134-1AA8F99EFD42}"/>
            </c:ext>
          </c:extLst>
        </c:ser>
        <c:dLbls>
          <c:dLblPos val="outEnd"/>
          <c:showLegendKey val="0"/>
          <c:showVal val="1"/>
          <c:showCatName val="0"/>
          <c:showSerName val="0"/>
          <c:showPercent val="0"/>
          <c:showBubbleSize val="0"/>
        </c:dLbls>
        <c:gapWidth val="182"/>
        <c:axId val="889436879"/>
        <c:axId val="1566826288"/>
      </c:barChart>
      <c:catAx>
        <c:axId val="8894368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6826288"/>
        <c:crosses val="autoZero"/>
        <c:auto val="1"/>
        <c:lblAlgn val="ctr"/>
        <c:lblOffset val="100"/>
        <c:noMultiLvlLbl val="0"/>
      </c:catAx>
      <c:valAx>
        <c:axId val="1566826288"/>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43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8759</xdr:colOff>
      <xdr:row>0</xdr:row>
      <xdr:rowOff>411655</xdr:rowOff>
    </xdr:from>
    <xdr:to>
      <xdr:col>3</xdr:col>
      <xdr:colOff>78828</xdr:colOff>
      <xdr:row>46</xdr:row>
      <xdr:rowOff>105103</xdr:rowOff>
    </xdr:to>
    <xdr:sp macro="" textlink="">
      <xdr:nvSpPr>
        <xdr:cNvPr id="2" name="Rectangle: Rounded Corners 1">
          <a:extLst>
            <a:ext uri="{FF2B5EF4-FFF2-40B4-BE49-F238E27FC236}">
              <a16:creationId xmlns:a16="http://schemas.microsoft.com/office/drawing/2014/main" id="{F639F779-84B9-7E50-24D8-386114468F2D}"/>
            </a:ext>
          </a:extLst>
        </xdr:cNvPr>
        <xdr:cNvSpPr/>
      </xdr:nvSpPr>
      <xdr:spPr>
        <a:xfrm>
          <a:off x="8759" y="411655"/>
          <a:ext cx="1909379" cy="8574689"/>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26</xdr:col>
      <xdr:colOff>0</xdr:colOff>
      <xdr:row>0</xdr:row>
      <xdr:rowOff>586827</xdr:rowOff>
    </xdr:to>
    <xdr:sp macro="" textlink="">
      <xdr:nvSpPr>
        <xdr:cNvPr id="3" name="Rectangle: Rounded Corners 2">
          <a:extLst>
            <a:ext uri="{FF2B5EF4-FFF2-40B4-BE49-F238E27FC236}">
              <a16:creationId xmlns:a16="http://schemas.microsoft.com/office/drawing/2014/main" id="{01071786-9B46-133A-E98C-C770A9196AC0}"/>
            </a:ext>
          </a:extLst>
        </xdr:cNvPr>
        <xdr:cNvSpPr/>
      </xdr:nvSpPr>
      <xdr:spPr>
        <a:xfrm>
          <a:off x="0" y="0"/>
          <a:ext cx="15940690" cy="586827"/>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RETAIL</a:t>
          </a:r>
          <a:r>
            <a:rPr lang="en-US" sz="2400" b="1" baseline="0"/>
            <a:t> SALES DASHBOARD</a:t>
          </a:r>
          <a:endParaRPr lang="en-US" sz="2400" b="1"/>
        </a:p>
      </xdr:txBody>
    </xdr:sp>
    <xdr:clientData/>
  </xdr:twoCellAnchor>
  <xdr:twoCellAnchor>
    <xdr:from>
      <xdr:col>3</xdr:col>
      <xdr:colOff>96345</xdr:colOff>
      <xdr:row>1</xdr:row>
      <xdr:rowOff>61309</xdr:rowOff>
    </xdr:from>
    <xdr:to>
      <xdr:col>7</xdr:col>
      <xdr:colOff>385380</xdr:colOff>
      <xdr:row>7</xdr:row>
      <xdr:rowOff>43792</xdr:rowOff>
    </xdr:to>
    <xdr:sp macro="" textlink="">
      <xdr:nvSpPr>
        <xdr:cNvPr id="5" name="Rectangle: Rounded Corners 4">
          <a:extLst>
            <a:ext uri="{FF2B5EF4-FFF2-40B4-BE49-F238E27FC236}">
              <a16:creationId xmlns:a16="http://schemas.microsoft.com/office/drawing/2014/main" id="{B15778EC-8E91-6021-604F-EB03D818AB4C}"/>
            </a:ext>
          </a:extLst>
        </xdr:cNvPr>
        <xdr:cNvSpPr/>
      </xdr:nvSpPr>
      <xdr:spPr>
        <a:xfrm>
          <a:off x="1935655" y="665654"/>
          <a:ext cx="2741449" cy="10860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227726</xdr:colOff>
      <xdr:row>1</xdr:row>
      <xdr:rowOff>166413</xdr:rowOff>
    </xdr:from>
    <xdr:to>
      <xdr:col>7</xdr:col>
      <xdr:colOff>201449</xdr:colOff>
      <xdr:row>3</xdr:row>
      <xdr:rowOff>166413</xdr:rowOff>
    </xdr:to>
    <xdr:sp macro="" textlink="">
      <xdr:nvSpPr>
        <xdr:cNvPr id="6" name="TextBox 5">
          <a:extLst>
            <a:ext uri="{FF2B5EF4-FFF2-40B4-BE49-F238E27FC236}">
              <a16:creationId xmlns:a16="http://schemas.microsoft.com/office/drawing/2014/main" id="{40EE6D4D-3B90-6B25-519E-3AD9990D075D}"/>
            </a:ext>
          </a:extLst>
        </xdr:cNvPr>
        <xdr:cNvSpPr txBox="1"/>
      </xdr:nvSpPr>
      <xdr:spPr>
        <a:xfrm>
          <a:off x="3293243" y="770758"/>
          <a:ext cx="1199930" cy="367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mj-lt"/>
              <a:ea typeface="Cascadia Code SemiLight" panose="020B0609020000020004" pitchFamily="49" charset="0"/>
              <a:cs typeface="Cascadia Code SemiLight" panose="020B0609020000020004" pitchFamily="49" charset="0"/>
            </a:rPr>
            <a:t>Total</a:t>
          </a:r>
          <a:r>
            <a:rPr lang="en-US" sz="1600" baseline="0">
              <a:latin typeface="+mj-lt"/>
              <a:ea typeface="Cascadia Code SemiLight" panose="020B0609020000020004" pitchFamily="49" charset="0"/>
              <a:cs typeface="Cascadia Code SemiLight" panose="020B0609020000020004" pitchFamily="49" charset="0"/>
            </a:rPr>
            <a:t> </a:t>
          </a:r>
          <a:r>
            <a:rPr lang="en-US" sz="1600" b="1" baseline="0">
              <a:latin typeface="+mj-lt"/>
              <a:ea typeface="Cascadia Code SemiLight" panose="020B0609020000020004" pitchFamily="49" charset="0"/>
              <a:cs typeface="Cascadia Code SemiLight" panose="020B0609020000020004" pitchFamily="49" charset="0"/>
            </a:rPr>
            <a:t>Sales</a:t>
          </a:r>
          <a:r>
            <a:rPr lang="en-US" sz="1600" baseline="0">
              <a:latin typeface="+mj-lt"/>
              <a:ea typeface="Cascadia Code SemiLight" panose="020B0609020000020004" pitchFamily="49" charset="0"/>
              <a:cs typeface="Cascadia Code SemiLight" panose="020B0609020000020004" pitchFamily="49" charset="0"/>
            </a:rPr>
            <a:t> </a:t>
          </a:r>
          <a:endParaRPr lang="en-US" sz="1600">
            <a:latin typeface="+mj-lt"/>
            <a:ea typeface="Cascadia Code SemiLight" panose="020B0609020000020004" pitchFamily="49" charset="0"/>
            <a:cs typeface="Cascadia Code SemiLight" panose="020B0609020000020004" pitchFamily="49" charset="0"/>
          </a:endParaRPr>
        </a:p>
      </xdr:txBody>
    </xdr:sp>
    <xdr:clientData/>
  </xdr:twoCellAnchor>
  <xdr:twoCellAnchor>
    <xdr:from>
      <xdr:col>4</xdr:col>
      <xdr:colOff>464209</xdr:colOff>
      <xdr:row>3</xdr:row>
      <xdr:rowOff>140136</xdr:rowOff>
    </xdr:from>
    <xdr:to>
      <xdr:col>7</xdr:col>
      <xdr:colOff>306553</xdr:colOff>
      <xdr:row>6</xdr:row>
      <xdr:rowOff>148896</xdr:rowOff>
    </xdr:to>
    <xdr:sp macro="" textlink="'Pivot Tables'!C41">
      <xdr:nvSpPr>
        <xdr:cNvPr id="7" name="TextBox 6">
          <a:extLst>
            <a:ext uri="{FF2B5EF4-FFF2-40B4-BE49-F238E27FC236}">
              <a16:creationId xmlns:a16="http://schemas.microsoft.com/office/drawing/2014/main" id="{EC348FA5-92DF-41BC-94ED-90C6635A4134}"/>
            </a:ext>
          </a:extLst>
        </xdr:cNvPr>
        <xdr:cNvSpPr txBox="1"/>
      </xdr:nvSpPr>
      <xdr:spPr>
        <a:xfrm>
          <a:off x="2916623" y="1112343"/>
          <a:ext cx="1681654" cy="5605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30DF77-C84A-4994-B65D-D463BAF41974}" type="TxLink">
            <a:rPr lang="en-US" sz="2800" b="0" i="0" u="none" strike="noStrike">
              <a:solidFill>
                <a:srgbClr val="000000"/>
              </a:solidFill>
              <a:latin typeface="Calibri"/>
              <a:ea typeface="Calibri"/>
              <a:cs typeface="Calibri"/>
            </a:rPr>
            <a:pPr/>
            <a:t>4,655,831</a:t>
          </a:fld>
          <a:endParaRPr lang="en-US" sz="2800"/>
        </a:p>
      </xdr:txBody>
    </xdr:sp>
    <xdr:clientData/>
  </xdr:twoCellAnchor>
  <xdr:twoCellAnchor>
    <xdr:from>
      <xdr:col>7</xdr:col>
      <xdr:colOff>432675</xdr:colOff>
      <xdr:row>1</xdr:row>
      <xdr:rowOff>56053</xdr:rowOff>
    </xdr:from>
    <xdr:to>
      <xdr:col>12</xdr:col>
      <xdr:colOff>108607</xdr:colOff>
      <xdr:row>7</xdr:row>
      <xdr:rowOff>38536</xdr:rowOff>
    </xdr:to>
    <xdr:sp macro="" textlink="">
      <xdr:nvSpPr>
        <xdr:cNvPr id="9" name="Rectangle: Rounded Corners 8">
          <a:extLst>
            <a:ext uri="{FF2B5EF4-FFF2-40B4-BE49-F238E27FC236}">
              <a16:creationId xmlns:a16="http://schemas.microsoft.com/office/drawing/2014/main" id="{E9A55557-DE13-422C-B6CC-AD3518A6AABD}"/>
            </a:ext>
          </a:extLst>
        </xdr:cNvPr>
        <xdr:cNvSpPr/>
      </xdr:nvSpPr>
      <xdr:spPr>
        <a:xfrm>
          <a:off x="4724399" y="660398"/>
          <a:ext cx="2741449" cy="10860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227724</xdr:colOff>
      <xdr:row>1</xdr:row>
      <xdr:rowOff>161158</xdr:rowOff>
    </xdr:from>
    <xdr:to>
      <xdr:col>11</xdr:col>
      <xdr:colOff>555297</xdr:colOff>
      <xdr:row>3</xdr:row>
      <xdr:rowOff>161158</xdr:rowOff>
    </xdr:to>
    <xdr:sp macro="" textlink="">
      <xdr:nvSpPr>
        <xdr:cNvPr id="10" name="TextBox 9">
          <a:extLst>
            <a:ext uri="{FF2B5EF4-FFF2-40B4-BE49-F238E27FC236}">
              <a16:creationId xmlns:a16="http://schemas.microsoft.com/office/drawing/2014/main" id="{E643EEC4-9268-4435-8724-C1BAFD047784}"/>
            </a:ext>
          </a:extLst>
        </xdr:cNvPr>
        <xdr:cNvSpPr txBox="1"/>
      </xdr:nvSpPr>
      <xdr:spPr>
        <a:xfrm>
          <a:off x="5745655" y="765503"/>
          <a:ext cx="1553780" cy="367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dk1"/>
              </a:solidFill>
              <a:latin typeface="+mj-lt"/>
              <a:ea typeface="Cascadia Code SemiLight" panose="020B0609020000020004" pitchFamily="49" charset="0"/>
              <a:cs typeface="Cascadia Code SemiLight" panose="020B0609020000020004" pitchFamily="49" charset="0"/>
            </a:rPr>
            <a:t>Total</a:t>
          </a:r>
          <a:r>
            <a:rPr lang="en-US" sz="1600">
              <a:latin typeface="+mj-lt"/>
              <a:ea typeface="Cascadia Code SemiLight" panose="020B0609020000020004" pitchFamily="49" charset="0"/>
              <a:cs typeface="Cascadia Code SemiLight" panose="020B0609020000020004" pitchFamily="49" charset="0"/>
            </a:rPr>
            <a:t> </a:t>
          </a:r>
          <a:r>
            <a:rPr lang="en-US" sz="1600" b="1">
              <a:latin typeface="+mj-lt"/>
              <a:ea typeface="Cascadia Code SemiLight" panose="020B0609020000020004" pitchFamily="49" charset="0"/>
              <a:cs typeface="Cascadia Code SemiLight" panose="020B0609020000020004" pitchFamily="49" charset="0"/>
            </a:rPr>
            <a:t>Oreders</a:t>
          </a:r>
        </a:p>
      </xdr:txBody>
    </xdr:sp>
    <xdr:clientData/>
  </xdr:twoCellAnchor>
  <xdr:twoCellAnchor>
    <xdr:from>
      <xdr:col>10</xdr:col>
      <xdr:colOff>336334</xdr:colOff>
      <xdr:row>3</xdr:row>
      <xdr:rowOff>126124</xdr:rowOff>
    </xdr:from>
    <xdr:to>
      <xdr:col>11</xdr:col>
      <xdr:colOff>560553</xdr:colOff>
      <xdr:row>6</xdr:row>
      <xdr:rowOff>61311</xdr:rowOff>
    </xdr:to>
    <xdr:sp macro="" textlink="'Pivot Tables'!C43">
      <xdr:nvSpPr>
        <xdr:cNvPr id="11" name="TextBox 10">
          <a:extLst>
            <a:ext uri="{FF2B5EF4-FFF2-40B4-BE49-F238E27FC236}">
              <a16:creationId xmlns:a16="http://schemas.microsoft.com/office/drawing/2014/main" id="{040AEC51-9CDD-4B24-8EDB-B5AEA1970DDD}"/>
            </a:ext>
          </a:extLst>
        </xdr:cNvPr>
        <xdr:cNvSpPr txBox="1"/>
      </xdr:nvSpPr>
      <xdr:spPr>
        <a:xfrm>
          <a:off x="6467368" y="1098331"/>
          <a:ext cx="837323" cy="486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67B529-EF85-4744-ACC6-DE8C8A35AD81}" type="TxLink">
            <a:rPr lang="en-US" sz="2800" b="0" i="0" u="none" strike="noStrike">
              <a:solidFill>
                <a:srgbClr val="000000"/>
              </a:solidFill>
              <a:latin typeface="Calibri"/>
              <a:ea typeface="Calibri"/>
              <a:cs typeface="Calibri"/>
            </a:rPr>
            <a:pPr marL="0" indent="0"/>
            <a:t>404</a:t>
          </a:fld>
          <a:endParaRPr lang="en-US" sz="2800" b="0" i="0" u="none" strike="noStrike">
            <a:solidFill>
              <a:srgbClr val="000000"/>
            </a:solidFill>
            <a:latin typeface="Calibri"/>
            <a:ea typeface="Calibri"/>
            <a:cs typeface="Calibri"/>
          </a:endParaRPr>
        </a:p>
      </xdr:txBody>
    </xdr:sp>
    <xdr:clientData/>
  </xdr:twoCellAnchor>
  <xdr:twoCellAnchor>
    <xdr:from>
      <xdr:col>12</xdr:col>
      <xdr:colOff>190938</xdr:colOff>
      <xdr:row>1</xdr:row>
      <xdr:rowOff>42040</xdr:rowOff>
    </xdr:from>
    <xdr:to>
      <xdr:col>16</xdr:col>
      <xdr:colOff>479973</xdr:colOff>
      <xdr:row>7</xdr:row>
      <xdr:rowOff>24523</xdr:rowOff>
    </xdr:to>
    <xdr:sp macro="" textlink="">
      <xdr:nvSpPr>
        <xdr:cNvPr id="12" name="Rectangle: Rounded Corners 11">
          <a:extLst>
            <a:ext uri="{FF2B5EF4-FFF2-40B4-BE49-F238E27FC236}">
              <a16:creationId xmlns:a16="http://schemas.microsoft.com/office/drawing/2014/main" id="{AE522923-6DD7-4B00-A26A-25A24E555DA2}"/>
            </a:ext>
          </a:extLst>
        </xdr:cNvPr>
        <xdr:cNvSpPr/>
      </xdr:nvSpPr>
      <xdr:spPr>
        <a:xfrm>
          <a:off x="7548179" y="646385"/>
          <a:ext cx="2741449" cy="10860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367862</xdr:colOff>
      <xdr:row>1</xdr:row>
      <xdr:rowOff>147145</xdr:rowOff>
    </xdr:from>
    <xdr:to>
      <xdr:col>16</xdr:col>
      <xdr:colOff>331077</xdr:colOff>
      <xdr:row>3</xdr:row>
      <xdr:rowOff>147145</xdr:rowOff>
    </xdr:to>
    <xdr:sp macro="" textlink="">
      <xdr:nvSpPr>
        <xdr:cNvPr id="13" name="TextBox 12">
          <a:extLst>
            <a:ext uri="{FF2B5EF4-FFF2-40B4-BE49-F238E27FC236}">
              <a16:creationId xmlns:a16="http://schemas.microsoft.com/office/drawing/2014/main" id="{6B864D7F-AB7B-4012-813B-33F884F59678}"/>
            </a:ext>
          </a:extLst>
        </xdr:cNvPr>
        <xdr:cNvSpPr txBox="1"/>
      </xdr:nvSpPr>
      <xdr:spPr>
        <a:xfrm>
          <a:off x="8338207" y="751490"/>
          <a:ext cx="1802525" cy="367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mj-lt"/>
              <a:ea typeface="Cascadia Code SemiLight" panose="020B0609020000020004" pitchFamily="49" charset="0"/>
              <a:cs typeface="Cascadia Code SemiLight" panose="020B0609020000020004" pitchFamily="49" charset="0"/>
            </a:rPr>
            <a:t>Total Customers</a:t>
          </a:r>
        </a:p>
      </xdr:txBody>
    </xdr:sp>
    <xdr:clientData/>
  </xdr:twoCellAnchor>
  <xdr:twoCellAnchor>
    <xdr:from>
      <xdr:col>15</xdr:col>
      <xdr:colOff>173422</xdr:colOff>
      <xdr:row>3</xdr:row>
      <xdr:rowOff>113861</xdr:rowOff>
    </xdr:from>
    <xdr:to>
      <xdr:col>16</xdr:col>
      <xdr:colOff>446690</xdr:colOff>
      <xdr:row>6</xdr:row>
      <xdr:rowOff>17517</xdr:rowOff>
    </xdr:to>
    <xdr:sp macro="" textlink="'Pivot Tables'!C45">
      <xdr:nvSpPr>
        <xdr:cNvPr id="14" name="TextBox 13">
          <a:extLst>
            <a:ext uri="{FF2B5EF4-FFF2-40B4-BE49-F238E27FC236}">
              <a16:creationId xmlns:a16="http://schemas.microsoft.com/office/drawing/2014/main" id="{94C1F05C-FF1F-4725-B57C-60BB67B4EA3A}"/>
            </a:ext>
          </a:extLst>
        </xdr:cNvPr>
        <xdr:cNvSpPr txBox="1"/>
      </xdr:nvSpPr>
      <xdr:spPr>
        <a:xfrm>
          <a:off x="9369974" y="1086068"/>
          <a:ext cx="886371" cy="455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AE06B1-A0A9-4E80-8915-BE2AF467B44A}" type="TxLink">
            <a:rPr lang="en-US" sz="2800" b="0" i="0" u="none" strike="noStrike">
              <a:solidFill>
                <a:srgbClr val="000000"/>
              </a:solidFill>
              <a:latin typeface="Calibri"/>
              <a:ea typeface="Calibri"/>
              <a:cs typeface="Calibri"/>
            </a:rPr>
            <a:pPr marL="0" indent="0"/>
            <a:t>404</a:t>
          </a:fld>
          <a:endParaRPr lang="en-US" sz="2800" b="0" i="0" u="none" strike="noStrike">
            <a:solidFill>
              <a:srgbClr val="000000"/>
            </a:solidFill>
            <a:latin typeface="Calibri"/>
            <a:ea typeface="Calibri"/>
            <a:cs typeface="Calibri"/>
          </a:endParaRPr>
        </a:p>
      </xdr:txBody>
    </xdr:sp>
    <xdr:clientData/>
  </xdr:twoCellAnchor>
  <xdr:twoCellAnchor>
    <xdr:from>
      <xdr:col>16</xdr:col>
      <xdr:colOff>536028</xdr:colOff>
      <xdr:row>1</xdr:row>
      <xdr:rowOff>45543</xdr:rowOff>
    </xdr:from>
    <xdr:to>
      <xdr:col>21</xdr:col>
      <xdr:colOff>211960</xdr:colOff>
      <xdr:row>7</xdr:row>
      <xdr:rowOff>28026</xdr:rowOff>
    </xdr:to>
    <xdr:sp macro="" textlink="">
      <xdr:nvSpPr>
        <xdr:cNvPr id="15" name="Rectangle: Rounded Corners 14">
          <a:extLst>
            <a:ext uri="{FF2B5EF4-FFF2-40B4-BE49-F238E27FC236}">
              <a16:creationId xmlns:a16="http://schemas.microsoft.com/office/drawing/2014/main" id="{6E0802A2-09E1-4917-B4CF-B4BEE8C1FA83}"/>
            </a:ext>
          </a:extLst>
        </xdr:cNvPr>
        <xdr:cNvSpPr/>
      </xdr:nvSpPr>
      <xdr:spPr>
        <a:xfrm>
          <a:off x="10345683" y="649888"/>
          <a:ext cx="2741449" cy="10860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315310</xdr:colOff>
      <xdr:row>1</xdr:row>
      <xdr:rowOff>133131</xdr:rowOff>
    </xdr:from>
    <xdr:to>
      <xdr:col>21</xdr:col>
      <xdr:colOff>106857</xdr:colOff>
      <xdr:row>3</xdr:row>
      <xdr:rowOff>133131</xdr:rowOff>
    </xdr:to>
    <xdr:sp macro="" textlink="">
      <xdr:nvSpPr>
        <xdr:cNvPr id="16" name="TextBox 15">
          <a:extLst>
            <a:ext uri="{FF2B5EF4-FFF2-40B4-BE49-F238E27FC236}">
              <a16:creationId xmlns:a16="http://schemas.microsoft.com/office/drawing/2014/main" id="{05D977E5-5B14-4831-AC67-4A1E19AD9EF2}"/>
            </a:ext>
          </a:extLst>
        </xdr:cNvPr>
        <xdr:cNvSpPr txBox="1"/>
      </xdr:nvSpPr>
      <xdr:spPr>
        <a:xfrm>
          <a:off x="10738069" y="737476"/>
          <a:ext cx="2243960" cy="367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mj-lt"/>
              <a:ea typeface="Cascadia Code SemiLight" panose="020B0609020000020004" pitchFamily="49" charset="0"/>
              <a:cs typeface="Cascadia Code SemiLight" panose="020B0609020000020004" pitchFamily="49" charset="0"/>
            </a:rPr>
            <a:t>  Avgrage Order Value</a:t>
          </a:r>
        </a:p>
      </xdr:txBody>
    </xdr:sp>
    <xdr:clientData/>
  </xdr:twoCellAnchor>
  <xdr:twoCellAnchor>
    <xdr:from>
      <xdr:col>19</xdr:col>
      <xdr:colOff>115616</xdr:colOff>
      <xdr:row>3</xdr:row>
      <xdr:rowOff>115614</xdr:rowOff>
    </xdr:from>
    <xdr:to>
      <xdr:col>21</xdr:col>
      <xdr:colOff>183931</xdr:colOff>
      <xdr:row>6</xdr:row>
      <xdr:rowOff>26276</xdr:rowOff>
    </xdr:to>
    <xdr:sp macro="" textlink="'Pivot Tables'!C47">
      <xdr:nvSpPr>
        <xdr:cNvPr id="17" name="TextBox 16">
          <a:extLst>
            <a:ext uri="{FF2B5EF4-FFF2-40B4-BE49-F238E27FC236}">
              <a16:creationId xmlns:a16="http://schemas.microsoft.com/office/drawing/2014/main" id="{070C5AB1-C0A6-4F49-A7C8-0C6B4AE688CE}"/>
            </a:ext>
          </a:extLst>
        </xdr:cNvPr>
        <xdr:cNvSpPr txBox="1"/>
      </xdr:nvSpPr>
      <xdr:spPr>
        <a:xfrm>
          <a:off x="11764582" y="1087821"/>
          <a:ext cx="1294521" cy="462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2A3A01-DE7C-4446-8A93-DA8782B3EBC7}" type="TxLink">
            <a:rPr lang="en-US" sz="2800" b="0" i="0" u="none" strike="noStrike">
              <a:solidFill>
                <a:srgbClr val="000000"/>
              </a:solidFill>
              <a:latin typeface="Calibri"/>
              <a:ea typeface="Calibri"/>
              <a:cs typeface="Calibri"/>
            </a:rPr>
            <a:pPr marL="0" indent="0"/>
            <a:t>11,524</a:t>
          </a:fld>
          <a:endParaRPr lang="en-US" sz="2800" b="0" i="0" u="none" strike="noStrike">
            <a:solidFill>
              <a:srgbClr val="000000"/>
            </a:solidFill>
            <a:latin typeface="Calibri"/>
            <a:ea typeface="Calibri"/>
            <a:cs typeface="Calibri"/>
          </a:endParaRPr>
        </a:p>
      </xdr:txBody>
    </xdr:sp>
    <xdr:clientData/>
  </xdr:twoCellAnchor>
  <xdr:twoCellAnchor>
    <xdr:from>
      <xdr:col>21</xdr:col>
      <xdr:colOff>276773</xdr:colOff>
      <xdr:row>1</xdr:row>
      <xdr:rowOff>31530</xdr:rowOff>
    </xdr:from>
    <xdr:to>
      <xdr:col>25</xdr:col>
      <xdr:colOff>565808</xdr:colOff>
      <xdr:row>7</xdr:row>
      <xdr:rowOff>14013</xdr:rowOff>
    </xdr:to>
    <xdr:sp macro="" textlink="">
      <xdr:nvSpPr>
        <xdr:cNvPr id="18" name="Rectangle: Rounded Corners 17">
          <a:extLst>
            <a:ext uri="{FF2B5EF4-FFF2-40B4-BE49-F238E27FC236}">
              <a16:creationId xmlns:a16="http://schemas.microsoft.com/office/drawing/2014/main" id="{ECDA8E5E-DD64-4E72-81F5-6625B15BBC36}"/>
            </a:ext>
          </a:extLst>
        </xdr:cNvPr>
        <xdr:cNvSpPr/>
      </xdr:nvSpPr>
      <xdr:spPr>
        <a:xfrm>
          <a:off x="13151945" y="635875"/>
          <a:ext cx="2741449" cy="10860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175172</xdr:colOff>
      <xdr:row>1</xdr:row>
      <xdr:rowOff>127876</xdr:rowOff>
    </xdr:from>
    <xdr:to>
      <xdr:col>25</xdr:col>
      <xdr:colOff>434429</xdr:colOff>
      <xdr:row>3</xdr:row>
      <xdr:rowOff>127876</xdr:rowOff>
    </xdr:to>
    <xdr:sp macro="" textlink="">
      <xdr:nvSpPr>
        <xdr:cNvPr id="19" name="TextBox 18">
          <a:extLst>
            <a:ext uri="{FF2B5EF4-FFF2-40B4-BE49-F238E27FC236}">
              <a16:creationId xmlns:a16="http://schemas.microsoft.com/office/drawing/2014/main" id="{E931D4E3-E805-469C-9538-D1B9239BD6D7}"/>
            </a:ext>
          </a:extLst>
        </xdr:cNvPr>
        <xdr:cNvSpPr txBox="1"/>
      </xdr:nvSpPr>
      <xdr:spPr>
        <a:xfrm>
          <a:off x="13663448" y="732221"/>
          <a:ext cx="2098567" cy="367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mj-lt"/>
              <a:ea typeface="Cascadia Code SemiLight" panose="020B0609020000020004" pitchFamily="49" charset="0"/>
              <a:cs typeface="Cascadia Code SemiLight" panose="020B0609020000020004" pitchFamily="49" charset="0"/>
            </a:rPr>
            <a:t>  Total Qunatity Sold</a:t>
          </a:r>
        </a:p>
      </xdr:txBody>
    </xdr:sp>
    <xdr:clientData/>
  </xdr:twoCellAnchor>
  <xdr:twoCellAnchor>
    <xdr:from>
      <xdr:col>23</xdr:col>
      <xdr:colOff>522016</xdr:colOff>
      <xdr:row>3</xdr:row>
      <xdr:rowOff>110359</xdr:rowOff>
    </xdr:from>
    <xdr:to>
      <xdr:col>25</xdr:col>
      <xdr:colOff>402897</xdr:colOff>
      <xdr:row>6</xdr:row>
      <xdr:rowOff>26276</xdr:rowOff>
    </xdr:to>
    <xdr:sp macro="" textlink="'Pivot Tables'!C49">
      <xdr:nvSpPr>
        <xdr:cNvPr id="20" name="TextBox 19">
          <a:extLst>
            <a:ext uri="{FF2B5EF4-FFF2-40B4-BE49-F238E27FC236}">
              <a16:creationId xmlns:a16="http://schemas.microsoft.com/office/drawing/2014/main" id="{241C1CE2-A1A0-463B-83C8-678F6CD12EA3}"/>
            </a:ext>
          </a:extLst>
        </xdr:cNvPr>
        <xdr:cNvSpPr txBox="1"/>
      </xdr:nvSpPr>
      <xdr:spPr>
        <a:xfrm>
          <a:off x="14623395" y="1082566"/>
          <a:ext cx="1107088" cy="467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F7C88E-30DA-432F-A4F4-4F9B6E07F2E4}" type="TxLink">
            <a:rPr lang="en-US" sz="2800" b="0" i="0" u="none" strike="noStrike">
              <a:solidFill>
                <a:srgbClr val="000000"/>
              </a:solidFill>
              <a:latin typeface="Calibri"/>
              <a:ea typeface="Calibri"/>
              <a:cs typeface="Calibri"/>
            </a:rPr>
            <a:pPr marL="0" indent="0"/>
            <a:t>2,252</a:t>
          </a:fld>
          <a:endParaRPr lang="en-US" sz="2800" b="0" i="0" u="none" strike="noStrike">
            <a:solidFill>
              <a:srgbClr val="000000"/>
            </a:solidFill>
            <a:latin typeface="Calibri"/>
            <a:ea typeface="Calibri"/>
            <a:cs typeface="Calibri"/>
          </a:endParaRPr>
        </a:p>
      </xdr:txBody>
    </xdr:sp>
    <xdr:clientData/>
  </xdr:twoCellAnchor>
  <xdr:twoCellAnchor editAs="oneCell">
    <xdr:from>
      <xdr:col>0</xdr:col>
      <xdr:colOff>61313</xdr:colOff>
      <xdr:row>1</xdr:row>
      <xdr:rowOff>140133</xdr:rowOff>
    </xdr:from>
    <xdr:to>
      <xdr:col>3</xdr:col>
      <xdr:colOff>26280</xdr:colOff>
      <xdr:row>14</xdr:row>
      <xdr:rowOff>26275</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1A0CB5DB-161A-4451-B47E-4F63DD240D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313" y="744478"/>
              <a:ext cx="1804277" cy="2277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70070</xdr:colOff>
      <xdr:row>15</xdr:row>
      <xdr:rowOff>42130</xdr:rowOff>
    </xdr:from>
    <xdr:to>
      <xdr:col>3</xdr:col>
      <xdr:colOff>52554</xdr:colOff>
      <xdr:row>24</xdr:row>
      <xdr:rowOff>175172</xdr:rowOff>
    </xdr:to>
    <mc:AlternateContent xmlns:mc="http://schemas.openxmlformats.org/markup-compatibility/2006">
      <mc:Choice xmlns:a14="http://schemas.microsoft.com/office/drawing/2010/main" Requires="a14">
        <xdr:graphicFrame macro="">
          <xdr:nvGraphicFramePr>
            <xdr:cNvPr id="23" name="Employee Name">
              <a:extLst>
                <a:ext uri="{FF2B5EF4-FFF2-40B4-BE49-F238E27FC236}">
                  <a16:creationId xmlns:a16="http://schemas.microsoft.com/office/drawing/2014/main" id="{5C544E2C-6FAC-4018-B97F-0DB1BC1AA204}"/>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dr:sp macro="" textlink="">
          <xdr:nvSpPr>
            <xdr:cNvPr id="0" name=""/>
            <xdr:cNvSpPr>
              <a:spLocks noTextEdit="1"/>
            </xdr:cNvSpPr>
          </xdr:nvSpPr>
          <xdr:spPr>
            <a:xfrm>
              <a:off x="70070" y="3221509"/>
              <a:ext cx="1821794" cy="1788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43793</xdr:colOff>
      <xdr:row>36</xdr:row>
      <xdr:rowOff>87237</xdr:rowOff>
    </xdr:from>
    <xdr:to>
      <xdr:col>3</xdr:col>
      <xdr:colOff>33283</xdr:colOff>
      <xdr:row>44</xdr:row>
      <xdr:rowOff>105105</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F81B65D5-23AA-4D73-80E6-9D2216F963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793" y="7129168"/>
              <a:ext cx="1828800" cy="1489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43792</xdr:colOff>
      <xdr:row>25</xdr:row>
      <xdr:rowOff>141016</xdr:rowOff>
    </xdr:from>
    <xdr:to>
      <xdr:col>3</xdr:col>
      <xdr:colOff>33282</xdr:colOff>
      <xdr:row>35</xdr:row>
      <xdr:rowOff>61310</xdr:rowOff>
    </xdr:to>
    <mc:AlternateContent xmlns:mc="http://schemas.openxmlformats.org/markup-compatibility/2006">
      <mc:Choice xmlns:a14="http://schemas.microsoft.com/office/drawing/2010/main" Requires="a14">
        <xdr:graphicFrame macro="">
          <xdr:nvGraphicFramePr>
            <xdr:cNvPr id="25" name="PaymentMethod">
              <a:extLst>
                <a:ext uri="{FF2B5EF4-FFF2-40B4-BE49-F238E27FC236}">
                  <a16:creationId xmlns:a16="http://schemas.microsoft.com/office/drawing/2014/main" id="{96C952CE-79A3-4EA4-81DB-B9B54F8F06A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43792" y="5159706"/>
              <a:ext cx="1828800" cy="1759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201449</xdr:colOff>
      <xdr:row>7</xdr:row>
      <xdr:rowOff>175172</xdr:rowOff>
    </xdr:from>
    <xdr:to>
      <xdr:col>10</xdr:col>
      <xdr:colOff>481725</xdr:colOff>
      <xdr:row>27</xdr:row>
      <xdr:rowOff>131379</xdr:rowOff>
    </xdr:to>
    <xdr:graphicFrame macro="">
      <xdr:nvGraphicFramePr>
        <xdr:cNvPr id="4" name="Chart 3">
          <a:extLst>
            <a:ext uri="{FF2B5EF4-FFF2-40B4-BE49-F238E27FC236}">
              <a16:creationId xmlns:a16="http://schemas.microsoft.com/office/drawing/2014/main" id="{9584D2B8-50A3-4B8C-B170-FC25DFE89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613103</xdr:colOff>
      <xdr:row>8</xdr:row>
      <xdr:rowOff>17516</xdr:rowOff>
    </xdr:from>
    <xdr:to>
      <xdr:col>17</xdr:col>
      <xdr:colOff>525517</xdr:colOff>
      <xdr:row>27</xdr:row>
      <xdr:rowOff>140138</xdr:rowOff>
    </xdr:to>
    <xdr:graphicFrame macro="">
      <xdr:nvGraphicFramePr>
        <xdr:cNvPr id="8" name="Chart 7">
          <a:extLst>
            <a:ext uri="{FF2B5EF4-FFF2-40B4-BE49-F238E27FC236}">
              <a16:creationId xmlns:a16="http://schemas.microsoft.com/office/drawing/2014/main" id="{82D61266-2CDD-4F97-B30C-F03F6E9AD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26275</xdr:colOff>
      <xdr:row>8</xdr:row>
      <xdr:rowOff>26275</xdr:rowOff>
    </xdr:from>
    <xdr:to>
      <xdr:col>25</xdr:col>
      <xdr:colOff>525516</xdr:colOff>
      <xdr:row>27</xdr:row>
      <xdr:rowOff>105102</xdr:rowOff>
    </xdr:to>
    <xdr:graphicFrame macro="">
      <xdr:nvGraphicFramePr>
        <xdr:cNvPr id="26" name="Chart 25">
          <a:extLst>
            <a:ext uri="{FF2B5EF4-FFF2-40B4-BE49-F238E27FC236}">
              <a16:creationId xmlns:a16="http://schemas.microsoft.com/office/drawing/2014/main" id="{60260DE2-35E5-469B-B24E-68C047241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175172</xdr:colOff>
      <xdr:row>28</xdr:row>
      <xdr:rowOff>122619</xdr:rowOff>
    </xdr:from>
    <xdr:to>
      <xdr:col>10</xdr:col>
      <xdr:colOff>455448</xdr:colOff>
      <xdr:row>45</xdr:row>
      <xdr:rowOff>183930</xdr:rowOff>
    </xdr:to>
    <xdr:graphicFrame macro="">
      <xdr:nvGraphicFramePr>
        <xdr:cNvPr id="27" name="Chart 26">
          <a:extLst>
            <a:ext uri="{FF2B5EF4-FFF2-40B4-BE49-F238E27FC236}">
              <a16:creationId xmlns:a16="http://schemas.microsoft.com/office/drawing/2014/main" id="{FE1EA63E-0320-4362-BFFB-10F6431EF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551793</xdr:colOff>
      <xdr:row>28</xdr:row>
      <xdr:rowOff>131380</xdr:rowOff>
    </xdr:from>
    <xdr:to>
      <xdr:col>17</xdr:col>
      <xdr:colOff>551792</xdr:colOff>
      <xdr:row>45</xdr:row>
      <xdr:rowOff>166415</xdr:rowOff>
    </xdr:to>
    <xdr:graphicFrame macro="">
      <xdr:nvGraphicFramePr>
        <xdr:cNvPr id="28" name="Chart 27">
          <a:extLst>
            <a:ext uri="{FF2B5EF4-FFF2-40B4-BE49-F238E27FC236}">
              <a16:creationId xmlns:a16="http://schemas.microsoft.com/office/drawing/2014/main" id="{8E9A117E-552D-4808-9E4A-0200C828C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26277</xdr:colOff>
      <xdr:row>28</xdr:row>
      <xdr:rowOff>131378</xdr:rowOff>
    </xdr:from>
    <xdr:to>
      <xdr:col>25</xdr:col>
      <xdr:colOff>586829</xdr:colOff>
      <xdr:row>45</xdr:row>
      <xdr:rowOff>148896</xdr:rowOff>
    </xdr:to>
    <xdr:graphicFrame macro="">
      <xdr:nvGraphicFramePr>
        <xdr:cNvPr id="29" name="Chart 28">
          <a:extLst>
            <a:ext uri="{FF2B5EF4-FFF2-40B4-BE49-F238E27FC236}">
              <a16:creationId xmlns:a16="http://schemas.microsoft.com/office/drawing/2014/main" id="{0DABECC1-9CFE-4290-B863-80D11B066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7.730977662039" createdVersion="8" refreshedVersion="8" minRefreshableVersion="3" recordCount="404" xr:uid="{3E002D03-03F8-472D-AA72-33BA676C9DD8}">
  <cacheSource type="worksheet">
    <worksheetSource name="OrdersTable"/>
  </cacheSource>
  <cacheFields count="21">
    <cacheField name="OrderID" numFmtId="0">
      <sharedItems/>
    </cacheField>
    <cacheField name="OrderDate" numFmtId="14">
      <sharedItems containsSemiMixedTypes="0" containsNonDate="0" containsDate="1" containsString="0" minDate="2024-01-01T00:00:00" maxDate="2025-06-28T00:00:00" count="286">
        <d v="2025-03-22T00:00:00"/>
        <d v="2025-03-17T00:00:00"/>
        <d v="2024-11-03T00:00:00"/>
        <d v="2024-10-29T00:00:00"/>
        <d v="2024-06-27T00:00:00"/>
        <d v="2024-01-01T00:00:00"/>
        <d v="2024-11-25T00:00:00"/>
        <d v="2025-04-29T00:00:00"/>
        <d v="2024-12-09T00:00:00"/>
        <d v="2024-07-22T00:00:00"/>
        <d v="2024-03-15T00:00:00"/>
        <d v="2025-05-21T00:00:00"/>
        <d v="2025-03-11T00:00:00"/>
        <d v="2024-09-12T00:00:00"/>
        <d v="2024-11-20T00:00:00"/>
        <d v="2025-04-01T00:00:00"/>
        <d v="2024-09-10T00:00:00"/>
        <d v="2024-10-08T00:00:00"/>
        <d v="2024-08-24T00:00:00"/>
        <d v="2025-02-28T00:00:00"/>
        <d v="2024-03-04T00:00:00"/>
        <d v="2024-01-21T00:00:00"/>
        <d v="2024-11-01T00:00:00"/>
        <d v="2024-08-12T00:00:00"/>
        <d v="2024-12-10T00:00:00"/>
        <d v="2024-01-28T00:00:00"/>
        <d v="2025-03-14T00:00:00"/>
        <d v="2024-09-23T00:00:00"/>
        <d v="2024-12-11T00:00:00"/>
        <d v="2025-04-26T00:00:00"/>
        <d v="2024-08-17T00:00:00"/>
        <d v="2024-07-23T00:00:00"/>
        <d v="2025-01-12T00:00:00"/>
        <d v="2024-11-14T00:00:00"/>
        <d v="2025-01-19T00:00:00"/>
        <d v="2024-09-05T00:00:00"/>
        <d v="2024-02-12T00:00:00"/>
        <d v="2025-06-02T00:00:00"/>
        <d v="2025-03-19T00:00:00"/>
        <d v="2024-06-29T00:00:00"/>
        <d v="2024-10-12T00:00:00"/>
        <d v="2024-01-30T00:00:00"/>
        <d v="2024-08-05T00:00:00"/>
        <d v="2024-10-09T00:00:00"/>
        <d v="2024-09-04T00:00:00"/>
        <d v="2025-05-17T00:00:00"/>
        <d v="2024-08-14T00:00:00"/>
        <d v="2024-12-04T00:00:00"/>
        <d v="2024-09-14T00:00:00"/>
        <d v="2024-07-08T00:00:00"/>
        <d v="2025-06-21T00:00:00"/>
        <d v="2024-08-20T00:00:00"/>
        <d v="2024-05-09T00:00:00"/>
        <d v="2025-05-05T00:00:00"/>
        <d v="2025-05-04T00:00:00"/>
        <d v="2024-03-16T00:00:00"/>
        <d v="2024-11-07T00:00:00"/>
        <d v="2024-08-19T00:00:00"/>
        <d v="2025-03-15T00:00:00"/>
        <d v="2024-04-11T00:00:00"/>
        <d v="2024-06-09T00:00:00"/>
        <d v="2024-01-03T00:00:00"/>
        <d v="2024-02-03T00:00:00"/>
        <d v="2024-08-27T00:00:00"/>
        <d v="2024-04-27T00:00:00"/>
        <d v="2024-03-14T00:00:00"/>
        <d v="2024-05-07T00:00:00"/>
        <d v="2025-05-27T00:00:00"/>
        <d v="2024-02-10T00:00:00"/>
        <d v="2024-04-03T00:00:00"/>
        <d v="2024-02-11T00:00:00"/>
        <d v="2024-07-04T00:00:00"/>
        <d v="2024-12-22T00:00:00"/>
        <d v="2024-12-03T00:00:00"/>
        <d v="2024-02-07T00:00:00"/>
        <d v="2024-04-28T00:00:00"/>
        <d v="2025-04-18T00:00:00"/>
        <d v="2025-05-25T00:00:00"/>
        <d v="2024-05-14T00:00:00"/>
        <d v="2024-09-02T00:00:00"/>
        <d v="2025-02-21T00:00:00"/>
        <d v="2024-06-06T00:00:00"/>
        <d v="2025-05-09T00:00:00"/>
        <d v="2024-07-14T00:00:00"/>
        <d v="2024-10-16T00:00:00"/>
        <d v="2025-04-02T00:00:00"/>
        <d v="2025-01-21T00:00:00"/>
        <d v="2025-01-27T00:00:00"/>
        <d v="2024-04-12T00:00:00"/>
        <d v="2024-06-07T00:00:00"/>
        <d v="2025-02-11T00:00:00"/>
        <d v="2025-05-14T00:00:00"/>
        <d v="2024-10-21T00:00:00"/>
        <d v="2024-11-28T00:00:00"/>
        <d v="2024-05-29T00:00:00"/>
        <d v="2024-06-28T00:00:00"/>
        <d v="2024-05-26T00:00:00"/>
        <d v="2024-01-10T00:00:00"/>
        <d v="2025-03-28T00:00:00"/>
        <d v="2025-04-12T00:00:00"/>
        <d v="2024-08-30T00:00:00"/>
        <d v="2024-01-23T00:00:00"/>
        <d v="2025-05-23T00:00:00"/>
        <d v="2024-07-13T00:00:00"/>
        <d v="2024-11-12T00:00:00"/>
        <d v="2024-04-02T00:00:00"/>
        <d v="2024-05-15T00:00:00"/>
        <d v="2024-09-20T00:00:00"/>
        <d v="2025-04-24T00:00:00"/>
        <d v="2025-01-09T00:00:00"/>
        <d v="2024-05-06T00:00:00"/>
        <d v="2024-04-20T00:00:00"/>
        <d v="2024-04-29T00:00:00"/>
        <d v="2025-04-09T00:00:00"/>
        <d v="2025-03-31T00:00:00"/>
        <d v="2025-01-02T00:00:00"/>
        <d v="2025-04-10T00:00:00"/>
        <d v="2024-12-07T00:00:00"/>
        <d v="2024-07-31T00:00:00"/>
        <d v="2024-09-13T00:00:00"/>
        <d v="2025-01-01T00:00:00"/>
        <d v="2024-09-28T00:00:00"/>
        <d v="2025-05-02T00:00:00"/>
        <d v="2025-05-30T00:00:00"/>
        <d v="2024-02-01T00:00:00"/>
        <d v="2024-05-31T00:00:00"/>
        <d v="2025-06-27T00:00:00"/>
        <d v="2024-08-21T00:00:00"/>
        <d v="2024-04-07T00:00:00"/>
        <d v="2024-06-05T00:00:00"/>
        <d v="2025-03-18T00:00:00"/>
        <d v="2024-03-02T00:00:00"/>
        <d v="2025-02-24T00:00:00"/>
        <d v="2024-11-15T00:00:00"/>
        <d v="2025-05-08T00:00:00"/>
        <d v="2025-01-11T00:00:00"/>
        <d v="2024-01-27T00:00:00"/>
        <d v="2024-10-06T00:00:00"/>
        <d v="2025-03-05T00:00:00"/>
        <d v="2024-06-10T00:00:00"/>
        <d v="2025-03-10T00:00:00"/>
        <d v="2024-08-08T00:00:00"/>
        <d v="2024-10-17T00:00:00"/>
        <d v="2024-08-13T00:00:00"/>
        <d v="2024-11-04T00:00:00"/>
        <d v="2024-12-01T00:00:00"/>
        <d v="2024-05-12T00:00:00"/>
        <d v="2025-02-10T00:00:00"/>
        <d v="2024-11-16T00:00:00"/>
        <d v="2024-10-23T00:00:00"/>
        <d v="2025-04-16T00:00:00"/>
        <d v="2024-11-13T00:00:00"/>
        <d v="2025-06-06T00:00:00"/>
        <d v="2024-12-25T00:00:00"/>
        <d v="2024-07-21T00:00:00"/>
        <d v="2025-05-20T00:00:00"/>
        <d v="2024-11-26T00:00:00"/>
        <d v="2025-06-03T00:00:00"/>
        <d v="2024-02-28T00:00:00"/>
        <d v="2024-07-11T00:00:00"/>
        <d v="2025-04-06T00:00:00"/>
        <d v="2024-06-25T00:00:00"/>
        <d v="2025-06-19T00:00:00"/>
        <d v="2025-01-31T00:00:00"/>
        <d v="2024-03-08T00:00:00"/>
        <d v="2024-09-15T00:00:00"/>
        <d v="2024-05-24T00:00:00"/>
        <d v="2024-03-27T00:00:00"/>
        <d v="2025-06-23T00:00:00"/>
        <d v="2025-01-06T00:00:00"/>
        <d v="2024-07-15T00:00:00"/>
        <d v="2024-04-13T00:00:00"/>
        <d v="2024-06-18T00:00:00"/>
        <d v="2025-03-30T00:00:00"/>
        <d v="2024-09-01T00:00:00"/>
        <d v="2025-03-27T00:00:00"/>
        <d v="2025-06-24T00:00:00"/>
        <d v="2024-02-23T00:00:00"/>
        <d v="2025-06-09T00:00:00"/>
        <d v="2025-05-29T00:00:00"/>
        <d v="2024-05-20T00:00:00"/>
        <d v="2025-04-04T00:00:00"/>
        <d v="2024-10-22T00:00:00"/>
        <d v="2024-01-17T00:00:00"/>
        <d v="2025-03-02T00:00:00"/>
        <d v="2025-06-22T00:00:00"/>
        <d v="2024-04-16T00:00:00"/>
        <d v="2024-12-26T00:00:00"/>
        <d v="2024-07-05T00:00:00"/>
        <d v="2024-07-25T00:00:00"/>
        <d v="2025-03-26T00:00:00"/>
        <d v="2025-03-16T00:00:00"/>
        <d v="2024-04-15T00:00:00"/>
        <d v="2025-03-12T00:00:00"/>
        <d v="2024-02-13T00:00:00"/>
        <d v="2024-03-17T00:00:00"/>
        <d v="2024-03-09T00:00:00"/>
        <d v="2024-11-17T00:00:00"/>
        <d v="2025-05-26T00:00:00"/>
        <d v="2024-10-24T00:00:00"/>
        <d v="2025-06-04T00:00:00"/>
        <d v="2025-06-14T00:00:00"/>
        <d v="2024-08-18T00:00:00"/>
        <d v="2024-07-20T00:00:00"/>
        <d v="2024-04-05T00:00:00"/>
        <d v="2025-04-20T00:00:00"/>
        <d v="2024-11-22T00:00:00"/>
        <d v="2024-04-18T00:00:00"/>
        <d v="2025-04-05T00:00:00"/>
        <d v="2025-01-28T00:00:00"/>
        <d v="2025-04-23T00:00:00"/>
        <d v="2025-02-06T00:00:00"/>
        <d v="2024-12-27T00:00:00"/>
        <d v="2024-05-17T00:00:00"/>
        <d v="2024-02-16T00:00:00"/>
        <d v="2024-10-13T00:00:00"/>
        <d v="2024-04-09T00:00:00"/>
        <d v="2024-02-09T00:00:00"/>
        <d v="2024-11-02T00:00:00"/>
        <d v="2024-04-22T00:00:00"/>
        <d v="2025-04-30T00:00:00"/>
        <d v="2025-05-06T00:00:00"/>
        <d v="2024-05-21T00:00:00"/>
        <d v="2024-12-16T00:00:00"/>
        <d v="2024-09-09T00:00:00"/>
        <d v="2024-12-23T00:00:00"/>
        <d v="2025-01-23T00:00:00"/>
        <d v="2024-09-19T00:00:00"/>
        <d v="2024-10-05T00:00:00"/>
        <d v="2024-02-21T00:00:00"/>
        <d v="2025-02-27T00:00:00"/>
        <d v="2024-01-06T00:00:00"/>
        <d v="2024-08-25T00:00:00"/>
        <d v="2024-10-18T00:00:00"/>
        <d v="2025-05-31T00:00:00"/>
        <d v="2024-06-15T00:00:00"/>
        <d v="2025-02-19T00:00:00"/>
        <d v="2024-01-07T00:00:00"/>
        <d v="2025-01-03T00:00:00"/>
        <d v="2024-06-12T00:00:00"/>
        <d v="2025-04-27T00:00:00"/>
        <d v="2024-03-24T00:00:00"/>
        <d v="2024-04-24T00:00:00"/>
        <d v="2024-06-02T00:00:00"/>
        <d v="2024-07-29T00:00:00"/>
        <d v="2024-02-29T00:00:00"/>
        <d v="2024-09-17T00:00:00"/>
        <d v="2025-03-09T00:00:00"/>
        <d v="2025-04-28T00:00:00"/>
        <d v="2025-03-06T00:00:00"/>
        <d v="2024-03-23T00:00:00"/>
        <d v="2024-02-04T00:00:00"/>
        <d v="2025-02-15T00:00:00"/>
        <d v="2024-05-23T00:00:00"/>
        <d v="2024-11-24T00:00:00"/>
        <d v="2025-05-22T00:00:00"/>
        <d v="2025-02-22T00:00:00"/>
        <d v="2025-04-19T00:00:00"/>
        <d v="2025-06-26T00:00:00"/>
        <d v="2024-08-01T00:00:00"/>
        <d v="2024-04-30T00:00:00"/>
        <d v="2024-04-10T00:00:00"/>
        <d v="2024-09-08T00:00:00"/>
        <d v="2025-05-15T00:00:00"/>
        <d v="2024-02-19T00:00:00"/>
        <d v="2024-06-03T00:00:00"/>
        <d v="2024-01-18T00:00:00"/>
        <d v="2025-06-20T00:00:00"/>
        <d v="2024-09-30T00:00:00"/>
        <d v="2024-09-06T00:00:00"/>
        <d v="2025-05-01T00:00:00"/>
        <d v="2024-05-27T00:00:00"/>
        <d v="2024-09-03T00:00:00"/>
        <d v="2025-03-23T00:00:00"/>
        <d v="2025-01-24T00:00:00"/>
        <d v="2025-02-02T00:00:00"/>
        <d v="2024-11-11T00:00:00"/>
        <d v="2024-03-30T00:00:00"/>
        <d v="2024-06-22T00:00:00"/>
        <d v="2024-04-19T00:00:00"/>
        <d v="2024-05-19T00:00:00"/>
        <d v="2024-04-26T00:00:00"/>
        <d v="2024-03-11T00:00:00"/>
        <d v="2024-03-28T00:00:00"/>
        <d v="2024-02-15T00:00:00"/>
        <d v="2025-06-15T00:00:00"/>
      </sharedItems>
      <fieldGroup par="20"/>
    </cacheField>
    <cacheField name="CustomerID" numFmtId="0">
      <sharedItems/>
    </cacheField>
    <cacheField name="Customer Name" numFmtId="0">
      <sharedItems count="56">
        <s v="Meera Kumar"/>
        <s v="Pooja Kumar"/>
        <s v="Kavya Sharma"/>
        <s v="Sanjay Desai"/>
        <s v="Amit Kumar"/>
        <s v="Aarav Kumar"/>
        <s v="Deepak Mehta"/>
        <s v="Kavya Singh"/>
        <s v="Karan Verma"/>
        <s v="Amit Shah"/>
        <s v="Deepak Verma"/>
        <s v="Mehul Mehta"/>
        <s v="Tanya Gupta"/>
        <s v="Deepak Patel"/>
        <s v="Yash Mehta"/>
        <s v="Meera Verma"/>
        <s v="Anjali Joshi"/>
        <s v="Rajesh Shah"/>
        <s v="Riya Mehta"/>
        <s v="Ananya Gupta"/>
        <s v="Kavya Shah"/>
        <s v="Priya Joshi"/>
        <s v="Divya Gupta"/>
        <s v="Pooja Shah"/>
        <s v="Vivaan Sharma"/>
        <s v="Sneha Joshi"/>
        <s v="Sakshi Gupta"/>
        <s v="Aditya Mehta"/>
        <s v="Aditya Joshi"/>
        <s v="Sakshi Joshi"/>
        <s v="Yash Kumar"/>
        <s v="Isha Sharma"/>
        <s v="Priya Desai"/>
        <s v="Aarav Patel"/>
        <s v="Deepak Joshi"/>
        <s v="Sneha Gupta"/>
        <s v="Sakshi Patel"/>
        <s v="Rohan Kumar"/>
        <s v="Simran Joshi"/>
        <s v="Riya Joshi"/>
        <s v="Anjali Desai"/>
        <s v="Divya Singh"/>
        <s v="Priya Sharma"/>
        <s v="Simran Mehta"/>
        <s v="Vivaan Verma"/>
        <s v="Deepak Shah"/>
        <s v="Sakshi Verma"/>
        <s v="Aarav Singh"/>
        <s v="Aarav Joshi"/>
        <s v="Anjali Patel"/>
        <s v="Isha Singh"/>
        <s v="Neha Sharma"/>
        <s v="Rahul Mehta"/>
        <s v="Aarav Desai"/>
        <s v="Aditya Patel"/>
        <s v="Arjun Kumar"/>
      </sharedItems>
    </cacheField>
    <cacheField name="ProductID" numFmtId="0">
      <sharedItems/>
    </cacheField>
    <cacheField name="Product Name" numFmtId="0">
      <sharedItems count="48">
        <s v="Football"/>
        <s v="LED Lamp"/>
        <s v="Blender"/>
        <s v="Cooking Oil 1L"/>
        <s v="Board Game"/>
        <s v="Dumbbell Set"/>
        <s v="Spice Combo"/>
        <s v="Hoodie"/>
        <s v="Remote Car"/>
        <s v="Cookbook"/>
        <s v="USB-C Charger"/>
        <s v="Earbuds"/>
        <s v="Almonds 500g"/>
        <s v="Face Wash"/>
        <s v="Honey Jar"/>
        <s v="Wireless Mouse"/>
        <s v="Winter Scarf"/>
        <s v="Action Figure"/>
        <s v="Formal Shirt"/>
        <s v="Hair Serum"/>
        <s v="Basmati Rice 5kg"/>
        <s v="Cricket Bat"/>
        <s v="Storage Box"/>
        <s v="Green Tea Pack"/>
        <s v="Novel - Fiction"/>
        <s v="Lipstick"/>
        <s v="Biography"/>
        <s v="Ceramic Mug Set"/>
        <s v="Laptop Stand"/>
        <s v="Power Bank"/>
        <s v="Skipping Rope"/>
        <s v="Moisturizer"/>
        <s v="Notebook Set"/>
        <s v="Sports Jacket"/>
        <s v="Self-Help Book"/>
        <s v="Non-stick Pan"/>
        <s v="Water Bottle"/>
        <s v="Cushion Cover"/>
        <s v="Denim Jeans"/>
        <s v="Sunscreen"/>
        <s v="Soft Toy"/>
        <s v="Yoga Mat"/>
        <s v="Bluetooth Speaker"/>
        <s v="Building Blocks"/>
        <s v="Comic Book"/>
        <s v="Perfume"/>
        <s v="Puzzle Set"/>
        <s v="Cotton T-Shirt"/>
      </sharedItems>
    </cacheField>
    <cacheField name="EmployeeID" numFmtId="0">
      <sharedItems/>
    </cacheField>
    <cacheField name="Employee Name" numFmtId="0">
      <sharedItems count="5">
        <s v="Fatima Sheikh"/>
        <s v="Karan Mehta"/>
        <s v="Rohit Sinha"/>
        <s v="Rajesh Iyer"/>
        <s v="Priya Nair"/>
      </sharedItems>
    </cacheField>
    <cacheField name="Category" numFmtId="0">
      <sharedItems count="8">
        <s v="Sports"/>
        <s v="Home &amp; Kitchen"/>
        <s v="Grocery"/>
        <s v="Toys"/>
        <s v="Clothing"/>
        <s v="Books"/>
        <s v="Electronics"/>
        <s v="Beauty"/>
      </sharedItems>
    </cacheField>
    <cacheField name="Region" numFmtId="0">
      <sharedItems count="4">
        <s v="North"/>
        <s v="South"/>
        <s v="East"/>
        <s v="West"/>
      </sharedItems>
    </cacheField>
    <cacheField name="Selling Price" numFmtId="0">
      <sharedItems containsSemiMixedTypes="0" containsString="0" containsNumber="1" minValue="136.91" maxValue="4703.04"/>
    </cacheField>
    <cacheField name="Quantity" numFmtId="0">
      <sharedItems containsSemiMixedTypes="0" containsString="0" containsNumber="1" containsInteger="1" minValue="0" maxValue="10"/>
    </cacheField>
    <cacheField name="Discount" numFmtId="0">
      <sharedItems containsSemiMixedTypes="0" containsString="0" containsNumber="1" minValue="0" maxValue="0.2"/>
    </cacheField>
    <cacheField name="Total amount" numFmtId="0">
      <sharedItems containsSemiMixedTypes="0" containsString="0" containsNumber="1" minValue="0" maxValue="42327.360000000001"/>
    </cacheField>
    <cacheField name="Revenue" numFmtId="0">
      <sharedItems containsSemiMixedTypes="0" containsString="0" containsNumber="1" minValue="0" maxValue="39656.039999999994"/>
    </cacheField>
    <cacheField name="ShipDate" numFmtId="0">
      <sharedItems/>
    </cacheField>
    <cacheField name="PaymentMethod" numFmtId="0">
      <sharedItems count="5">
        <s v="Cash on Delivery"/>
        <s v="Credit Card"/>
        <s v="Debit Card"/>
        <s v="Net Banking"/>
        <s v="UPI"/>
      </sharedItems>
    </cacheField>
    <cacheField name="Data Issue" numFmtId="0">
      <sharedItems/>
    </cacheField>
    <cacheField name="Months (OrderDate)" numFmtId="0" databaseField="0">
      <fieldGroup base="1">
        <rangePr groupBy="months" startDate="2024-01-01T00:00:00" endDate="2025-06-28T00:00:00"/>
        <groupItems count="14">
          <s v="&lt;1/1/2024"/>
          <s v="Jan"/>
          <s v="Feb"/>
          <s v="Mar"/>
          <s v="Apr"/>
          <s v="May"/>
          <s v="Jun"/>
          <s v="Jul"/>
          <s v="Aug"/>
          <s v="Sep"/>
          <s v="Oct"/>
          <s v="Nov"/>
          <s v="Dec"/>
          <s v="&gt;28/6/2025"/>
        </groupItems>
      </fieldGroup>
    </cacheField>
    <cacheField name="Quarters (OrderDate)" numFmtId="0" databaseField="0">
      <fieldGroup base="1">
        <rangePr groupBy="quarters" startDate="2024-01-01T00:00:00" endDate="2025-06-28T00:00:00"/>
        <groupItems count="6">
          <s v="&lt;1/1/2024"/>
          <s v="Qtr1"/>
          <s v="Qtr2"/>
          <s v="Qtr3"/>
          <s v="Qtr4"/>
          <s v="&gt;28/6/2025"/>
        </groupItems>
      </fieldGroup>
    </cacheField>
    <cacheField name="Years (OrderDate)" numFmtId="0" databaseField="0">
      <fieldGroup base="1">
        <rangePr groupBy="years" startDate="2024-01-01T00:00:00" endDate="2025-06-28T00:00:00"/>
        <groupItems count="4">
          <s v="&lt;1/1/2024"/>
          <s v="2024"/>
          <s v="2025"/>
          <s v="&gt;28/6/2025"/>
        </groupItems>
      </fieldGroup>
    </cacheField>
  </cacheFields>
  <extLst>
    <ext xmlns:x14="http://schemas.microsoft.com/office/spreadsheetml/2009/9/main" uri="{725AE2AE-9491-48be-B2B4-4EB974FC3084}">
      <x14:pivotCacheDefinition pivotCacheId="1296707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
  <r>
    <s v="O0001"/>
    <x v="0"/>
    <s v="C042"/>
    <x v="0"/>
    <s v="P028"/>
    <x v="0"/>
    <s v="E04"/>
    <x v="0"/>
    <x v="0"/>
    <x v="0"/>
    <n v="3493.54"/>
    <n v="1"/>
    <n v="0.1"/>
    <n v="3493.54"/>
    <n v="3144.1860000000001"/>
    <s v="2025-03-31"/>
    <x v="0"/>
    <s v=""/>
  </r>
  <r>
    <s v="O0002"/>
    <x v="1"/>
    <s v="C029"/>
    <x v="1"/>
    <s v="P016"/>
    <x v="1"/>
    <s v="E01"/>
    <x v="1"/>
    <x v="1"/>
    <x v="1"/>
    <n v="3772.12"/>
    <n v="2"/>
    <n v="0.15"/>
    <n v="7544.24"/>
    <n v="6412.6039999999994"/>
    <s v="2025-03-23"/>
    <x v="1"/>
    <s v=""/>
  </r>
  <r>
    <s v="O0003"/>
    <x v="2"/>
    <s v="C013"/>
    <x v="2"/>
    <s v="P014"/>
    <x v="2"/>
    <s v="E04"/>
    <x v="0"/>
    <x v="1"/>
    <x v="1"/>
    <n v="733.33"/>
    <n v="9"/>
    <n v="0"/>
    <n v="6599.97"/>
    <n v="6599.97"/>
    <s v="2024-11-10"/>
    <x v="2"/>
    <s v=""/>
  </r>
  <r>
    <s v="O0004"/>
    <x v="3"/>
    <s v="C044"/>
    <x v="3"/>
    <s v="P044"/>
    <x v="3"/>
    <s v="E03"/>
    <x v="2"/>
    <x v="2"/>
    <x v="2"/>
    <n v="620.89"/>
    <n v="9"/>
    <n v="0"/>
    <n v="5588.01"/>
    <n v="5588.01"/>
    <s v="2024-11-02"/>
    <x v="2"/>
    <s v=""/>
  </r>
  <r>
    <s v="O0005"/>
    <x v="4"/>
    <s v="C021"/>
    <x v="4"/>
    <s v="P041"/>
    <x v="4"/>
    <s v="E03"/>
    <x v="2"/>
    <x v="3"/>
    <x v="2"/>
    <n v="136.91"/>
    <n v="10"/>
    <n v="0.1"/>
    <n v="1369.1"/>
    <n v="1232.19"/>
    <s v="2024-07-02"/>
    <x v="3"/>
    <s v=""/>
  </r>
  <r>
    <s v="O0006"/>
    <x v="5"/>
    <s v="C021"/>
    <x v="4"/>
    <s v="P026"/>
    <x v="5"/>
    <s v="E09"/>
    <x v="3"/>
    <x v="0"/>
    <x v="2"/>
    <n v="973.21"/>
    <n v="5"/>
    <n v="0"/>
    <n v="4866.05"/>
    <n v="4866.05"/>
    <s v="2024-01-05"/>
    <x v="3"/>
    <s v=""/>
  </r>
  <r>
    <s v="O0007"/>
    <x v="6"/>
    <s v="C040"/>
    <x v="5"/>
    <s v="P048"/>
    <x v="6"/>
    <s v="E04"/>
    <x v="0"/>
    <x v="2"/>
    <x v="0"/>
    <n v="2041.83"/>
    <n v="8"/>
    <n v="0.05"/>
    <n v="16334.64"/>
    <n v="15517.907999999999"/>
    <s v="2024-12-03"/>
    <x v="3"/>
    <s v=""/>
  </r>
  <r>
    <s v="O0008"/>
    <x v="7"/>
    <s v="C041"/>
    <x v="6"/>
    <s v="P009"/>
    <x v="7"/>
    <s v="E03"/>
    <x v="2"/>
    <x v="4"/>
    <x v="1"/>
    <n v="3929.31"/>
    <n v="3"/>
    <n v="0.15"/>
    <n v="11787.93"/>
    <n v="10019.7405"/>
    <s v="2025-05-01"/>
    <x v="3"/>
    <s v=""/>
  </r>
  <r>
    <s v="O0009"/>
    <x v="8"/>
    <s v="C032"/>
    <x v="7"/>
    <s v="P016"/>
    <x v="1"/>
    <s v="E04"/>
    <x v="0"/>
    <x v="1"/>
    <x v="1"/>
    <n v="3772.12"/>
    <n v="2"/>
    <n v="0.2"/>
    <n v="7544.24"/>
    <n v="6035.3919999999998"/>
    <s v="2024-12-13"/>
    <x v="4"/>
    <s v=""/>
  </r>
  <r>
    <s v="O0010"/>
    <x v="9"/>
    <s v="C013"/>
    <x v="2"/>
    <s v="P028"/>
    <x v="0"/>
    <s v="E04"/>
    <x v="0"/>
    <x v="0"/>
    <x v="0"/>
    <n v="3493.54"/>
    <n v="3"/>
    <n v="0"/>
    <n v="10480.619999999999"/>
    <n v="10480.619999999999"/>
    <s v="2024-07-23"/>
    <x v="2"/>
    <s v=""/>
  </r>
  <r>
    <s v="O0011"/>
    <x v="10"/>
    <s v="C008"/>
    <x v="8"/>
    <s v="P038"/>
    <x v="8"/>
    <s v="E04"/>
    <x v="0"/>
    <x v="3"/>
    <x v="0"/>
    <n v="3205.14"/>
    <n v="8"/>
    <n v="0.05"/>
    <n v="25641.119999999999"/>
    <n v="24359.063999999998"/>
    <s v="2024-03-25"/>
    <x v="2"/>
    <s v=""/>
  </r>
  <r>
    <s v="O0012"/>
    <x v="11"/>
    <s v="C017"/>
    <x v="9"/>
    <s v="P033"/>
    <x v="9"/>
    <s v="E04"/>
    <x v="0"/>
    <x v="5"/>
    <x v="3"/>
    <n v="2316.1999999999998"/>
    <n v="7"/>
    <n v="0"/>
    <n v="16213.399999999998"/>
    <n v="16213.399999999998"/>
    <s v="2025-05-24"/>
    <x v="1"/>
    <s v=""/>
  </r>
  <r>
    <s v="O0013"/>
    <x v="12"/>
    <s v="C013"/>
    <x v="2"/>
    <s v="P003"/>
    <x v="10"/>
    <s v="E01"/>
    <x v="1"/>
    <x v="6"/>
    <x v="2"/>
    <n v="3550.89"/>
    <n v="4"/>
    <n v="0"/>
    <n v="14203.56"/>
    <n v="14203.56"/>
    <s v="2025-03-20"/>
    <x v="1"/>
    <s v=""/>
  </r>
  <r>
    <s v="O0014"/>
    <x v="13"/>
    <s v="C051"/>
    <x v="10"/>
    <s v="P005"/>
    <x v="11"/>
    <s v="E02"/>
    <x v="4"/>
    <x v="6"/>
    <x v="2"/>
    <n v="1044.7"/>
    <n v="2"/>
    <n v="0.05"/>
    <n v="2089.4"/>
    <n v="1984.93"/>
    <s v="2024-09-15"/>
    <x v="3"/>
    <s v=""/>
  </r>
  <r>
    <s v="O0015"/>
    <x v="14"/>
    <s v="C021"/>
    <x v="4"/>
    <s v="P046"/>
    <x v="12"/>
    <s v="E02"/>
    <x v="4"/>
    <x v="2"/>
    <x v="2"/>
    <n v="3457.28"/>
    <n v="8"/>
    <n v="0.1"/>
    <n v="27658.240000000002"/>
    <n v="24892.416000000001"/>
    <s v="2024-11-29"/>
    <x v="3"/>
    <s v=""/>
  </r>
  <r>
    <s v="O0016"/>
    <x v="15"/>
    <s v="C056"/>
    <x v="11"/>
    <s v="P019"/>
    <x v="13"/>
    <s v="E02"/>
    <x v="4"/>
    <x v="7"/>
    <x v="2"/>
    <n v="928.72"/>
    <n v="3"/>
    <n v="0.15"/>
    <n v="2786.16"/>
    <n v="2368.2359999999999"/>
    <s v="2025-04-09"/>
    <x v="0"/>
    <s v=""/>
  </r>
  <r>
    <s v="O0017"/>
    <x v="16"/>
    <s v="C029"/>
    <x v="1"/>
    <s v="P047"/>
    <x v="14"/>
    <s v="E04"/>
    <x v="0"/>
    <x v="2"/>
    <x v="2"/>
    <n v="3610.44"/>
    <n v="5"/>
    <n v="0.2"/>
    <n v="18052.2"/>
    <n v="14441.760000000002"/>
    <s v="2024-09-19"/>
    <x v="4"/>
    <s v=""/>
  </r>
  <r>
    <s v="O0018"/>
    <x v="17"/>
    <s v="C043"/>
    <x v="12"/>
    <s v="P001"/>
    <x v="15"/>
    <s v="E09"/>
    <x v="3"/>
    <x v="6"/>
    <x v="0"/>
    <n v="2352.63"/>
    <n v="8"/>
    <n v="0"/>
    <n v="18821.04"/>
    <n v="18821.04"/>
    <s v="2024-10-13"/>
    <x v="0"/>
    <s v=""/>
  </r>
  <r>
    <s v="O0019"/>
    <x v="8"/>
    <s v="C038"/>
    <x v="13"/>
    <s v="P044"/>
    <x v="3"/>
    <s v="E04"/>
    <x v="0"/>
    <x v="2"/>
    <x v="0"/>
    <n v="620.89"/>
    <n v="6"/>
    <n v="0.1"/>
    <n v="3725.34"/>
    <n v="3352.806"/>
    <s v="2024-12-11"/>
    <x v="4"/>
    <s v=""/>
  </r>
  <r>
    <s v="O0020"/>
    <x v="18"/>
    <s v="C001"/>
    <x v="14"/>
    <s v="P012"/>
    <x v="16"/>
    <s v="E03"/>
    <x v="2"/>
    <x v="4"/>
    <x v="0"/>
    <n v="1559.65"/>
    <n v="7"/>
    <n v="0.15"/>
    <n v="10917.550000000001"/>
    <n v="9279.9175000000014"/>
    <s v="2024-08-27"/>
    <x v="1"/>
    <s v=""/>
  </r>
  <r>
    <s v="O0021"/>
    <x v="19"/>
    <s v="C055"/>
    <x v="15"/>
    <s v="P042"/>
    <x v="17"/>
    <s v="E09"/>
    <x v="3"/>
    <x v="3"/>
    <x v="2"/>
    <n v="4390.62"/>
    <n v="7"/>
    <n v="0"/>
    <n v="30734.34"/>
    <n v="30734.34"/>
    <s v="2025-03-09"/>
    <x v="2"/>
    <s v=""/>
  </r>
  <r>
    <s v="O0022"/>
    <x v="20"/>
    <s v="C024"/>
    <x v="16"/>
    <s v="P010"/>
    <x v="18"/>
    <s v="E09"/>
    <x v="3"/>
    <x v="4"/>
    <x v="2"/>
    <n v="1156.02"/>
    <n v="4"/>
    <n v="0.2"/>
    <n v="4624.08"/>
    <n v="3699.2640000000001"/>
    <s v="2024-03-11"/>
    <x v="3"/>
    <s v=""/>
  </r>
  <r>
    <s v="O0023"/>
    <x v="21"/>
    <s v="C022"/>
    <x v="17"/>
    <s v="P022"/>
    <x v="19"/>
    <s v="E04"/>
    <x v="0"/>
    <x v="7"/>
    <x v="3"/>
    <n v="3414.07"/>
    <n v="10"/>
    <n v="0.05"/>
    <n v="34140.700000000004"/>
    <n v="32433.665000000001"/>
    <s v="2024-01-29"/>
    <x v="0"/>
    <s v=""/>
  </r>
  <r>
    <s v="O0024"/>
    <x v="22"/>
    <s v="C006"/>
    <x v="18"/>
    <s v="P043"/>
    <x v="20"/>
    <s v="E02"/>
    <x v="4"/>
    <x v="2"/>
    <x v="0"/>
    <n v="2458.91"/>
    <n v="7"/>
    <n v="0.2"/>
    <n v="17212.37"/>
    <n v="13769.896000000001"/>
    <s v="2024-11-08"/>
    <x v="2"/>
    <s v=""/>
  </r>
  <r>
    <s v="O0025"/>
    <x v="23"/>
    <s v="C009"/>
    <x v="19"/>
    <s v="P027"/>
    <x v="21"/>
    <s v="E01"/>
    <x v="1"/>
    <x v="0"/>
    <x v="3"/>
    <n v="3128.51"/>
    <n v="5"/>
    <n v="0.05"/>
    <n v="15642.550000000001"/>
    <n v="14860.422500000001"/>
    <s v="2024-08-20"/>
    <x v="2"/>
    <s v=""/>
  </r>
  <r>
    <s v="O0026"/>
    <x v="24"/>
    <s v="C048"/>
    <x v="6"/>
    <s v="P028"/>
    <x v="0"/>
    <s v="E09"/>
    <x v="3"/>
    <x v="0"/>
    <x v="2"/>
    <n v="3493.54"/>
    <n v="7"/>
    <n v="0.15"/>
    <n v="24454.78"/>
    <n v="20786.562999999998"/>
    <s v="2024-12-13"/>
    <x v="4"/>
    <s v=""/>
  </r>
  <r>
    <s v="O0027"/>
    <x v="25"/>
    <s v="C003"/>
    <x v="20"/>
    <s v="P012"/>
    <x v="16"/>
    <s v="E03"/>
    <x v="2"/>
    <x v="4"/>
    <x v="3"/>
    <n v="1559.65"/>
    <n v="7"/>
    <n v="0.1"/>
    <n v="10917.550000000001"/>
    <n v="9825.7950000000019"/>
    <s v="2024-02-07"/>
    <x v="1"/>
    <s v=""/>
  </r>
  <r>
    <s v="O0028"/>
    <x v="26"/>
    <s v="C023"/>
    <x v="21"/>
    <s v="P044"/>
    <x v="3"/>
    <s v="E09"/>
    <x v="3"/>
    <x v="2"/>
    <x v="0"/>
    <n v="620.89"/>
    <n v="3"/>
    <n v="0.2"/>
    <n v="1862.67"/>
    <n v="1490.1360000000002"/>
    <s v="2025-03-22"/>
    <x v="1"/>
    <s v=""/>
  </r>
  <r>
    <s v="O0029"/>
    <x v="27"/>
    <s v="C007"/>
    <x v="22"/>
    <s v="P017"/>
    <x v="22"/>
    <s v="E09"/>
    <x v="3"/>
    <x v="1"/>
    <x v="2"/>
    <n v="2612.71"/>
    <n v="7"/>
    <n v="0"/>
    <n v="18288.97"/>
    <n v="18288.97"/>
    <s v="2024-09-27"/>
    <x v="0"/>
    <s v=""/>
  </r>
  <r>
    <s v="O0030"/>
    <x v="28"/>
    <s v="C006"/>
    <x v="18"/>
    <s v="P045"/>
    <x v="23"/>
    <s v="E02"/>
    <x v="4"/>
    <x v="2"/>
    <x v="1"/>
    <n v="3576.75"/>
    <n v="7"/>
    <n v="0"/>
    <n v="25037.25"/>
    <n v="25037.25"/>
    <s v="2024-12-18"/>
    <x v="1"/>
    <s v=""/>
  </r>
  <r>
    <s v="O0031"/>
    <x v="29"/>
    <s v="C002"/>
    <x v="23"/>
    <s v="P031"/>
    <x v="24"/>
    <s v="E01"/>
    <x v="1"/>
    <x v="5"/>
    <x v="3"/>
    <n v="2128.4"/>
    <n v="1"/>
    <n v="0.15"/>
    <n v="2128.4"/>
    <n v="1809.14"/>
    <s v="2025-05-05"/>
    <x v="0"/>
    <s v=""/>
  </r>
  <r>
    <s v="O0032"/>
    <x v="30"/>
    <s v="C050"/>
    <x v="24"/>
    <s v="P041"/>
    <x v="4"/>
    <s v="E04"/>
    <x v="0"/>
    <x v="3"/>
    <x v="3"/>
    <n v="136.91"/>
    <n v="2"/>
    <n v="0.2"/>
    <n v="273.82"/>
    <n v="219.05600000000001"/>
    <s v="2024-08-18"/>
    <x v="4"/>
    <s v=""/>
  </r>
  <r>
    <s v="O0033"/>
    <x v="31"/>
    <s v="C026"/>
    <x v="25"/>
    <s v="P021"/>
    <x v="25"/>
    <s v="E03"/>
    <x v="2"/>
    <x v="7"/>
    <x v="0"/>
    <n v="1513.99"/>
    <n v="1"/>
    <n v="0.1"/>
    <n v="1513.99"/>
    <n v="1362.5910000000001"/>
    <s v="2024-07-26"/>
    <x v="4"/>
    <s v=""/>
  </r>
  <r>
    <s v="O0034"/>
    <x v="7"/>
    <s v="C048"/>
    <x v="6"/>
    <s v="P036"/>
    <x v="26"/>
    <s v="E04"/>
    <x v="0"/>
    <x v="5"/>
    <x v="2"/>
    <n v="2489.91"/>
    <n v="2"/>
    <n v="0.1"/>
    <n v="4979.82"/>
    <n v="4481.8379999999997"/>
    <s v="2025-05-03"/>
    <x v="0"/>
    <s v=""/>
  </r>
  <r>
    <s v="O0035"/>
    <x v="32"/>
    <s v="C031"/>
    <x v="26"/>
    <s v="P003"/>
    <x v="10"/>
    <s v="E01"/>
    <x v="1"/>
    <x v="6"/>
    <x v="3"/>
    <n v="3550.89"/>
    <n v="3"/>
    <n v="0.1"/>
    <n v="10652.67"/>
    <n v="9587.4030000000002"/>
    <s v="2025-01-22"/>
    <x v="4"/>
    <s v=""/>
  </r>
  <r>
    <s v="O0036"/>
    <x v="33"/>
    <s v="C030"/>
    <x v="27"/>
    <s v="P015"/>
    <x v="27"/>
    <s v="E09"/>
    <x v="3"/>
    <x v="1"/>
    <x v="1"/>
    <n v="2849.53"/>
    <n v="2"/>
    <n v="0.1"/>
    <n v="5699.06"/>
    <n v="5129.1540000000005"/>
    <s v="2024-11-15"/>
    <x v="3"/>
    <s v=""/>
  </r>
  <r>
    <s v="O0037"/>
    <x v="34"/>
    <s v="C045"/>
    <x v="28"/>
    <s v="P021"/>
    <x v="25"/>
    <s v="E02"/>
    <x v="4"/>
    <x v="7"/>
    <x v="3"/>
    <n v="1513.99"/>
    <n v="7"/>
    <n v="0.15"/>
    <n v="10597.93"/>
    <n v="9008.2404999999999"/>
    <s v="2025-01-23"/>
    <x v="3"/>
    <s v=""/>
  </r>
  <r>
    <s v="O0038"/>
    <x v="35"/>
    <s v="C016"/>
    <x v="29"/>
    <s v="P045"/>
    <x v="23"/>
    <s v="E02"/>
    <x v="4"/>
    <x v="2"/>
    <x v="3"/>
    <n v="3576.75"/>
    <n v="2"/>
    <n v="0.15"/>
    <n v="7153.5"/>
    <n v="6080.4749999999995"/>
    <s v="2024-09-10"/>
    <x v="3"/>
    <s v=""/>
  </r>
  <r>
    <s v="O0039"/>
    <x v="36"/>
    <s v="C026"/>
    <x v="25"/>
    <s v="P036"/>
    <x v="26"/>
    <s v="E01"/>
    <x v="1"/>
    <x v="5"/>
    <x v="1"/>
    <n v="2489.91"/>
    <n v="6"/>
    <n v="0.1"/>
    <n v="14939.46"/>
    <n v="13445.513999999999"/>
    <s v="2024-02-19"/>
    <x v="1"/>
    <s v=""/>
  </r>
  <r>
    <s v="O0040"/>
    <x v="37"/>
    <s v="C021"/>
    <x v="4"/>
    <s v="P044"/>
    <x v="3"/>
    <s v="E04"/>
    <x v="0"/>
    <x v="2"/>
    <x v="2"/>
    <n v="620.89"/>
    <n v="6"/>
    <n v="0"/>
    <n v="3725.34"/>
    <n v="3725.34"/>
    <s v="2025-06-09"/>
    <x v="1"/>
    <s v=""/>
  </r>
  <r>
    <s v="O0041"/>
    <x v="38"/>
    <s v="C005"/>
    <x v="30"/>
    <s v="P027"/>
    <x v="21"/>
    <s v="E03"/>
    <x v="2"/>
    <x v="0"/>
    <x v="0"/>
    <n v="3128.51"/>
    <n v="6"/>
    <n v="0.15"/>
    <n v="18771.060000000001"/>
    <n v="15955.401"/>
    <s v="2025-03-27"/>
    <x v="2"/>
    <s v=""/>
  </r>
  <r>
    <s v="O0042"/>
    <x v="39"/>
    <s v="C059"/>
    <x v="26"/>
    <s v="P036"/>
    <x v="26"/>
    <s v="E04"/>
    <x v="0"/>
    <x v="5"/>
    <x v="2"/>
    <n v="2489.91"/>
    <n v="9"/>
    <n v="0.15"/>
    <n v="22409.19"/>
    <n v="19047.8115"/>
    <s v="2024-07-04"/>
    <x v="2"/>
    <s v=""/>
  </r>
  <r>
    <s v="O0043"/>
    <x v="0"/>
    <s v="C005"/>
    <x v="30"/>
    <s v="P015"/>
    <x v="27"/>
    <s v="E03"/>
    <x v="2"/>
    <x v="1"/>
    <x v="0"/>
    <n v="2849.53"/>
    <n v="10"/>
    <n v="0"/>
    <n v="28495.300000000003"/>
    <n v="28495.300000000003"/>
    <s v="2025-03-28"/>
    <x v="1"/>
    <s v=""/>
  </r>
  <r>
    <s v="O0044"/>
    <x v="40"/>
    <s v="C007"/>
    <x v="22"/>
    <s v="P004"/>
    <x v="28"/>
    <s v="E02"/>
    <x v="4"/>
    <x v="6"/>
    <x v="2"/>
    <n v="2184.5100000000002"/>
    <n v="8"/>
    <n v="0"/>
    <n v="17476.080000000002"/>
    <n v="17476.080000000002"/>
    <s v="2024-10-20"/>
    <x v="0"/>
    <s v=""/>
  </r>
  <r>
    <s v="O0045"/>
    <x v="41"/>
    <s v="C035"/>
    <x v="31"/>
    <s v="P005"/>
    <x v="11"/>
    <s v="E09"/>
    <x v="3"/>
    <x v="6"/>
    <x v="0"/>
    <n v="1044.7"/>
    <n v="8"/>
    <n v="0.2"/>
    <n v="8357.6"/>
    <n v="6686.0800000000008"/>
    <s v="2024-02-05"/>
    <x v="2"/>
    <s v=""/>
  </r>
  <r>
    <s v="O0046"/>
    <x v="42"/>
    <s v="C039"/>
    <x v="32"/>
    <s v="P038"/>
    <x v="8"/>
    <s v="E03"/>
    <x v="2"/>
    <x v="3"/>
    <x v="1"/>
    <n v="3205.14"/>
    <n v="6"/>
    <n v="0.2"/>
    <n v="19230.84"/>
    <n v="15384.672"/>
    <s v="2024-08-10"/>
    <x v="0"/>
    <s v=""/>
  </r>
  <r>
    <s v="O0047"/>
    <x v="43"/>
    <s v="C048"/>
    <x v="6"/>
    <s v="P006"/>
    <x v="29"/>
    <s v="E03"/>
    <x v="2"/>
    <x v="6"/>
    <x v="0"/>
    <n v="2779.58"/>
    <n v="9"/>
    <n v="0"/>
    <n v="25016.22"/>
    <n v="25016.22"/>
    <s v="2024-10-18"/>
    <x v="1"/>
    <s v=""/>
  </r>
  <r>
    <s v="O0048"/>
    <x v="44"/>
    <s v="C011"/>
    <x v="33"/>
    <s v="P029"/>
    <x v="30"/>
    <s v="E09"/>
    <x v="3"/>
    <x v="0"/>
    <x v="0"/>
    <n v="1187.29"/>
    <n v="7"/>
    <n v="0.05"/>
    <n v="8311.0299999999988"/>
    <n v="7895.4784999999983"/>
    <s v="2024-09-13"/>
    <x v="2"/>
    <s v=""/>
  </r>
  <r>
    <s v="O0049"/>
    <x v="45"/>
    <s v="C053"/>
    <x v="34"/>
    <s v="P041"/>
    <x v="4"/>
    <s v="E04"/>
    <x v="0"/>
    <x v="3"/>
    <x v="3"/>
    <n v="136.91"/>
    <n v="8"/>
    <n v="0.2"/>
    <n v="1095.28"/>
    <n v="876.22400000000005"/>
    <s v="2025-05-18"/>
    <x v="0"/>
    <s v=""/>
  </r>
  <r>
    <s v="O0050"/>
    <x v="46"/>
    <s v="C027"/>
    <x v="35"/>
    <s v="P047"/>
    <x v="14"/>
    <s v="E02"/>
    <x v="4"/>
    <x v="2"/>
    <x v="1"/>
    <n v="3610.44"/>
    <n v="7"/>
    <n v="0.15"/>
    <n v="25273.08"/>
    <n v="21482.118000000002"/>
    <s v="2024-08-18"/>
    <x v="3"/>
    <s v=""/>
  </r>
  <r>
    <s v="O0051"/>
    <x v="32"/>
    <s v="C021"/>
    <x v="4"/>
    <s v="P004"/>
    <x v="28"/>
    <s v="E04"/>
    <x v="0"/>
    <x v="6"/>
    <x v="1"/>
    <n v="2184.5100000000002"/>
    <n v="8"/>
    <n v="0.1"/>
    <n v="17476.080000000002"/>
    <n v="15728.472000000002"/>
    <s v="2025-01-21"/>
    <x v="2"/>
    <s v=""/>
  </r>
  <r>
    <s v="O0052"/>
    <x v="47"/>
    <s v="C026"/>
    <x v="25"/>
    <s v="P001"/>
    <x v="15"/>
    <s v="E01"/>
    <x v="1"/>
    <x v="6"/>
    <x v="1"/>
    <n v="2352.63"/>
    <n v="6"/>
    <n v="0.15"/>
    <n v="14115.78"/>
    <n v="11998.413"/>
    <s v="2024-12-12"/>
    <x v="0"/>
    <s v=""/>
  </r>
  <r>
    <s v="O0053"/>
    <x v="48"/>
    <s v="C009"/>
    <x v="19"/>
    <s v="P020"/>
    <x v="31"/>
    <s v="E01"/>
    <x v="1"/>
    <x v="7"/>
    <x v="1"/>
    <n v="2359.5"/>
    <n v="4"/>
    <n v="0"/>
    <n v="9438"/>
    <n v="9438"/>
    <s v="2024-09-18"/>
    <x v="1"/>
    <s v=""/>
  </r>
  <r>
    <s v="O0054"/>
    <x v="49"/>
    <s v="C052"/>
    <x v="36"/>
    <s v="P042"/>
    <x v="17"/>
    <s v="E04"/>
    <x v="0"/>
    <x v="3"/>
    <x v="1"/>
    <n v="4390.62"/>
    <n v="4"/>
    <n v="0"/>
    <n v="17562.48"/>
    <n v="17562.48"/>
    <s v="2024-07-16"/>
    <x v="3"/>
    <s v=""/>
  </r>
  <r>
    <s v="O0055"/>
    <x v="50"/>
    <s v="C024"/>
    <x v="16"/>
    <s v="P003"/>
    <x v="10"/>
    <s v="E02"/>
    <x v="4"/>
    <x v="6"/>
    <x v="0"/>
    <n v="3550.89"/>
    <n v="10"/>
    <n v="0"/>
    <n v="35508.9"/>
    <n v="35508.9"/>
    <s v="2025-06-23"/>
    <x v="0"/>
    <s v=""/>
  </r>
  <r>
    <s v="O0056"/>
    <x v="51"/>
    <s v="C037"/>
    <x v="37"/>
    <s v="P022"/>
    <x v="19"/>
    <s v="E02"/>
    <x v="4"/>
    <x v="7"/>
    <x v="3"/>
    <n v="3414.07"/>
    <n v="6"/>
    <n v="0"/>
    <n v="20484.420000000002"/>
    <n v="20484.420000000002"/>
    <s v="2024-08-25"/>
    <x v="3"/>
    <s v=""/>
  </r>
  <r>
    <s v="O0057"/>
    <x v="52"/>
    <s v="C022"/>
    <x v="17"/>
    <s v="P012"/>
    <x v="16"/>
    <s v="E04"/>
    <x v="0"/>
    <x v="4"/>
    <x v="1"/>
    <n v="1559.65"/>
    <n v="5"/>
    <n v="0"/>
    <n v="7798.25"/>
    <n v="7798.25"/>
    <s v="2024-05-10"/>
    <x v="4"/>
    <s v=""/>
  </r>
  <r>
    <s v="O0058"/>
    <x v="45"/>
    <s v="C038"/>
    <x v="13"/>
    <s v="P034"/>
    <x v="32"/>
    <s v="E01"/>
    <x v="1"/>
    <x v="5"/>
    <x v="1"/>
    <n v="2036.67"/>
    <n v="2"/>
    <n v="0.2"/>
    <n v="4073.34"/>
    <n v="3258.6720000000005"/>
    <s v="2025-05-18"/>
    <x v="2"/>
    <s v=""/>
  </r>
  <r>
    <s v="O0059"/>
    <x v="53"/>
    <s v="C043"/>
    <x v="12"/>
    <s v="P041"/>
    <x v="4"/>
    <s v="E04"/>
    <x v="0"/>
    <x v="3"/>
    <x v="3"/>
    <n v="136.91"/>
    <n v="8"/>
    <n v="0"/>
    <n v="1095.28"/>
    <n v="1095.28"/>
    <s v="2025-05-08"/>
    <x v="0"/>
    <s v=""/>
  </r>
  <r>
    <s v="O0060"/>
    <x v="54"/>
    <s v="C015"/>
    <x v="38"/>
    <s v="P028"/>
    <x v="0"/>
    <s v="E02"/>
    <x v="4"/>
    <x v="0"/>
    <x v="2"/>
    <n v="3493.54"/>
    <n v="2"/>
    <n v="0.2"/>
    <n v="6987.08"/>
    <n v="5589.6640000000007"/>
    <s v="2025-05-06"/>
    <x v="2"/>
    <s v=""/>
  </r>
  <r>
    <s v="O0061"/>
    <x v="55"/>
    <s v="C032"/>
    <x v="7"/>
    <s v="P011"/>
    <x v="33"/>
    <s v="E01"/>
    <x v="1"/>
    <x v="4"/>
    <x v="0"/>
    <n v="1309.58"/>
    <n v="10"/>
    <n v="0.15"/>
    <n v="13095.8"/>
    <n v="11131.429999999998"/>
    <s v="2024-03-17"/>
    <x v="4"/>
    <s v=""/>
  </r>
  <r>
    <s v="O0062"/>
    <x v="56"/>
    <s v="C047"/>
    <x v="39"/>
    <s v="P032"/>
    <x v="34"/>
    <s v="E01"/>
    <x v="1"/>
    <x v="5"/>
    <x v="2"/>
    <n v="605.26"/>
    <n v="2"/>
    <n v="0"/>
    <n v="1210.52"/>
    <n v="1210.52"/>
    <s v="2024-11-09"/>
    <x v="3"/>
    <s v=""/>
  </r>
  <r>
    <s v="O0063"/>
    <x v="57"/>
    <s v="C015"/>
    <x v="38"/>
    <s v="P010"/>
    <x v="18"/>
    <s v="E01"/>
    <x v="1"/>
    <x v="4"/>
    <x v="2"/>
    <n v="1156.02"/>
    <n v="9"/>
    <n v="0.05"/>
    <n v="10404.18"/>
    <n v="9883.9709999999995"/>
    <s v="2024-08-27"/>
    <x v="0"/>
    <s v=""/>
  </r>
  <r>
    <s v="O0064"/>
    <x v="58"/>
    <s v="C024"/>
    <x v="16"/>
    <s v="P013"/>
    <x v="35"/>
    <s v="E09"/>
    <x v="3"/>
    <x v="1"/>
    <x v="3"/>
    <n v="3981.64"/>
    <n v="5"/>
    <n v="0.1"/>
    <n v="19908.2"/>
    <n v="17917.38"/>
    <s v="2025-03-25"/>
    <x v="3"/>
    <s v=""/>
  </r>
  <r>
    <s v="O0065"/>
    <x v="59"/>
    <s v="C044"/>
    <x v="3"/>
    <s v="P022"/>
    <x v="19"/>
    <s v="E04"/>
    <x v="0"/>
    <x v="7"/>
    <x v="1"/>
    <n v="3414.07"/>
    <n v="4"/>
    <n v="0.15"/>
    <n v="13656.28"/>
    <n v="11607.838"/>
    <s v="2024-04-15"/>
    <x v="1"/>
    <s v=""/>
  </r>
  <r>
    <s v="O0066"/>
    <x v="60"/>
    <s v="C045"/>
    <x v="28"/>
    <s v="P030"/>
    <x v="36"/>
    <s v="E09"/>
    <x v="3"/>
    <x v="0"/>
    <x v="3"/>
    <n v="2877.99"/>
    <n v="4"/>
    <n v="0"/>
    <n v="11511.96"/>
    <n v="11511.96"/>
    <s v="2024-06-18"/>
    <x v="4"/>
    <s v=""/>
  </r>
  <r>
    <s v="O0067"/>
    <x v="61"/>
    <s v="C045"/>
    <x v="28"/>
    <s v="P028"/>
    <x v="0"/>
    <s v="E02"/>
    <x v="4"/>
    <x v="0"/>
    <x v="2"/>
    <n v="3493.54"/>
    <n v="7"/>
    <n v="0.05"/>
    <n v="24454.78"/>
    <n v="23232.040999999997"/>
    <s v="2024-01-13"/>
    <x v="0"/>
    <s v=""/>
  </r>
  <r>
    <s v="O0068"/>
    <x v="62"/>
    <s v="C057"/>
    <x v="40"/>
    <s v="P043"/>
    <x v="20"/>
    <s v="E01"/>
    <x v="1"/>
    <x v="2"/>
    <x v="2"/>
    <n v="2458.91"/>
    <n v="4"/>
    <n v="0"/>
    <n v="9835.64"/>
    <n v="9835.64"/>
    <s v="2024-02-08"/>
    <x v="1"/>
    <s v=""/>
  </r>
  <r>
    <s v="O0069"/>
    <x v="63"/>
    <s v="C026"/>
    <x v="25"/>
    <s v="P003"/>
    <x v="10"/>
    <s v="E01"/>
    <x v="1"/>
    <x v="6"/>
    <x v="0"/>
    <n v="3550.89"/>
    <n v="5"/>
    <n v="0.2"/>
    <n v="17754.45"/>
    <n v="14203.560000000001"/>
    <s v="2024-09-06"/>
    <x v="2"/>
    <s v=""/>
  </r>
  <r>
    <s v="O0070"/>
    <x v="64"/>
    <s v="C033"/>
    <x v="41"/>
    <s v="P045"/>
    <x v="23"/>
    <s v="E04"/>
    <x v="0"/>
    <x v="2"/>
    <x v="1"/>
    <n v="3576.75"/>
    <n v="9"/>
    <n v="0"/>
    <n v="32190.75"/>
    <n v="32190.75"/>
    <s v="2024-04-30"/>
    <x v="4"/>
    <s v=""/>
  </r>
  <r>
    <s v="O0071"/>
    <x v="65"/>
    <s v="C041"/>
    <x v="6"/>
    <s v="P004"/>
    <x v="28"/>
    <s v="E02"/>
    <x v="4"/>
    <x v="6"/>
    <x v="1"/>
    <n v="2184.5100000000002"/>
    <n v="1"/>
    <n v="0"/>
    <n v="2184.5100000000002"/>
    <n v="2184.5100000000002"/>
    <s v="2024-03-19"/>
    <x v="2"/>
    <s v=""/>
  </r>
  <r>
    <s v="O0072"/>
    <x v="66"/>
    <s v="C042"/>
    <x v="0"/>
    <s v="P005"/>
    <x v="11"/>
    <s v="E02"/>
    <x v="4"/>
    <x v="6"/>
    <x v="2"/>
    <n v="1044.7"/>
    <n v="8"/>
    <n v="0.15"/>
    <n v="8357.6"/>
    <n v="7103.96"/>
    <s v="2024-05-12"/>
    <x v="0"/>
    <s v=""/>
  </r>
  <r>
    <s v="O0073"/>
    <x v="67"/>
    <s v="C056"/>
    <x v="11"/>
    <s v="P033"/>
    <x v="9"/>
    <s v="E01"/>
    <x v="1"/>
    <x v="5"/>
    <x v="3"/>
    <n v="2316.1999999999998"/>
    <n v="9"/>
    <n v="0.05"/>
    <n v="20845.8"/>
    <n v="19803.509999999998"/>
    <s v="2025-06-04"/>
    <x v="3"/>
    <s v=""/>
  </r>
  <r>
    <s v="O0074"/>
    <x v="68"/>
    <s v="C020"/>
    <x v="42"/>
    <s v="P032"/>
    <x v="34"/>
    <s v="E03"/>
    <x v="2"/>
    <x v="5"/>
    <x v="1"/>
    <n v="605.26"/>
    <n v="7"/>
    <n v="0.15"/>
    <n v="4236.82"/>
    <n v="3601.2969999999996"/>
    <s v="2024-02-16"/>
    <x v="1"/>
    <s v=""/>
  </r>
  <r>
    <s v="O0075"/>
    <x v="69"/>
    <s v="C003"/>
    <x v="20"/>
    <s v="P029"/>
    <x v="30"/>
    <s v="E09"/>
    <x v="3"/>
    <x v="0"/>
    <x v="3"/>
    <n v="1187.29"/>
    <n v="4"/>
    <n v="0.15"/>
    <n v="4749.16"/>
    <n v="4036.7859999999996"/>
    <s v="2024-04-13"/>
    <x v="0"/>
    <s v=""/>
  </r>
  <r>
    <s v="O0076"/>
    <x v="70"/>
    <s v="C038"/>
    <x v="13"/>
    <s v="P005"/>
    <x v="11"/>
    <s v="E03"/>
    <x v="2"/>
    <x v="6"/>
    <x v="2"/>
    <n v="1044.7"/>
    <n v="3"/>
    <n v="0.05"/>
    <n v="3134.1000000000004"/>
    <n v="2977.395"/>
    <s v="2024-02-20"/>
    <x v="0"/>
    <s v=""/>
  </r>
  <r>
    <s v="O0077"/>
    <x v="71"/>
    <s v="C022"/>
    <x v="17"/>
    <s v="P018"/>
    <x v="37"/>
    <s v="E03"/>
    <x v="2"/>
    <x v="1"/>
    <x v="3"/>
    <n v="4174.32"/>
    <n v="10"/>
    <n v="0.05"/>
    <n v="41743.199999999997"/>
    <n v="39656.039999999994"/>
    <s v="2024-07-12"/>
    <x v="2"/>
    <s v=""/>
  </r>
  <r>
    <s v="O0078"/>
    <x v="72"/>
    <s v="C002"/>
    <x v="23"/>
    <s v="P008"/>
    <x v="38"/>
    <s v="E09"/>
    <x v="3"/>
    <x v="4"/>
    <x v="3"/>
    <n v="1498.91"/>
    <n v="7"/>
    <n v="0"/>
    <n v="10492.37"/>
    <n v="10492.37"/>
    <s v="2024-12-28"/>
    <x v="4"/>
    <s v=""/>
  </r>
  <r>
    <s v="O0079"/>
    <x v="73"/>
    <s v="C021"/>
    <x v="4"/>
    <s v="P011"/>
    <x v="33"/>
    <s v="E04"/>
    <x v="0"/>
    <x v="4"/>
    <x v="1"/>
    <n v="1309.58"/>
    <n v="7"/>
    <n v="0.15"/>
    <n v="9167.06"/>
    <n v="7792.0009999999993"/>
    <s v="2024-12-11"/>
    <x v="2"/>
    <s v=""/>
  </r>
  <r>
    <s v="O0080"/>
    <x v="74"/>
    <s v="C023"/>
    <x v="21"/>
    <s v="P016"/>
    <x v="1"/>
    <s v="E04"/>
    <x v="0"/>
    <x v="1"/>
    <x v="1"/>
    <n v="3772.12"/>
    <n v="8"/>
    <n v="0"/>
    <n v="30176.959999999999"/>
    <n v="30176.959999999999"/>
    <s v="2024-02-13"/>
    <x v="0"/>
    <s v=""/>
  </r>
  <r>
    <s v="O0081"/>
    <x v="75"/>
    <s v="C054"/>
    <x v="43"/>
    <s v="P012"/>
    <x v="16"/>
    <s v="E09"/>
    <x v="3"/>
    <x v="4"/>
    <x v="3"/>
    <n v="1559.65"/>
    <n v="7"/>
    <n v="0.2"/>
    <n v="10917.550000000001"/>
    <n v="8734.0400000000009"/>
    <s v="2024-05-07"/>
    <x v="3"/>
    <s v=""/>
  </r>
  <r>
    <s v="O0082"/>
    <x v="76"/>
    <s v="C007"/>
    <x v="22"/>
    <s v="P041"/>
    <x v="4"/>
    <s v="E09"/>
    <x v="3"/>
    <x v="3"/>
    <x v="1"/>
    <n v="136.91"/>
    <n v="7"/>
    <n v="0"/>
    <n v="958.37"/>
    <n v="958.37"/>
    <s v="2025-04-22"/>
    <x v="3"/>
    <s v=""/>
  </r>
  <r>
    <s v="O0083"/>
    <x v="77"/>
    <s v="C035"/>
    <x v="31"/>
    <s v="P023"/>
    <x v="39"/>
    <s v="E02"/>
    <x v="4"/>
    <x v="7"/>
    <x v="0"/>
    <n v="2405.98"/>
    <n v="8"/>
    <n v="0.2"/>
    <n v="19247.84"/>
    <n v="15398.272000000001"/>
    <s v="2025-05-26"/>
    <x v="0"/>
    <s v=""/>
  </r>
  <r>
    <s v="O0084"/>
    <x v="78"/>
    <s v="C044"/>
    <x v="3"/>
    <s v="P041"/>
    <x v="4"/>
    <s v="E09"/>
    <x v="3"/>
    <x v="3"/>
    <x v="3"/>
    <n v="136.91"/>
    <n v="5"/>
    <n v="0.05"/>
    <n v="684.55"/>
    <n v="650.32249999999988"/>
    <s v="2024-05-22"/>
    <x v="1"/>
    <s v=""/>
  </r>
  <r>
    <s v="O0085"/>
    <x v="79"/>
    <s v="C051"/>
    <x v="10"/>
    <s v="P048"/>
    <x v="6"/>
    <s v="E01"/>
    <x v="1"/>
    <x v="2"/>
    <x v="3"/>
    <n v="2041.83"/>
    <n v="3"/>
    <n v="0"/>
    <n v="6125.49"/>
    <n v="6125.49"/>
    <s v="2024-09-11"/>
    <x v="3"/>
    <s v=""/>
  </r>
  <r>
    <s v="O0086"/>
    <x v="80"/>
    <s v="C043"/>
    <x v="12"/>
    <s v="P042"/>
    <x v="17"/>
    <s v="E09"/>
    <x v="3"/>
    <x v="3"/>
    <x v="2"/>
    <n v="4390.62"/>
    <n v="2"/>
    <n v="0"/>
    <n v="8781.24"/>
    <n v="8781.24"/>
    <s v="2025-02-23"/>
    <x v="1"/>
    <s v=""/>
  </r>
  <r>
    <s v="O0087"/>
    <x v="81"/>
    <s v="C043"/>
    <x v="12"/>
    <s v="P006"/>
    <x v="29"/>
    <s v="E04"/>
    <x v="0"/>
    <x v="6"/>
    <x v="1"/>
    <n v="2779.58"/>
    <n v="8"/>
    <n v="0.15"/>
    <n v="22236.639999999999"/>
    <n v="18901.144"/>
    <s v="2024-06-11"/>
    <x v="2"/>
    <s v=""/>
  </r>
  <r>
    <s v="O0088"/>
    <x v="82"/>
    <s v="C054"/>
    <x v="43"/>
    <s v="P034"/>
    <x v="32"/>
    <s v="E04"/>
    <x v="0"/>
    <x v="5"/>
    <x v="0"/>
    <n v="2036.67"/>
    <n v="8"/>
    <n v="0"/>
    <n v="16293.36"/>
    <n v="16293.36"/>
    <s v="2025-05-17"/>
    <x v="2"/>
    <s v=""/>
  </r>
  <r>
    <s v="O0089"/>
    <x v="83"/>
    <s v="C028"/>
    <x v="44"/>
    <s v="P016"/>
    <x v="1"/>
    <s v="E03"/>
    <x v="2"/>
    <x v="1"/>
    <x v="3"/>
    <n v="3772.12"/>
    <n v="10"/>
    <n v="0.1"/>
    <n v="37721.199999999997"/>
    <n v="33949.08"/>
    <s v="2024-07-17"/>
    <x v="0"/>
    <s v=""/>
  </r>
  <r>
    <s v="O0090"/>
    <x v="19"/>
    <s v="C052"/>
    <x v="36"/>
    <s v="P021"/>
    <x v="25"/>
    <s v="E02"/>
    <x v="4"/>
    <x v="7"/>
    <x v="1"/>
    <n v="1513.99"/>
    <n v="6"/>
    <n v="0.2"/>
    <n v="9083.94"/>
    <n v="7267.152000000001"/>
    <s v="2025-03-09"/>
    <x v="1"/>
    <s v=""/>
  </r>
  <r>
    <s v="O0091"/>
    <x v="84"/>
    <s v="C057"/>
    <x v="40"/>
    <s v="P047"/>
    <x v="14"/>
    <s v="E02"/>
    <x v="4"/>
    <x v="2"/>
    <x v="2"/>
    <n v="3610.44"/>
    <n v="5"/>
    <n v="0.2"/>
    <n v="18052.2"/>
    <n v="14441.760000000002"/>
    <s v="2024-10-26"/>
    <x v="4"/>
    <s v=""/>
  </r>
  <r>
    <s v="O0092"/>
    <x v="85"/>
    <s v="C052"/>
    <x v="36"/>
    <s v="P041"/>
    <x v="4"/>
    <s v="E02"/>
    <x v="4"/>
    <x v="3"/>
    <x v="1"/>
    <n v="136.91"/>
    <n v="9"/>
    <n v="0.05"/>
    <n v="1232.19"/>
    <n v="1170.5805"/>
    <s v="2025-04-08"/>
    <x v="3"/>
    <s v=""/>
  </r>
  <r>
    <s v="O0093"/>
    <x v="86"/>
    <s v="C039"/>
    <x v="32"/>
    <s v="P021"/>
    <x v="25"/>
    <s v="E02"/>
    <x v="4"/>
    <x v="7"/>
    <x v="0"/>
    <n v="1513.99"/>
    <n v="8"/>
    <n v="0"/>
    <n v="12111.92"/>
    <n v="12111.92"/>
    <s v="2025-01-25"/>
    <x v="3"/>
    <s v=""/>
  </r>
  <r>
    <s v="O0094"/>
    <x v="87"/>
    <s v="C043"/>
    <x v="12"/>
    <s v="P048"/>
    <x v="6"/>
    <s v="E03"/>
    <x v="2"/>
    <x v="2"/>
    <x v="3"/>
    <n v="2041.83"/>
    <n v="4"/>
    <n v="0.2"/>
    <n v="8167.32"/>
    <n v="6533.8559999999998"/>
    <s v="2025-02-03"/>
    <x v="0"/>
    <s v=""/>
  </r>
  <r>
    <s v="O0095"/>
    <x v="7"/>
    <s v="C045"/>
    <x v="28"/>
    <s v="P040"/>
    <x v="40"/>
    <s v="E09"/>
    <x v="3"/>
    <x v="3"/>
    <x v="2"/>
    <n v="1212.79"/>
    <n v="7"/>
    <n v="0.05"/>
    <n v="8489.5299999999988"/>
    <n v="8065.0534999999982"/>
    <s v="2025-05-02"/>
    <x v="1"/>
    <s v=""/>
  </r>
  <r>
    <s v="O0096"/>
    <x v="52"/>
    <s v="C021"/>
    <x v="4"/>
    <s v="P005"/>
    <x v="11"/>
    <s v="E02"/>
    <x v="4"/>
    <x v="6"/>
    <x v="3"/>
    <n v="1044.7"/>
    <n v="9"/>
    <n v="0.1"/>
    <n v="9402.3000000000011"/>
    <n v="8462.0700000000015"/>
    <s v="2024-05-15"/>
    <x v="2"/>
    <s v=""/>
  </r>
  <r>
    <s v="O0097"/>
    <x v="88"/>
    <s v="C020"/>
    <x v="42"/>
    <s v="P013"/>
    <x v="35"/>
    <s v="E03"/>
    <x v="2"/>
    <x v="1"/>
    <x v="0"/>
    <n v="3981.64"/>
    <n v="9"/>
    <n v="0.05"/>
    <n v="35834.76"/>
    <n v="34043.021999999997"/>
    <s v="2024-04-13"/>
    <x v="2"/>
    <s v=""/>
  </r>
  <r>
    <s v="O0098"/>
    <x v="89"/>
    <s v="C039"/>
    <x v="32"/>
    <s v="P008"/>
    <x v="38"/>
    <s v="E04"/>
    <x v="0"/>
    <x v="4"/>
    <x v="1"/>
    <n v="1498.91"/>
    <n v="2"/>
    <n v="0.05"/>
    <n v="2997.82"/>
    <n v="2847.9290000000001"/>
    <s v="2024-06-12"/>
    <x v="3"/>
    <s v=""/>
  </r>
  <r>
    <s v="O0099"/>
    <x v="90"/>
    <s v="C012"/>
    <x v="45"/>
    <s v="P008"/>
    <x v="38"/>
    <s v="E09"/>
    <x v="3"/>
    <x v="4"/>
    <x v="2"/>
    <n v="1498.91"/>
    <n v="2"/>
    <n v="0.2"/>
    <n v="2997.82"/>
    <n v="2398.2560000000003"/>
    <s v="2025-02-17"/>
    <x v="0"/>
    <s v=""/>
  </r>
  <r>
    <s v="O0100"/>
    <x v="91"/>
    <s v="C006"/>
    <x v="18"/>
    <s v="P023"/>
    <x v="39"/>
    <s v="E04"/>
    <x v="0"/>
    <x v="7"/>
    <x v="3"/>
    <n v="2405.98"/>
    <n v="9"/>
    <n v="0"/>
    <n v="21653.82"/>
    <n v="21653.82"/>
    <s v="2025-05-24"/>
    <x v="4"/>
    <s v=""/>
  </r>
  <r>
    <s v="O0101"/>
    <x v="92"/>
    <s v="C059"/>
    <x v="26"/>
    <s v="P036"/>
    <x v="26"/>
    <s v="E09"/>
    <x v="3"/>
    <x v="5"/>
    <x v="2"/>
    <n v="2489.91"/>
    <n v="4"/>
    <n v="0.15"/>
    <n v="9959.64"/>
    <n v="8465.6939999999995"/>
    <s v="2024-10-23"/>
    <x v="1"/>
    <s v=""/>
  </r>
  <r>
    <s v="O0102"/>
    <x v="88"/>
    <s v="C053"/>
    <x v="34"/>
    <s v="P021"/>
    <x v="25"/>
    <s v="E01"/>
    <x v="1"/>
    <x v="7"/>
    <x v="3"/>
    <n v="1513.99"/>
    <n v="8"/>
    <n v="0"/>
    <n v="12111.92"/>
    <n v="12111.92"/>
    <s v="2024-04-17"/>
    <x v="1"/>
    <s v=""/>
  </r>
  <r>
    <s v="O0103"/>
    <x v="93"/>
    <s v="C044"/>
    <x v="3"/>
    <s v="P023"/>
    <x v="39"/>
    <s v="E03"/>
    <x v="2"/>
    <x v="7"/>
    <x v="1"/>
    <n v="2405.98"/>
    <n v="1"/>
    <n v="0"/>
    <n v="2405.98"/>
    <n v="2405.98"/>
    <s v="2024-12-04"/>
    <x v="2"/>
    <s v=""/>
  </r>
  <r>
    <s v="O0104"/>
    <x v="94"/>
    <s v="C015"/>
    <x v="38"/>
    <s v="P021"/>
    <x v="25"/>
    <s v="E04"/>
    <x v="0"/>
    <x v="7"/>
    <x v="0"/>
    <n v="1513.99"/>
    <n v="4"/>
    <n v="0.1"/>
    <n v="6055.96"/>
    <n v="5450.3640000000005"/>
    <s v="2024-06-05"/>
    <x v="4"/>
    <s v=""/>
  </r>
  <r>
    <s v="O0105"/>
    <x v="95"/>
    <s v="C057"/>
    <x v="40"/>
    <s v="P026"/>
    <x v="5"/>
    <s v="E02"/>
    <x v="4"/>
    <x v="0"/>
    <x v="0"/>
    <n v="973.21"/>
    <n v="2"/>
    <n v="0.1"/>
    <n v="1946.42"/>
    <n v="1751.778"/>
    <s v="2024-07-05"/>
    <x v="2"/>
    <s v=""/>
  </r>
  <r>
    <s v="O0106"/>
    <x v="96"/>
    <s v="C057"/>
    <x v="40"/>
    <s v="P010"/>
    <x v="18"/>
    <s v="E09"/>
    <x v="3"/>
    <x v="4"/>
    <x v="2"/>
    <n v="1156.02"/>
    <n v="4"/>
    <n v="0.05"/>
    <n v="4624.08"/>
    <n v="4392.8759999999993"/>
    <s v="2024-05-31"/>
    <x v="0"/>
    <s v=""/>
  </r>
  <r>
    <s v="O0107"/>
    <x v="97"/>
    <s v="C057"/>
    <x v="40"/>
    <s v="P042"/>
    <x v="17"/>
    <s v="E03"/>
    <x v="2"/>
    <x v="3"/>
    <x v="0"/>
    <n v="4390.62"/>
    <n v="8"/>
    <n v="0"/>
    <n v="35124.959999999999"/>
    <n v="35124.959999999999"/>
    <s v="2024-01-19"/>
    <x v="1"/>
    <s v=""/>
  </r>
  <r>
    <s v="O0108"/>
    <x v="98"/>
    <s v="C048"/>
    <x v="6"/>
    <s v="P025"/>
    <x v="41"/>
    <s v="E03"/>
    <x v="2"/>
    <x v="0"/>
    <x v="2"/>
    <n v="4703.04"/>
    <n v="6"/>
    <n v="0.1"/>
    <n v="28218.239999999998"/>
    <n v="25396.415999999997"/>
    <s v="2025-04-02"/>
    <x v="0"/>
    <s v=""/>
  </r>
  <r>
    <s v="O0109"/>
    <x v="99"/>
    <s v="C009"/>
    <x v="19"/>
    <s v="P031"/>
    <x v="24"/>
    <s v="E03"/>
    <x v="2"/>
    <x v="5"/>
    <x v="2"/>
    <n v="2128.4"/>
    <n v="5"/>
    <n v="0"/>
    <n v="10642"/>
    <n v="10642"/>
    <s v="2025-04-19"/>
    <x v="1"/>
    <s v=""/>
  </r>
  <r>
    <s v="O0110"/>
    <x v="100"/>
    <s v="C003"/>
    <x v="20"/>
    <s v="P014"/>
    <x v="2"/>
    <s v="E09"/>
    <x v="3"/>
    <x v="1"/>
    <x v="1"/>
    <n v="733.33"/>
    <n v="7"/>
    <n v="0.1"/>
    <n v="5133.3100000000004"/>
    <n v="4619.9790000000003"/>
    <s v="2024-09-05"/>
    <x v="0"/>
    <s v=""/>
  </r>
  <r>
    <s v="O0111"/>
    <x v="101"/>
    <s v="C038"/>
    <x v="13"/>
    <s v="P034"/>
    <x v="32"/>
    <s v="E01"/>
    <x v="1"/>
    <x v="5"/>
    <x v="3"/>
    <n v="2036.67"/>
    <n v="7"/>
    <n v="0"/>
    <n v="14256.69"/>
    <n v="14256.69"/>
    <s v="2024-01-24"/>
    <x v="3"/>
    <s v=""/>
  </r>
  <r>
    <s v="O0112"/>
    <x v="102"/>
    <s v="C057"/>
    <x v="40"/>
    <s v="P003"/>
    <x v="10"/>
    <s v="E03"/>
    <x v="2"/>
    <x v="6"/>
    <x v="1"/>
    <n v="3550.89"/>
    <n v="5"/>
    <n v="0.2"/>
    <n v="17754.45"/>
    <n v="14203.560000000001"/>
    <s v="2025-05-27"/>
    <x v="4"/>
    <s v=""/>
  </r>
  <r>
    <s v="O0113"/>
    <x v="103"/>
    <s v="C009"/>
    <x v="19"/>
    <s v="P002"/>
    <x v="42"/>
    <s v="E02"/>
    <x v="4"/>
    <x v="6"/>
    <x v="3"/>
    <n v="991.59"/>
    <n v="10"/>
    <n v="0"/>
    <n v="9915.9"/>
    <n v="9915.9"/>
    <s v="2024-07-16"/>
    <x v="1"/>
    <s v=""/>
  </r>
  <r>
    <s v="O0114"/>
    <x v="104"/>
    <s v="C034"/>
    <x v="46"/>
    <s v="P002"/>
    <x v="42"/>
    <s v="E04"/>
    <x v="0"/>
    <x v="6"/>
    <x v="1"/>
    <n v="991.59"/>
    <n v="8"/>
    <n v="0"/>
    <n v="7932.72"/>
    <n v="7932.72"/>
    <s v="2024-11-22"/>
    <x v="4"/>
    <s v=""/>
  </r>
  <r>
    <s v="O0115"/>
    <x v="105"/>
    <s v="C023"/>
    <x v="21"/>
    <s v="P004"/>
    <x v="28"/>
    <s v="E02"/>
    <x v="4"/>
    <x v="6"/>
    <x v="0"/>
    <n v="2184.5100000000002"/>
    <n v="5"/>
    <n v="0"/>
    <n v="10922.550000000001"/>
    <n v="10922.550000000001"/>
    <s v="2024-04-09"/>
    <x v="4"/>
    <s v=""/>
  </r>
  <r>
    <s v="O0116"/>
    <x v="106"/>
    <s v="C023"/>
    <x v="21"/>
    <s v="P047"/>
    <x v="14"/>
    <s v="E09"/>
    <x v="3"/>
    <x v="2"/>
    <x v="1"/>
    <n v="3610.44"/>
    <n v="9"/>
    <n v="0"/>
    <n v="32493.96"/>
    <n v="32493.96"/>
    <s v="2024-05-24"/>
    <x v="4"/>
    <s v=""/>
  </r>
  <r>
    <s v="O0117"/>
    <x v="107"/>
    <s v="C023"/>
    <x v="21"/>
    <s v="P037"/>
    <x v="43"/>
    <s v="E04"/>
    <x v="0"/>
    <x v="3"/>
    <x v="1"/>
    <n v="588.75"/>
    <n v="8"/>
    <n v="0.2"/>
    <n v="4710"/>
    <n v="3768"/>
    <s v="2024-09-25"/>
    <x v="1"/>
    <s v=""/>
  </r>
  <r>
    <s v="O0118"/>
    <x v="108"/>
    <s v="C010"/>
    <x v="47"/>
    <s v="P026"/>
    <x v="5"/>
    <s v="E03"/>
    <x v="2"/>
    <x v="0"/>
    <x v="2"/>
    <n v="973.21"/>
    <n v="2"/>
    <n v="0"/>
    <n v="1946.42"/>
    <n v="1946.42"/>
    <s v="2025-04-28"/>
    <x v="3"/>
    <s v=""/>
  </r>
  <r>
    <s v="O0119"/>
    <x v="109"/>
    <s v="C054"/>
    <x v="43"/>
    <s v="P041"/>
    <x v="4"/>
    <s v="E01"/>
    <x v="1"/>
    <x v="3"/>
    <x v="3"/>
    <n v="136.91"/>
    <n v="2"/>
    <n v="0.2"/>
    <n v="273.82"/>
    <n v="219.05600000000001"/>
    <s v="2025-01-16"/>
    <x v="0"/>
    <s v=""/>
  </r>
  <r>
    <s v="O0120"/>
    <x v="110"/>
    <s v="C051"/>
    <x v="10"/>
    <s v="P008"/>
    <x v="38"/>
    <s v="E03"/>
    <x v="2"/>
    <x v="4"/>
    <x v="2"/>
    <n v="1498.91"/>
    <n v="8"/>
    <n v="0"/>
    <n v="11991.28"/>
    <n v="11991.28"/>
    <s v="2024-05-11"/>
    <x v="0"/>
    <s v=""/>
  </r>
  <r>
    <s v="O0121"/>
    <x v="111"/>
    <s v="C028"/>
    <x v="44"/>
    <s v="P020"/>
    <x v="31"/>
    <s v="E03"/>
    <x v="2"/>
    <x v="7"/>
    <x v="1"/>
    <n v="2359.5"/>
    <n v="4"/>
    <n v="0.05"/>
    <n v="9438"/>
    <n v="8966.1"/>
    <s v="2024-04-21"/>
    <x v="3"/>
    <s v=""/>
  </r>
  <r>
    <s v="O0122"/>
    <x v="46"/>
    <s v="C057"/>
    <x v="40"/>
    <s v="P031"/>
    <x v="24"/>
    <s v="E02"/>
    <x v="4"/>
    <x v="5"/>
    <x v="1"/>
    <n v="2128.4"/>
    <n v="2"/>
    <n v="0.15"/>
    <n v="4256.8"/>
    <n v="3618.28"/>
    <s v="2024-08-22"/>
    <x v="2"/>
    <s v=""/>
  </r>
  <r>
    <s v="O0123"/>
    <x v="112"/>
    <s v="C043"/>
    <x v="12"/>
    <s v="P032"/>
    <x v="34"/>
    <s v="E02"/>
    <x v="4"/>
    <x v="5"/>
    <x v="1"/>
    <n v="605.26"/>
    <n v="3"/>
    <n v="0"/>
    <n v="1815.78"/>
    <n v="1815.78"/>
    <s v="2024-04-30"/>
    <x v="2"/>
    <s v=""/>
  </r>
  <r>
    <s v="O0124"/>
    <x v="75"/>
    <s v="C035"/>
    <x v="31"/>
    <s v="P038"/>
    <x v="8"/>
    <s v="E09"/>
    <x v="3"/>
    <x v="3"/>
    <x v="0"/>
    <n v="3205.14"/>
    <n v="2"/>
    <n v="0"/>
    <n v="6410.28"/>
    <n v="6410.28"/>
    <s v="2024-05-07"/>
    <x v="2"/>
    <s v=""/>
  </r>
  <r>
    <s v="O0125"/>
    <x v="113"/>
    <s v="C008"/>
    <x v="8"/>
    <s v="P018"/>
    <x v="37"/>
    <s v="E09"/>
    <x v="3"/>
    <x v="1"/>
    <x v="2"/>
    <n v="4174.32"/>
    <n v="6"/>
    <n v="0.15"/>
    <n v="25045.919999999998"/>
    <n v="21289.031999999999"/>
    <s v="2025-04-18"/>
    <x v="3"/>
    <s v=""/>
  </r>
  <r>
    <s v="O0126"/>
    <x v="89"/>
    <s v="C027"/>
    <x v="35"/>
    <s v="P014"/>
    <x v="2"/>
    <s v="E03"/>
    <x v="2"/>
    <x v="1"/>
    <x v="2"/>
    <n v="733.33"/>
    <n v="7"/>
    <n v="0.15"/>
    <n v="5133.3100000000004"/>
    <n v="4363.3135000000002"/>
    <s v="2024-06-09"/>
    <x v="3"/>
    <s v=""/>
  </r>
  <r>
    <s v="O0401"/>
    <x v="89"/>
    <s v="C027"/>
    <x v="35"/>
    <s v="P014"/>
    <x v="18"/>
    <s v="E03"/>
    <x v="2"/>
    <x v="1"/>
    <x v="2"/>
    <n v="733.33"/>
    <n v="7"/>
    <n v="0.15"/>
    <n v="5133.3100000000004"/>
    <n v="4363.3135000000002"/>
    <s v="2024-06-09"/>
    <x v="3"/>
    <s v=""/>
  </r>
  <r>
    <s v="O0127"/>
    <x v="80"/>
    <s v="C012"/>
    <x v="45"/>
    <s v="P006"/>
    <x v="2"/>
    <s v="E03"/>
    <x v="2"/>
    <x v="6"/>
    <x v="0"/>
    <n v="2779.58"/>
    <n v="5"/>
    <n v="0"/>
    <n v="13897.9"/>
    <n v="13897.9"/>
    <s v="2025-02-27"/>
    <x v="2"/>
    <s v=""/>
  </r>
  <r>
    <s v="O0128"/>
    <x v="114"/>
    <s v="C020"/>
    <x v="42"/>
    <s v="P020"/>
    <x v="29"/>
    <s v="E03"/>
    <x v="2"/>
    <x v="7"/>
    <x v="3"/>
    <n v="2359.5"/>
    <n v="4"/>
    <n v="0.2"/>
    <n v="9438"/>
    <n v="7550.4000000000005"/>
    <s v="2025-04-06"/>
    <x v="0"/>
    <s v=""/>
  </r>
  <r>
    <s v="O0129"/>
    <x v="115"/>
    <s v="C001"/>
    <x v="14"/>
    <s v="P033"/>
    <x v="31"/>
    <s v="E01"/>
    <x v="1"/>
    <x v="5"/>
    <x v="0"/>
    <n v="2316.1999999999998"/>
    <n v="1"/>
    <n v="0.05"/>
    <n v="2316.1999999999998"/>
    <n v="2200.39"/>
    <s v="2025-01-07"/>
    <x v="1"/>
    <s v=""/>
  </r>
  <r>
    <s v="O0130"/>
    <x v="116"/>
    <s v="C006"/>
    <x v="18"/>
    <s v="P033"/>
    <x v="9"/>
    <s v="E03"/>
    <x v="2"/>
    <x v="5"/>
    <x v="3"/>
    <n v="2316.1999999999998"/>
    <n v="2"/>
    <n v="0.15"/>
    <n v="4632.3999999999996"/>
    <n v="3937.5399999999995"/>
    <s v="2025-04-14"/>
    <x v="1"/>
    <s v=""/>
  </r>
  <r>
    <s v="O0131"/>
    <x v="117"/>
    <s v="C009"/>
    <x v="19"/>
    <s v="P011"/>
    <x v="9"/>
    <s v="E03"/>
    <x v="2"/>
    <x v="4"/>
    <x v="0"/>
    <n v="1309.58"/>
    <n v="4"/>
    <n v="0"/>
    <n v="5238.32"/>
    <n v="5238.32"/>
    <s v="2024-12-17"/>
    <x v="1"/>
    <s v=""/>
  </r>
  <r>
    <s v="O0132"/>
    <x v="118"/>
    <s v="C041"/>
    <x v="6"/>
    <s v="P006"/>
    <x v="33"/>
    <s v="E01"/>
    <x v="1"/>
    <x v="6"/>
    <x v="1"/>
    <n v="2779.58"/>
    <n v="10"/>
    <n v="0"/>
    <n v="27795.8"/>
    <n v="27795.8"/>
    <s v="2024-08-04"/>
    <x v="4"/>
    <s v=""/>
  </r>
  <r>
    <s v="O0133"/>
    <x v="61"/>
    <s v="C050"/>
    <x v="24"/>
    <s v="P025"/>
    <x v="29"/>
    <s v="E09"/>
    <x v="3"/>
    <x v="0"/>
    <x v="0"/>
    <n v="4703.04"/>
    <n v="5"/>
    <n v="0.2"/>
    <n v="23515.200000000001"/>
    <n v="18812.16"/>
    <s v="2024-01-06"/>
    <x v="3"/>
    <s v=""/>
  </r>
  <r>
    <s v="O0134"/>
    <x v="119"/>
    <s v="C010"/>
    <x v="47"/>
    <s v="P031"/>
    <x v="41"/>
    <s v="E03"/>
    <x v="2"/>
    <x v="5"/>
    <x v="0"/>
    <n v="2128.4"/>
    <n v="3"/>
    <n v="0"/>
    <n v="6385.2000000000007"/>
    <n v="6385.2000000000007"/>
    <s v="2024-09-14"/>
    <x v="1"/>
    <s v=""/>
  </r>
  <r>
    <s v="O0135"/>
    <x v="120"/>
    <s v="C030"/>
    <x v="27"/>
    <s v="P044"/>
    <x v="24"/>
    <s v="E02"/>
    <x v="4"/>
    <x v="2"/>
    <x v="3"/>
    <n v="620.89"/>
    <n v="4"/>
    <n v="0.1"/>
    <n v="2483.56"/>
    <n v="2235.2040000000002"/>
    <s v="2025-01-07"/>
    <x v="4"/>
    <s v=""/>
  </r>
  <r>
    <s v="O0136"/>
    <x v="121"/>
    <s v="C047"/>
    <x v="39"/>
    <s v="P045"/>
    <x v="3"/>
    <s v="E09"/>
    <x v="3"/>
    <x v="2"/>
    <x v="3"/>
    <n v="3576.75"/>
    <n v="1"/>
    <n v="0"/>
    <n v="3576.75"/>
    <n v="3576.75"/>
    <s v="2024-10-05"/>
    <x v="1"/>
    <s v=""/>
  </r>
  <r>
    <s v="O0137"/>
    <x v="122"/>
    <s v="C011"/>
    <x v="33"/>
    <s v="P033"/>
    <x v="23"/>
    <s v="E04"/>
    <x v="0"/>
    <x v="5"/>
    <x v="3"/>
    <n v="2316.1999999999998"/>
    <n v="8"/>
    <n v="0.2"/>
    <n v="18529.599999999999"/>
    <n v="14823.68"/>
    <s v="2025-05-08"/>
    <x v="2"/>
    <s v=""/>
  </r>
  <r>
    <s v="O0138"/>
    <x v="123"/>
    <s v="C059"/>
    <x v="26"/>
    <s v="P036"/>
    <x v="9"/>
    <s v="E01"/>
    <x v="1"/>
    <x v="5"/>
    <x v="1"/>
    <n v="2489.91"/>
    <n v="4"/>
    <n v="0.1"/>
    <n v="9959.64"/>
    <n v="8963.6759999999995"/>
    <s v="2025-05-31"/>
    <x v="2"/>
    <s v=""/>
  </r>
  <r>
    <s v="O0139"/>
    <x v="124"/>
    <s v="C059"/>
    <x v="26"/>
    <s v="P037"/>
    <x v="26"/>
    <s v="E09"/>
    <x v="3"/>
    <x v="3"/>
    <x v="2"/>
    <n v="588.75"/>
    <n v="1"/>
    <n v="0.05"/>
    <n v="588.75"/>
    <n v="559.3125"/>
    <s v="2024-02-08"/>
    <x v="1"/>
    <s v=""/>
  </r>
  <r>
    <s v="O0140"/>
    <x v="45"/>
    <s v="C042"/>
    <x v="0"/>
    <s v="P010"/>
    <x v="43"/>
    <s v="E02"/>
    <x v="4"/>
    <x v="4"/>
    <x v="1"/>
    <n v="1156.02"/>
    <n v="8"/>
    <n v="0"/>
    <n v="9248.16"/>
    <n v="9248.16"/>
    <s v="2025-05-19"/>
    <x v="3"/>
    <s v=""/>
  </r>
  <r>
    <s v="O0141"/>
    <x v="125"/>
    <s v="C021"/>
    <x v="4"/>
    <s v="P031"/>
    <x v="18"/>
    <s v="E03"/>
    <x v="2"/>
    <x v="5"/>
    <x v="1"/>
    <n v="2128.4"/>
    <n v="2"/>
    <n v="0"/>
    <n v="4256.8"/>
    <n v="4256.8"/>
    <s v="2024-06-05"/>
    <x v="2"/>
    <s v=""/>
  </r>
  <r>
    <s v="O0142"/>
    <x v="126"/>
    <s v="C037"/>
    <x v="37"/>
    <s v="P003"/>
    <x v="24"/>
    <s v="E03"/>
    <x v="2"/>
    <x v="6"/>
    <x v="2"/>
    <n v="3550.89"/>
    <n v="5"/>
    <n v="0.05"/>
    <n v="17754.45"/>
    <n v="16866.727500000001"/>
    <s v="2025-07-06"/>
    <x v="1"/>
    <s v=""/>
  </r>
  <r>
    <s v="O0143"/>
    <x v="64"/>
    <s v="C056"/>
    <x v="11"/>
    <s v="P035"/>
    <x v="10"/>
    <s v="E04"/>
    <x v="0"/>
    <x v="5"/>
    <x v="2"/>
    <n v="1253.57"/>
    <n v="9"/>
    <n v="0.15"/>
    <n v="11282.13"/>
    <n v="9589.8104999999996"/>
    <s v="2024-05-01"/>
    <x v="2"/>
    <s v=""/>
  </r>
  <r>
    <s v="O0144"/>
    <x v="127"/>
    <s v="C008"/>
    <x v="8"/>
    <s v="P047"/>
    <x v="44"/>
    <s v="E01"/>
    <x v="1"/>
    <x v="2"/>
    <x v="2"/>
    <n v="3610.44"/>
    <n v="7"/>
    <n v="0"/>
    <n v="25273.08"/>
    <n v="25273.08"/>
    <s v="2024-08-29"/>
    <x v="2"/>
    <s v=""/>
  </r>
  <r>
    <s v="O0145"/>
    <x v="128"/>
    <s v="C025"/>
    <x v="48"/>
    <s v="P017"/>
    <x v="14"/>
    <s v="E01"/>
    <x v="1"/>
    <x v="1"/>
    <x v="1"/>
    <n v="2612.71"/>
    <n v="6"/>
    <n v="0.05"/>
    <n v="15676.26"/>
    <n v="14892.447"/>
    <s v="2024-04-13"/>
    <x v="0"/>
    <s v=""/>
  </r>
  <r>
    <s v="O0146"/>
    <x v="129"/>
    <s v="C060"/>
    <x v="49"/>
    <s v="P029"/>
    <x v="22"/>
    <s v="E02"/>
    <x v="4"/>
    <x v="0"/>
    <x v="3"/>
    <n v="1187.29"/>
    <n v="8"/>
    <n v="0"/>
    <n v="9498.32"/>
    <n v="9498.32"/>
    <s v="2024-06-07"/>
    <x v="1"/>
    <s v=""/>
  </r>
  <r>
    <s v="O0147"/>
    <x v="130"/>
    <s v="C053"/>
    <x v="34"/>
    <s v="P024"/>
    <x v="30"/>
    <s v="E01"/>
    <x v="1"/>
    <x v="7"/>
    <x v="0"/>
    <n v="1140.8"/>
    <n v="2"/>
    <n v="0.15"/>
    <n v="2281.6"/>
    <n v="1939.36"/>
    <s v="2025-03-24"/>
    <x v="3"/>
    <s v=""/>
  </r>
  <r>
    <s v="O0148"/>
    <x v="131"/>
    <s v="C030"/>
    <x v="27"/>
    <s v="P039"/>
    <x v="45"/>
    <s v="E01"/>
    <x v="1"/>
    <x v="3"/>
    <x v="1"/>
    <n v="2113.67"/>
    <n v="10"/>
    <n v="0.1"/>
    <n v="21136.7"/>
    <n v="19023.030000000002"/>
    <s v="2024-03-11"/>
    <x v="1"/>
    <s v=""/>
  </r>
  <r>
    <s v="O0149"/>
    <x v="132"/>
    <s v="C024"/>
    <x v="16"/>
    <s v="P047"/>
    <x v="46"/>
    <s v="E02"/>
    <x v="4"/>
    <x v="2"/>
    <x v="3"/>
    <n v="3610.44"/>
    <n v="6"/>
    <n v="0.2"/>
    <n v="21662.639999999999"/>
    <n v="17330.112000000001"/>
    <s v="2025-03-03"/>
    <x v="0"/>
    <s v=""/>
  </r>
  <r>
    <s v="O0150"/>
    <x v="133"/>
    <s v="C012"/>
    <x v="45"/>
    <s v="P038"/>
    <x v="14"/>
    <s v="E09"/>
    <x v="3"/>
    <x v="3"/>
    <x v="0"/>
    <n v="3205.14"/>
    <n v="6"/>
    <n v="0"/>
    <n v="19230.84"/>
    <n v="19230.84"/>
    <s v="2024-11-25"/>
    <x v="4"/>
    <s v=""/>
  </r>
  <r>
    <s v="O0151"/>
    <x v="134"/>
    <s v="C045"/>
    <x v="28"/>
    <s v="P013"/>
    <x v="8"/>
    <s v="E02"/>
    <x v="4"/>
    <x v="1"/>
    <x v="1"/>
    <n v="3981.64"/>
    <n v="4"/>
    <n v="0.2"/>
    <n v="15926.56"/>
    <n v="12741.248"/>
    <s v="2025-05-10"/>
    <x v="3"/>
    <s v=""/>
  </r>
  <r>
    <s v="O0152"/>
    <x v="135"/>
    <s v="C018"/>
    <x v="15"/>
    <s v="P038"/>
    <x v="35"/>
    <s v="E01"/>
    <x v="1"/>
    <x v="3"/>
    <x v="0"/>
    <n v="3205.14"/>
    <n v="2"/>
    <n v="0.2"/>
    <n v="6410.28"/>
    <n v="5128.2240000000002"/>
    <s v="2025-01-16"/>
    <x v="2"/>
    <s v=""/>
  </r>
  <r>
    <s v="O0153"/>
    <x v="136"/>
    <s v="C060"/>
    <x v="49"/>
    <s v="P031"/>
    <x v="8"/>
    <s v="E02"/>
    <x v="4"/>
    <x v="5"/>
    <x v="3"/>
    <n v="2128.4"/>
    <n v="10"/>
    <n v="0.15"/>
    <n v="21284"/>
    <n v="18091.399999999998"/>
    <s v="2024-02-01"/>
    <x v="4"/>
    <s v=""/>
  </r>
  <r>
    <s v="O0154"/>
    <x v="137"/>
    <s v="C012"/>
    <x v="45"/>
    <s v="P009"/>
    <x v="24"/>
    <s v="E09"/>
    <x v="3"/>
    <x v="4"/>
    <x v="3"/>
    <n v="3929.31"/>
    <n v="5"/>
    <n v="0"/>
    <n v="19646.55"/>
    <n v="19646.55"/>
    <s v="2024-10-12"/>
    <x v="4"/>
    <s v=""/>
  </r>
  <r>
    <s v="O0155"/>
    <x v="96"/>
    <s v="C005"/>
    <x v="30"/>
    <s v="P005"/>
    <x v="7"/>
    <s v="E02"/>
    <x v="4"/>
    <x v="6"/>
    <x v="3"/>
    <n v="1044.7"/>
    <n v="10"/>
    <n v="0.15"/>
    <n v="10447"/>
    <n v="8879.9499999999989"/>
    <s v="2024-06-02"/>
    <x v="4"/>
    <s v=""/>
  </r>
  <r>
    <s v="O0156"/>
    <x v="124"/>
    <s v="C056"/>
    <x v="11"/>
    <s v="P014"/>
    <x v="11"/>
    <s v="E02"/>
    <x v="4"/>
    <x v="1"/>
    <x v="0"/>
    <n v="733.33"/>
    <n v="2"/>
    <n v="0.15"/>
    <n v="1466.66"/>
    <n v="1246.6610000000001"/>
    <s v="2024-02-10"/>
    <x v="2"/>
    <s v=""/>
  </r>
  <r>
    <s v="O0157"/>
    <x v="138"/>
    <s v="C031"/>
    <x v="26"/>
    <s v="P015"/>
    <x v="2"/>
    <s v="E04"/>
    <x v="0"/>
    <x v="1"/>
    <x v="1"/>
    <n v="2849.53"/>
    <n v="8"/>
    <n v="0"/>
    <n v="22796.240000000002"/>
    <n v="22796.240000000002"/>
    <s v="2025-03-08"/>
    <x v="0"/>
    <s v=""/>
  </r>
  <r>
    <s v="O0158"/>
    <x v="93"/>
    <s v="C051"/>
    <x v="10"/>
    <s v="P019"/>
    <x v="27"/>
    <s v="E04"/>
    <x v="0"/>
    <x v="7"/>
    <x v="3"/>
    <n v="928.72"/>
    <n v="10"/>
    <n v="0.1"/>
    <n v="9287.2000000000007"/>
    <n v="8358.4800000000014"/>
    <s v="2024-11-30"/>
    <x v="4"/>
    <s v=""/>
  </r>
  <r>
    <s v="O0159"/>
    <x v="139"/>
    <s v="C043"/>
    <x v="12"/>
    <s v="P017"/>
    <x v="13"/>
    <s v="E04"/>
    <x v="0"/>
    <x v="1"/>
    <x v="1"/>
    <n v="2612.71"/>
    <n v="10"/>
    <n v="0"/>
    <n v="26127.1"/>
    <n v="26127.1"/>
    <s v="2024-06-12"/>
    <x v="2"/>
    <s v=""/>
  </r>
  <r>
    <s v="O0160"/>
    <x v="140"/>
    <s v="C020"/>
    <x v="42"/>
    <s v="P041"/>
    <x v="22"/>
    <s v="E03"/>
    <x v="2"/>
    <x v="3"/>
    <x v="2"/>
    <n v="136.91"/>
    <n v="8"/>
    <n v="0.1"/>
    <n v="1095.28"/>
    <n v="985.75199999999995"/>
    <s v="2025-03-18"/>
    <x v="0"/>
    <s v=""/>
  </r>
  <r>
    <s v="O0161"/>
    <x v="141"/>
    <s v="C047"/>
    <x v="39"/>
    <s v="P016"/>
    <x v="4"/>
    <s v="E01"/>
    <x v="1"/>
    <x v="1"/>
    <x v="2"/>
    <n v="3772.12"/>
    <n v="9"/>
    <n v="0"/>
    <n v="33949.08"/>
    <n v="33949.08"/>
    <s v="2024-08-14"/>
    <x v="1"/>
    <s v=""/>
  </r>
  <r>
    <s v="O0162"/>
    <x v="142"/>
    <s v="C022"/>
    <x v="17"/>
    <s v="P011"/>
    <x v="1"/>
    <s v="E02"/>
    <x v="4"/>
    <x v="4"/>
    <x v="1"/>
    <n v="1309.58"/>
    <n v="10"/>
    <n v="0.05"/>
    <n v="13095.8"/>
    <n v="12441.009999999998"/>
    <s v="2024-10-26"/>
    <x v="1"/>
    <s v=""/>
  </r>
  <r>
    <s v="O0163"/>
    <x v="143"/>
    <s v="C029"/>
    <x v="1"/>
    <s v="P011"/>
    <x v="33"/>
    <s v="E01"/>
    <x v="1"/>
    <x v="4"/>
    <x v="3"/>
    <n v="1309.58"/>
    <n v="7"/>
    <n v="0.1"/>
    <n v="9167.06"/>
    <n v="8250.3539999999994"/>
    <s v="2024-08-14"/>
    <x v="4"/>
    <s v=""/>
  </r>
  <r>
    <s v="O0164"/>
    <x v="144"/>
    <s v="C038"/>
    <x v="13"/>
    <s v="P032"/>
    <x v="33"/>
    <s v="E09"/>
    <x v="3"/>
    <x v="5"/>
    <x v="1"/>
    <n v="605.26"/>
    <n v="4"/>
    <n v="0.2"/>
    <n v="2421.04"/>
    <n v="1936.8320000000001"/>
    <s v="2024-11-07"/>
    <x v="0"/>
    <s v=""/>
  </r>
  <r>
    <s v="O0165"/>
    <x v="145"/>
    <s v="C056"/>
    <x v="11"/>
    <s v="P037"/>
    <x v="34"/>
    <s v="E04"/>
    <x v="0"/>
    <x v="3"/>
    <x v="2"/>
    <n v="588.75"/>
    <n v="2"/>
    <n v="0"/>
    <n v="1177.5"/>
    <n v="1177.5"/>
    <s v="2024-12-09"/>
    <x v="4"/>
    <s v=""/>
  </r>
  <r>
    <s v="O0166"/>
    <x v="146"/>
    <s v="C047"/>
    <x v="39"/>
    <s v="P022"/>
    <x v="43"/>
    <s v="E02"/>
    <x v="4"/>
    <x v="7"/>
    <x v="1"/>
    <n v="3414.07"/>
    <n v="7"/>
    <n v="0.1"/>
    <n v="23898.49"/>
    <n v="21508.641000000003"/>
    <s v="2024-05-16"/>
    <x v="1"/>
    <s v=""/>
  </r>
  <r>
    <s v="O0167"/>
    <x v="147"/>
    <s v="C014"/>
    <x v="50"/>
    <s v="P025"/>
    <x v="19"/>
    <s v="E09"/>
    <x v="3"/>
    <x v="0"/>
    <x v="2"/>
    <n v="4703.04"/>
    <n v="1"/>
    <n v="0.05"/>
    <n v="4703.04"/>
    <n v="4467.8879999999999"/>
    <s v="2025-02-11"/>
    <x v="1"/>
    <s v=""/>
  </r>
  <r>
    <s v="O0168"/>
    <x v="148"/>
    <s v="C050"/>
    <x v="24"/>
    <s v="P015"/>
    <x v="41"/>
    <s v="E09"/>
    <x v="3"/>
    <x v="1"/>
    <x v="2"/>
    <n v="2849.53"/>
    <n v="10"/>
    <n v="0.05"/>
    <n v="28495.300000000003"/>
    <n v="27070.535"/>
    <s v="2024-11-26"/>
    <x v="2"/>
    <s v=""/>
  </r>
  <r>
    <s v="O0169"/>
    <x v="149"/>
    <s v="C042"/>
    <x v="0"/>
    <s v="P018"/>
    <x v="27"/>
    <s v="E02"/>
    <x v="4"/>
    <x v="1"/>
    <x v="1"/>
    <n v="4174.32"/>
    <n v="2"/>
    <n v="0.05"/>
    <n v="8348.64"/>
    <n v="7931.2079999999987"/>
    <s v="2024-10-24"/>
    <x v="4"/>
    <s v=""/>
  </r>
  <r>
    <s v="O0170"/>
    <x v="150"/>
    <s v="C054"/>
    <x v="43"/>
    <s v="P021"/>
    <x v="37"/>
    <s v="E02"/>
    <x v="4"/>
    <x v="7"/>
    <x v="3"/>
    <n v="1513.99"/>
    <n v="6"/>
    <n v="0"/>
    <n v="9083.94"/>
    <n v="9083.94"/>
    <s v="2025-04-23"/>
    <x v="4"/>
    <s v=""/>
  </r>
  <r>
    <s v="O0171"/>
    <x v="0"/>
    <s v="C007"/>
    <x v="22"/>
    <s v="P021"/>
    <x v="25"/>
    <s v="E01"/>
    <x v="1"/>
    <x v="7"/>
    <x v="3"/>
    <n v="1513.99"/>
    <n v="10"/>
    <n v="0.05"/>
    <n v="15139.9"/>
    <n v="14382.904999999999"/>
    <s v="2025-03-31"/>
    <x v="2"/>
    <s v=""/>
  </r>
  <r>
    <s v="O0172"/>
    <x v="151"/>
    <s v="C050"/>
    <x v="24"/>
    <s v="P005"/>
    <x v="25"/>
    <s v="E04"/>
    <x v="0"/>
    <x v="6"/>
    <x v="0"/>
    <n v="1044.7"/>
    <n v="6"/>
    <n v="0"/>
    <n v="6268.2000000000007"/>
    <n v="6268.2000000000007"/>
    <s v="2024-11-19"/>
    <x v="1"/>
    <s v=""/>
  </r>
  <r>
    <s v="O0173"/>
    <x v="152"/>
    <s v="C025"/>
    <x v="48"/>
    <s v="P019"/>
    <x v="11"/>
    <s v="E04"/>
    <x v="0"/>
    <x v="7"/>
    <x v="0"/>
    <n v="928.72"/>
    <n v="2"/>
    <n v="0.1"/>
    <n v="1857.44"/>
    <n v="1671.6960000000001"/>
    <s v="2025-06-15"/>
    <x v="0"/>
    <s v=""/>
  </r>
  <r>
    <s v="O0174"/>
    <x v="153"/>
    <s v="C054"/>
    <x v="43"/>
    <s v="P041"/>
    <x v="13"/>
    <s v="E03"/>
    <x v="2"/>
    <x v="3"/>
    <x v="0"/>
    <n v="136.91"/>
    <n v="3"/>
    <n v="0"/>
    <n v="410.73"/>
    <n v="410.73"/>
    <s v="2024-12-27"/>
    <x v="0"/>
    <s v=""/>
  </r>
  <r>
    <s v="O0175"/>
    <x v="154"/>
    <s v="C031"/>
    <x v="26"/>
    <s v="P044"/>
    <x v="4"/>
    <s v="E01"/>
    <x v="1"/>
    <x v="2"/>
    <x v="3"/>
    <n v="620.89"/>
    <n v="3"/>
    <n v="0.1"/>
    <n v="1862.67"/>
    <n v="1676.403"/>
    <s v="2024-07-24"/>
    <x v="4"/>
    <s v=""/>
  </r>
  <r>
    <s v="O0176"/>
    <x v="155"/>
    <s v="C020"/>
    <x v="42"/>
    <s v="P027"/>
    <x v="3"/>
    <s v="E02"/>
    <x v="4"/>
    <x v="0"/>
    <x v="2"/>
    <n v="3128.51"/>
    <n v="8"/>
    <n v="0.2"/>
    <n v="25028.080000000002"/>
    <n v="20022.464000000004"/>
    <s v="2025-05-30"/>
    <x v="3"/>
    <s v=""/>
  </r>
  <r>
    <s v="O0177"/>
    <x v="156"/>
    <s v="C025"/>
    <x v="48"/>
    <s v="P048"/>
    <x v="21"/>
    <s v="E02"/>
    <x v="4"/>
    <x v="2"/>
    <x v="3"/>
    <n v="2041.83"/>
    <n v="6"/>
    <n v="0"/>
    <n v="12250.98"/>
    <n v="12250.98"/>
    <s v="2024-12-04"/>
    <x v="2"/>
    <s v=""/>
  </r>
  <r>
    <s v="O0178"/>
    <x v="98"/>
    <s v="C060"/>
    <x v="49"/>
    <s v="P017"/>
    <x v="6"/>
    <s v="E04"/>
    <x v="0"/>
    <x v="1"/>
    <x v="3"/>
    <n v="2612.71"/>
    <n v="5"/>
    <n v="0.2"/>
    <n v="13063.55"/>
    <n v="10450.84"/>
    <s v="2025-04-02"/>
    <x v="0"/>
    <s v=""/>
  </r>
  <r>
    <s v="O0179"/>
    <x v="157"/>
    <s v="C031"/>
    <x v="26"/>
    <s v="P001"/>
    <x v="22"/>
    <s v="E01"/>
    <x v="1"/>
    <x v="6"/>
    <x v="2"/>
    <n v="2352.63"/>
    <n v="2"/>
    <n v="0"/>
    <n v="4705.26"/>
    <n v="4705.26"/>
    <s v="2025-06-11"/>
    <x v="1"/>
    <s v=""/>
  </r>
  <r>
    <s v="O0180"/>
    <x v="158"/>
    <s v="C001"/>
    <x v="14"/>
    <s v="P032"/>
    <x v="15"/>
    <s v="E03"/>
    <x v="2"/>
    <x v="5"/>
    <x v="3"/>
    <n v="605.26"/>
    <n v="6"/>
    <n v="0.2"/>
    <n v="3631.56"/>
    <n v="2905.248"/>
    <s v="2024-03-04"/>
    <x v="1"/>
    <s v=""/>
  </r>
  <r>
    <s v="O0181"/>
    <x v="157"/>
    <s v="C018"/>
    <x v="15"/>
    <s v="P040"/>
    <x v="34"/>
    <s v="E03"/>
    <x v="2"/>
    <x v="3"/>
    <x v="3"/>
    <n v="1212.79"/>
    <n v="7"/>
    <n v="0.05"/>
    <n v="8489.5299999999988"/>
    <n v="8065.0534999999982"/>
    <s v="2025-06-13"/>
    <x v="2"/>
    <s v=""/>
  </r>
  <r>
    <s v="O0182"/>
    <x v="159"/>
    <s v="C037"/>
    <x v="37"/>
    <s v="P036"/>
    <x v="40"/>
    <s v="E09"/>
    <x v="3"/>
    <x v="5"/>
    <x v="0"/>
    <n v="2489.91"/>
    <n v="6"/>
    <n v="0.1"/>
    <n v="14939.46"/>
    <n v="13445.513999999999"/>
    <s v="2024-07-19"/>
    <x v="1"/>
    <s v=""/>
  </r>
  <r>
    <s v="O0183"/>
    <x v="160"/>
    <s v="C030"/>
    <x v="27"/>
    <s v="P023"/>
    <x v="26"/>
    <s v="E04"/>
    <x v="0"/>
    <x v="7"/>
    <x v="3"/>
    <n v="2405.98"/>
    <n v="2"/>
    <n v="0.2"/>
    <n v="4811.96"/>
    <n v="3849.5680000000002"/>
    <s v="2025-04-12"/>
    <x v="3"/>
    <s v=""/>
  </r>
  <r>
    <s v="O0184"/>
    <x v="161"/>
    <s v="C047"/>
    <x v="39"/>
    <s v="P046"/>
    <x v="39"/>
    <s v="E02"/>
    <x v="4"/>
    <x v="2"/>
    <x v="2"/>
    <n v="3457.28"/>
    <n v="1"/>
    <n v="0"/>
    <n v="3457.28"/>
    <n v="3457.28"/>
    <s v="2024-07-03"/>
    <x v="3"/>
    <s v=""/>
  </r>
  <r>
    <s v="O0185"/>
    <x v="162"/>
    <s v="C017"/>
    <x v="9"/>
    <s v="P016"/>
    <x v="12"/>
    <s v="E09"/>
    <x v="3"/>
    <x v="1"/>
    <x v="1"/>
    <n v="3772.12"/>
    <n v="10"/>
    <n v="0"/>
    <n v="37721.199999999997"/>
    <n v="37721.199999999997"/>
    <s v="2025-06-25"/>
    <x v="0"/>
    <s v=""/>
  </r>
  <r>
    <s v="O0186"/>
    <x v="163"/>
    <s v="C051"/>
    <x v="10"/>
    <s v="P031"/>
    <x v="1"/>
    <s v="E03"/>
    <x v="2"/>
    <x v="5"/>
    <x v="3"/>
    <n v="2128.4"/>
    <n v="7"/>
    <n v="0.2"/>
    <n v="14898.800000000001"/>
    <n v="11919.04"/>
    <s v="2025-02-06"/>
    <x v="0"/>
    <s v=""/>
  </r>
  <r>
    <s v="O0187"/>
    <x v="164"/>
    <s v="C014"/>
    <x v="50"/>
    <s v="P037"/>
    <x v="24"/>
    <s v="E09"/>
    <x v="3"/>
    <x v="3"/>
    <x v="2"/>
    <n v="588.75"/>
    <n v="6"/>
    <n v="0"/>
    <n v="3532.5"/>
    <n v="3532.5"/>
    <s v="2024-03-17"/>
    <x v="0"/>
    <s v=""/>
  </r>
  <r>
    <s v="O0188"/>
    <x v="165"/>
    <s v="C050"/>
    <x v="24"/>
    <s v="P009"/>
    <x v="43"/>
    <s v="E03"/>
    <x v="2"/>
    <x v="4"/>
    <x v="1"/>
    <n v="3929.31"/>
    <n v="10"/>
    <n v="0.2"/>
    <n v="39293.1"/>
    <n v="31434.48"/>
    <s v="2024-09-18"/>
    <x v="1"/>
    <s v=""/>
  </r>
  <r>
    <s v="O0189"/>
    <x v="166"/>
    <s v="C028"/>
    <x v="44"/>
    <s v="P028"/>
    <x v="7"/>
    <s v="E02"/>
    <x v="4"/>
    <x v="0"/>
    <x v="0"/>
    <n v="3493.54"/>
    <n v="6"/>
    <n v="0"/>
    <n v="20961.239999999998"/>
    <n v="20961.239999999998"/>
    <s v="2024-05-31"/>
    <x v="3"/>
    <s v=""/>
  </r>
  <r>
    <s v="O0190"/>
    <x v="167"/>
    <s v="C059"/>
    <x v="26"/>
    <s v="P029"/>
    <x v="0"/>
    <s v="E02"/>
    <x v="4"/>
    <x v="0"/>
    <x v="1"/>
    <n v="1187.29"/>
    <n v="5"/>
    <n v="0.1"/>
    <n v="5936.45"/>
    <n v="5342.8050000000003"/>
    <s v="2024-04-03"/>
    <x v="4"/>
    <s v=""/>
  </r>
  <r>
    <s v="O0191"/>
    <x v="168"/>
    <s v="C058"/>
    <x v="51"/>
    <s v="P001"/>
    <x v="30"/>
    <s v="E09"/>
    <x v="3"/>
    <x v="6"/>
    <x v="1"/>
    <n v="2352.63"/>
    <n v="2"/>
    <n v="0.15"/>
    <n v="4705.26"/>
    <n v="3999.471"/>
    <s v="2025-06-30"/>
    <x v="1"/>
    <s v=""/>
  </r>
  <r>
    <s v="O0192"/>
    <x v="169"/>
    <s v="C019"/>
    <x v="37"/>
    <s v="P013"/>
    <x v="15"/>
    <s v="E01"/>
    <x v="1"/>
    <x v="1"/>
    <x v="1"/>
    <n v="3981.64"/>
    <n v="0"/>
    <n v="0"/>
    <n v="0"/>
    <n v="0"/>
    <s v="2025-01-10"/>
    <x v="2"/>
    <s v="Missing Quantity"/>
  </r>
  <r>
    <s v="O0193"/>
    <x v="170"/>
    <s v="C026"/>
    <x v="25"/>
    <s v="P029"/>
    <x v="35"/>
    <s v="E09"/>
    <x v="3"/>
    <x v="0"/>
    <x v="3"/>
    <n v="1187.29"/>
    <n v="4"/>
    <n v="0"/>
    <n v="4749.16"/>
    <n v="4749.16"/>
    <s v="2024-07-18"/>
    <x v="0"/>
    <s v=""/>
  </r>
  <r>
    <s v="O0194"/>
    <x v="171"/>
    <s v="C017"/>
    <x v="9"/>
    <s v="P032"/>
    <x v="30"/>
    <s v="E02"/>
    <x v="4"/>
    <x v="5"/>
    <x v="3"/>
    <n v="605.26"/>
    <n v="9"/>
    <n v="0.2"/>
    <n v="5447.34"/>
    <n v="4357.8720000000003"/>
    <s v="2024-04-22"/>
    <x v="0"/>
    <s v=""/>
  </r>
  <r>
    <s v="O0195"/>
    <x v="78"/>
    <s v="C039"/>
    <x v="32"/>
    <s v="P001"/>
    <x v="34"/>
    <s v="E03"/>
    <x v="2"/>
    <x v="6"/>
    <x v="0"/>
    <n v="2352.63"/>
    <n v="10"/>
    <n v="0.05"/>
    <n v="23526.300000000003"/>
    <n v="22349.985000000001"/>
    <s v="2024-05-17"/>
    <x v="4"/>
    <s v=""/>
  </r>
  <r>
    <s v="O0196"/>
    <x v="172"/>
    <s v="C010"/>
    <x v="47"/>
    <s v="P014"/>
    <x v="15"/>
    <s v="E03"/>
    <x v="2"/>
    <x v="1"/>
    <x v="1"/>
    <n v="733.33"/>
    <n v="8"/>
    <n v="0"/>
    <n v="5866.64"/>
    <n v="5866.64"/>
    <s v="2024-06-25"/>
    <x v="4"/>
    <s v=""/>
  </r>
  <r>
    <s v="O0197"/>
    <x v="173"/>
    <s v="C003"/>
    <x v="20"/>
    <s v="P045"/>
    <x v="2"/>
    <s v="E01"/>
    <x v="1"/>
    <x v="2"/>
    <x v="0"/>
    <n v="3576.75"/>
    <n v="10"/>
    <n v="0"/>
    <n v="35767.5"/>
    <n v="35767.5"/>
    <s v="2025-04-07"/>
    <x v="3"/>
    <s v=""/>
  </r>
  <r>
    <s v="O0198"/>
    <x v="174"/>
    <s v="C060"/>
    <x v="49"/>
    <s v="P035"/>
    <x v="23"/>
    <s v="E04"/>
    <x v="0"/>
    <x v="5"/>
    <x v="0"/>
    <n v="1253.57"/>
    <n v="5"/>
    <n v="0.2"/>
    <n v="6267.8499999999995"/>
    <n v="5014.28"/>
    <s v="2024-09-09"/>
    <x v="0"/>
    <s v=""/>
  </r>
  <r>
    <s v="O0199"/>
    <x v="175"/>
    <s v="C047"/>
    <x v="39"/>
    <s v="P038"/>
    <x v="44"/>
    <s v="E01"/>
    <x v="1"/>
    <x v="3"/>
    <x v="2"/>
    <n v="3205.14"/>
    <n v="8"/>
    <n v="0.2"/>
    <n v="25641.119999999999"/>
    <n v="20512.896000000001"/>
    <s v="2025-04-01"/>
    <x v="3"/>
    <s v=""/>
  </r>
  <r>
    <s v="O0200"/>
    <x v="176"/>
    <s v="C020"/>
    <x v="42"/>
    <s v="P011"/>
    <x v="8"/>
    <s v="E04"/>
    <x v="0"/>
    <x v="4"/>
    <x v="0"/>
    <n v="1309.58"/>
    <n v="7"/>
    <n v="0"/>
    <n v="9167.06"/>
    <n v="9167.06"/>
    <s v="2025-06-28"/>
    <x v="0"/>
    <s v=""/>
  </r>
  <r>
    <s v="O0201"/>
    <x v="177"/>
    <s v="C055"/>
    <x v="15"/>
    <s v="P016"/>
    <x v="33"/>
    <s v="E02"/>
    <x v="4"/>
    <x v="1"/>
    <x v="3"/>
    <n v="3772.12"/>
    <n v="0"/>
    <n v="0.2"/>
    <n v="0"/>
    <n v="0"/>
    <s v="2024-02-29"/>
    <x v="3"/>
    <s v="Missing Quantity"/>
  </r>
  <r>
    <s v="O0202"/>
    <x v="66"/>
    <s v="C059"/>
    <x v="26"/>
    <s v="P027"/>
    <x v="1"/>
    <s v="E02"/>
    <x v="4"/>
    <x v="0"/>
    <x v="1"/>
    <n v="3128.51"/>
    <n v="5"/>
    <n v="0"/>
    <n v="15642.550000000001"/>
    <n v="15642.550000000001"/>
    <s v="2024-05-10"/>
    <x v="2"/>
    <s v=""/>
  </r>
  <r>
    <s v="O0203"/>
    <x v="178"/>
    <s v="C059"/>
    <x v="26"/>
    <s v="P019"/>
    <x v="21"/>
    <s v="E02"/>
    <x v="4"/>
    <x v="7"/>
    <x v="3"/>
    <n v="928.72"/>
    <n v="3"/>
    <n v="0.2"/>
    <n v="2786.16"/>
    <n v="2228.9279999999999"/>
    <s v="2025-06-16"/>
    <x v="4"/>
    <s v=""/>
  </r>
  <r>
    <s v="O0204"/>
    <x v="160"/>
    <s v="C012"/>
    <x v="45"/>
    <s v="P002"/>
    <x v="13"/>
    <s v="E02"/>
    <x v="4"/>
    <x v="6"/>
    <x v="3"/>
    <n v="991.59"/>
    <n v="6"/>
    <n v="0"/>
    <n v="5949.54"/>
    <n v="5949.54"/>
    <s v="2025-04-13"/>
    <x v="2"/>
    <s v=""/>
  </r>
  <r>
    <s v="O0205"/>
    <x v="179"/>
    <s v="C024"/>
    <x v="16"/>
    <s v="P037"/>
    <x v="42"/>
    <s v="E03"/>
    <x v="2"/>
    <x v="3"/>
    <x v="3"/>
    <n v="588.75"/>
    <n v="6"/>
    <n v="0"/>
    <n v="3532.5"/>
    <n v="3532.5"/>
    <s v="2025-06-05"/>
    <x v="0"/>
    <s v=""/>
  </r>
  <r>
    <s v="O0206"/>
    <x v="30"/>
    <s v="C024"/>
    <x v="16"/>
    <s v="P044"/>
    <x v="43"/>
    <s v="E03"/>
    <x v="2"/>
    <x v="2"/>
    <x v="1"/>
    <n v="620.89"/>
    <n v="1"/>
    <n v="0"/>
    <n v="620.89"/>
    <n v="620.89"/>
    <s v="2024-08-19"/>
    <x v="4"/>
    <s v=""/>
  </r>
  <r>
    <s v="O0207"/>
    <x v="180"/>
    <s v="C017"/>
    <x v="9"/>
    <s v="P020"/>
    <x v="3"/>
    <s v="E03"/>
    <x v="2"/>
    <x v="7"/>
    <x v="0"/>
    <n v="2359.5"/>
    <n v="1"/>
    <n v="0"/>
    <n v="2359.5"/>
    <n v="2359.5"/>
    <s v="2024-05-28"/>
    <x v="2"/>
    <s v=""/>
  </r>
  <r>
    <s v="O0208"/>
    <x v="181"/>
    <s v="C053"/>
    <x v="34"/>
    <s v="P020"/>
    <x v="31"/>
    <s v="E01"/>
    <x v="1"/>
    <x v="7"/>
    <x v="3"/>
    <n v="2359.5"/>
    <n v="10"/>
    <n v="0"/>
    <n v="23595"/>
    <n v="23595"/>
    <s v="2025-04-06"/>
    <x v="0"/>
    <s v=""/>
  </r>
  <r>
    <s v="O0209"/>
    <x v="141"/>
    <s v="C013"/>
    <x v="2"/>
    <s v="P039"/>
    <x v="31"/>
    <s v="E02"/>
    <x v="4"/>
    <x v="3"/>
    <x v="2"/>
    <n v="2113.67"/>
    <n v="3"/>
    <n v="0.1"/>
    <n v="6341.01"/>
    <n v="5706.9090000000006"/>
    <s v="2024-08-18"/>
    <x v="1"/>
    <s v=""/>
  </r>
  <r>
    <s v="O0210"/>
    <x v="182"/>
    <s v="C023"/>
    <x v="21"/>
    <s v="P044"/>
    <x v="46"/>
    <s v="E02"/>
    <x v="4"/>
    <x v="2"/>
    <x v="3"/>
    <n v="620.89"/>
    <n v="4"/>
    <n v="0"/>
    <n v="2483.56"/>
    <n v="2483.56"/>
    <s v="2024-10-24"/>
    <x v="4"/>
    <s v=""/>
  </r>
  <r>
    <s v="O0211"/>
    <x v="138"/>
    <s v="C046"/>
    <x v="52"/>
    <s v="P039"/>
    <x v="3"/>
    <s v="E01"/>
    <x v="1"/>
    <x v="3"/>
    <x v="3"/>
    <n v="2113.67"/>
    <n v="10"/>
    <n v="0.05"/>
    <n v="21136.7"/>
    <n v="20079.864999999998"/>
    <s v="2025-03-07"/>
    <x v="2"/>
    <s v=""/>
  </r>
  <r>
    <s v="O0212"/>
    <x v="183"/>
    <s v="C045"/>
    <x v="28"/>
    <s v="P041"/>
    <x v="46"/>
    <s v="E01"/>
    <x v="1"/>
    <x v="3"/>
    <x v="0"/>
    <n v="136.91"/>
    <n v="9"/>
    <n v="0.1"/>
    <n v="1232.19"/>
    <n v="1108.971"/>
    <s v="2024-01-21"/>
    <x v="0"/>
    <s v=""/>
  </r>
  <r>
    <s v="O0213"/>
    <x v="58"/>
    <s v="C024"/>
    <x v="16"/>
    <s v="P012"/>
    <x v="4"/>
    <s v="E09"/>
    <x v="3"/>
    <x v="4"/>
    <x v="0"/>
    <n v="1559.65"/>
    <n v="1"/>
    <n v="0.1"/>
    <n v="1559.65"/>
    <n v="1403.6850000000002"/>
    <s v="2025-03-21"/>
    <x v="3"/>
    <s v=""/>
  </r>
  <r>
    <s v="O0214"/>
    <x v="184"/>
    <s v="C010"/>
    <x v="47"/>
    <s v="P032"/>
    <x v="16"/>
    <s v="E04"/>
    <x v="0"/>
    <x v="5"/>
    <x v="1"/>
    <n v="605.26"/>
    <n v="3"/>
    <n v="0.15"/>
    <n v="1815.78"/>
    <n v="1543.413"/>
    <s v="2025-03-04"/>
    <x v="1"/>
    <s v=""/>
  </r>
  <r>
    <s v="O0215"/>
    <x v="185"/>
    <s v="C054"/>
    <x v="43"/>
    <s v="P032"/>
    <x v="34"/>
    <s v="E04"/>
    <x v="0"/>
    <x v="5"/>
    <x v="3"/>
    <n v="605.26"/>
    <n v="9"/>
    <n v="0.1"/>
    <n v="5447.34"/>
    <n v="4902.6060000000007"/>
    <s v="2025-07-01"/>
    <x v="2"/>
    <s v=""/>
  </r>
  <r>
    <s v="O0216"/>
    <x v="29"/>
    <s v="C043"/>
    <x v="12"/>
    <s v="P022"/>
    <x v="34"/>
    <s v="E04"/>
    <x v="0"/>
    <x v="7"/>
    <x v="1"/>
    <n v="3414.07"/>
    <n v="1"/>
    <n v="0.15"/>
    <n v="3414.07"/>
    <n v="2901.9594999999999"/>
    <s v="2025-05-03"/>
    <x v="0"/>
    <s v=""/>
  </r>
  <r>
    <s v="O0217"/>
    <x v="183"/>
    <s v="C008"/>
    <x v="8"/>
    <s v="P046"/>
    <x v="19"/>
    <s v="E02"/>
    <x v="4"/>
    <x v="2"/>
    <x v="1"/>
    <n v="3457.28"/>
    <n v="6"/>
    <n v="0.2"/>
    <n v="20743.68"/>
    <n v="16594.944"/>
    <s v="2024-01-19"/>
    <x v="4"/>
    <s v=""/>
  </r>
  <r>
    <s v="O0218"/>
    <x v="186"/>
    <s v="C036"/>
    <x v="53"/>
    <s v="P048"/>
    <x v="12"/>
    <s v="E01"/>
    <x v="1"/>
    <x v="2"/>
    <x v="0"/>
    <n v="2041.83"/>
    <n v="10"/>
    <n v="0.15"/>
    <n v="20418.3"/>
    <n v="17355.555"/>
    <s v="2024-04-22"/>
    <x v="1"/>
    <s v=""/>
  </r>
  <r>
    <s v="O0219"/>
    <x v="187"/>
    <s v="C004"/>
    <x v="54"/>
    <s v="P041"/>
    <x v="6"/>
    <s v="E01"/>
    <x v="1"/>
    <x v="3"/>
    <x v="2"/>
    <n v="136.91"/>
    <n v="9"/>
    <n v="0"/>
    <n v="1232.19"/>
    <n v="1232.19"/>
    <s v="2024-12-29"/>
    <x v="2"/>
    <s v=""/>
  </r>
  <r>
    <s v="O0220"/>
    <x v="188"/>
    <s v="C006"/>
    <x v="18"/>
    <s v="P005"/>
    <x v="4"/>
    <s v="E02"/>
    <x v="4"/>
    <x v="6"/>
    <x v="3"/>
    <n v="1044.7"/>
    <n v="3"/>
    <n v="0"/>
    <n v="3134.1000000000004"/>
    <n v="3134.1000000000004"/>
    <s v="2024-07-13"/>
    <x v="0"/>
    <s v=""/>
  </r>
  <r>
    <s v="O0221"/>
    <x v="189"/>
    <s v="C032"/>
    <x v="7"/>
    <s v="P009"/>
    <x v="11"/>
    <s v="E03"/>
    <x v="2"/>
    <x v="4"/>
    <x v="3"/>
    <n v="3929.31"/>
    <n v="1"/>
    <n v="0.2"/>
    <n v="3929.31"/>
    <n v="3143.4480000000003"/>
    <s v="2024-07-29"/>
    <x v="0"/>
    <s v=""/>
  </r>
  <r>
    <s v="O0222"/>
    <x v="151"/>
    <s v="C005"/>
    <x v="30"/>
    <s v="P027"/>
    <x v="7"/>
    <s v="E02"/>
    <x v="4"/>
    <x v="0"/>
    <x v="2"/>
    <n v="3128.51"/>
    <n v="9"/>
    <n v="0.05"/>
    <n v="28156.590000000004"/>
    <n v="26748.760500000004"/>
    <s v="2024-11-22"/>
    <x v="0"/>
    <s v=""/>
  </r>
  <r>
    <s v="O0223"/>
    <x v="74"/>
    <s v="C046"/>
    <x v="52"/>
    <s v="P023"/>
    <x v="21"/>
    <s v="E04"/>
    <x v="0"/>
    <x v="7"/>
    <x v="3"/>
    <n v="2405.98"/>
    <n v="4"/>
    <n v="0"/>
    <n v="9623.92"/>
    <n v="9623.92"/>
    <s v="2024-02-13"/>
    <x v="0"/>
    <s v=""/>
  </r>
  <r>
    <s v="O0224"/>
    <x v="137"/>
    <s v="C028"/>
    <x v="44"/>
    <s v="P040"/>
    <x v="39"/>
    <s v="E09"/>
    <x v="3"/>
    <x v="3"/>
    <x v="2"/>
    <n v="1212.79"/>
    <n v="2"/>
    <n v="0.2"/>
    <n v="2425.58"/>
    <n v="1940.4639999999999"/>
    <s v="2024-10-12"/>
    <x v="2"/>
    <s v=""/>
  </r>
  <r>
    <s v="O0225"/>
    <x v="190"/>
    <s v="C035"/>
    <x v="31"/>
    <s v="P035"/>
    <x v="40"/>
    <s v="E03"/>
    <x v="2"/>
    <x v="5"/>
    <x v="2"/>
    <n v="1253.57"/>
    <n v="7"/>
    <n v="0"/>
    <n v="8774.99"/>
    <n v="8774.99"/>
    <s v="2025-03-29"/>
    <x v="2"/>
    <s v=""/>
  </r>
  <r>
    <s v="O0226"/>
    <x v="135"/>
    <s v="C015"/>
    <x v="38"/>
    <s v="P006"/>
    <x v="44"/>
    <s v="E02"/>
    <x v="4"/>
    <x v="6"/>
    <x v="2"/>
    <n v="2779.58"/>
    <n v="9"/>
    <n v="0"/>
    <n v="25016.22"/>
    <n v="25016.22"/>
    <s v="2025-01-13"/>
    <x v="1"/>
    <s v=""/>
  </r>
  <r>
    <s v="O0227"/>
    <x v="191"/>
    <s v="C060"/>
    <x v="49"/>
    <s v="P010"/>
    <x v="29"/>
    <s v="E04"/>
    <x v="0"/>
    <x v="4"/>
    <x v="1"/>
    <n v="1156.02"/>
    <n v="10"/>
    <n v="0.2"/>
    <n v="11560.2"/>
    <n v="9248.1600000000017"/>
    <s v="2025-03-19"/>
    <x v="0"/>
    <s v=""/>
  </r>
  <r>
    <s v="O0228"/>
    <x v="192"/>
    <s v="C045"/>
    <x v="28"/>
    <s v="P029"/>
    <x v="18"/>
    <s v="E02"/>
    <x v="4"/>
    <x v="0"/>
    <x v="1"/>
    <n v="1187.29"/>
    <n v="2"/>
    <n v="0"/>
    <n v="2374.58"/>
    <n v="2374.58"/>
    <s v="2024-04-20"/>
    <x v="2"/>
    <s v=""/>
  </r>
  <r>
    <s v="O0229"/>
    <x v="193"/>
    <s v="C030"/>
    <x v="27"/>
    <s v="P004"/>
    <x v="30"/>
    <s v="E09"/>
    <x v="3"/>
    <x v="6"/>
    <x v="1"/>
    <n v="2184.5100000000002"/>
    <n v="3"/>
    <n v="0.15"/>
    <n v="6553.5300000000007"/>
    <n v="5570.5005000000001"/>
    <s v="2025-03-20"/>
    <x v="2"/>
    <s v=""/>
  </r>
  <r>
    <s v="O0230"/>
    <x v="194"/>
    <s v="C013"/>
    <x v="2"/>
    <s v="P028"/>
    <x v="28"/>
    <s v="E04"/>
    <x v="0"/>
    <x v="0"/>
    <x v="1"/>
    <n v="3493.54"/>
    <n v="6"/>
    <n v="0.1"/>
    <n v="20961.239999999998"/>
    <n v="18865.115999999998"/>
    <s v="2024-02-20"/>
    <x v="1"/>
    <s v=""/>
  </r>
  <r>
    <s v="O0231"/>
    <x v="195"/>
    <s v="C005"/>
    <x v="30"/>
    <s v="P045"/>
    <x v="0"/>
    <s v="E03"/>
    <x v="2"/>
    <x v="2"/>
    <x v="0"/>
    <n v="3576.75"/>
    <n v="7"/>
    <n v="0"/>
    <n v="25037.25"/>
    <n v="25037.25"/>
    <s v="2024-03-26"/>
    <x v="1"/>
    <s v=""/>
  </r>
  <r>
    <s v="O0232"/>
    <x v="96"/>
    <s v="C044"/>
    <x v="3"/>
    <s v="P009"/>
    <x v="23"/>
    <s v="E02"/>
    <x v="4"/>
    <x v="4"/>
    <x v="3"/>
    <n v="3929.31"/>
    <n v="10"/>
    <n v="0.15"/>
    <n v="39293.1"/>
    <n v="33399.134999999995"/>
    <s v="2024-06-03"/>
    <x v="4"/>
    <s v=""/>
  </r>
  <r>
    <s v="O0233"/>
    <x v="196"/>
    <s v="C004"/>
    <x v="54"/>
    <s v="P003"/>
    <x v="7"/>
    <s v="E01"/>
    <x v="1"/>
    <x v="6"/>
    <x v="1"/>
    <n v="3550.89"/>
    <n v="4"/>
    <n v="0.2"/>
    <n v="14203.56"/>
    <n v="11362.848"/>
    <s v="2024-03-15"/>
    <x v="2"/>
    <s v=""/>
  </r>
  <r>
    <s v="O0234"/>
    <x v="62"/>
    <s v="C030"/>
    <x v="27"/>
    <s v="P047"/>
    <x v="10"/>
    <s v="E03"/>
    <x v="2"/>
    <x v="2"/>
    <x v="1"/>
    <n v="3610.44"/>
    <n v="10"/>
    <n v="0"/>
    <n v="36104.400000000001"/>
    <n v="36104.400000000001"/>
    <s v="2024-02-11"/>
    <x v="0"/>
    <s v=""/>
  </r>
  <r>
    <s v="O0235"/>
    <x v="173"/>
    <s v="C002"/>
    <x v="23"/>
    <s v="P002"/>
    <x v="14"/>
    <s v="E01"/>
    <x v="1"/>
    <x v="6"/>
    <x v="1"/>
    <n v="991.59"/>
    <n v="2"/>
    <n v="0.1"/>
    <n v="1983.18"/>
    <n v="1784.8620000000001"/>
    <s v="2025-04-02"/>
    <x v="2"/>
    <s v=""/>
  </r>
  <r>
    <s v="O0236"/>
    <x v="197"/>
    <s v="C034"/>
    <x v="46"/>
    <s v="P038"/>
    <x v="42"/>
    <s v="E02"/>
    <x v="4"/>
    <x v="3"/>
    <x v="3"/>
    <n v="3205.14"/>
    <n v="5"/>
    <n v="0"/>
    <n v="16025.699999999999"/>
    <n v="16025.699999999999"/>
    <s v="2024-11-19"/>
    <x v="4"/>
    <s v=""/>
  </r>
  <r>
    <s v="O0237"/>
    <x v="198"/>
    <s v="C055"/>
    <x v="15"/>
    <s v="P022"/>
    <x v="8"/>
    <s v="E02"/>
    <x v="4"/>
    <x v="7"/>
    <x v="3"/>
    <n v="3414.07"/>
    <n v="9"/>
    <n v="0.05"/>
    <n v="30726.63"/>
    <n v="29190.298500000001"/>
    <s v="2025-06-04"/>
    <x v="0"/>
    <s v=""/>
  </r>
  <r>
    <s v="O0238"/>
    <x v="27"/>
    <s v="C002"/>
    <x v="23"/>
    <s v="P006"/>
    <x v="19"/>
    <s v="E01"/>
    <x v="1"/>
    <x v="6"/>
    <x v="1"/>
    <n v="2779.58"/>
    <n v="0"/>
    <n v="0"/>
    <n v="0"/>
    <n v="0"/>
    <s v="2024-10-03"/>
    <x v="2"/>
    <s v="Missing Quantity"/>
  </r>
  <r>
    <s v="O0239"/>
    <x v="31"/>
    <s v="C023"/>
    <x v="21"/>
    <s v="P013"/>
    <x v="29"/>
    <s v="E02"/>
    <x v="4"/>
    <x v="1"/>
    <x v="2"/>
    <n v="3981.64"/>
    <n v="2"/>
    <n v="0"/>
    <n v="7963.28"/>
    <n v="7963.28"/>
    <s v="2024-07-25"/>
    <x v="4"/>
    <s v=""/>
  </r>
  <r>
    <s v="O0240"/>
    <x v="114"/>
    <s v="C022"/>
    <x v="17"/>
    <s v="P010"/>
    <x v="35"/>
    <s v="E01"/>
    <x v="1"/>
    <x v="4"/>
    <x v="1"/>
    <n v="1156.02"/>
    <n v="2"/>
    <n v="0.2"/>
    <n v="2312.04"/>
    <n v="1849.6320000000001"/>
    <s v="2025-04-06"/>
    <x v="1"/>
    <s v=""/>
  </r>
  <r>
    <s v="O0241"/>
    <x v="199"/>
    <s v="C015"/>
    <x v="38"/>
    <s v="P034"/>
    <x v="18"/>
    <s v="E02"/>
    <x v="4"/>
    <x v="5"/>
    <x v="0"/>
    <n v="2036.67"/>
    <n v="5"/>
    <n v="0.2"/>
    <n v="10183.35"/>
    <n v="8146.68"/>
    <s v="2024-10-27"/>
    <x v="0"/>
    <s v=""/>
  </r>
  <r>
    <s v="O0242"/>
    <x v="200"/>
    <s v="C041"/>
    <x v="6"/>
    <s v="P039"/>
    <x v="32"/>
    <s v="E02"/>
    <x v="4"/>
    <x v="3"/>
    <x v="0"/>
    <n v="2113.67"/>
    <n v="4"/>
    <n v="0"/>
    <n v="8454.68"/>
    <n v="8454.68"/>
    <s v="2025-06-08"/>
    <x v="4"/>
    <s v=""/>
  </r>
  <r>
    <s v="O0243"/>
    <x v="155"/>
    <s v="C033"/>
    <x v="41"/>
    <s v="P004"/>
    <x v="46"/>
    <s v="E02"/>
    <x v="4"/>
    <x v="6"/>
    <x v="1"/>
    <n v="2184.5100000000002"/>
    <n v="1"/>
    <n v="0"/>
    <n v="2184.5100000000002"/>
    <n v="2184.5100000000002"/>
    <s v="2025-05-29"/>
    <x v="2"/>
    <s v=""/>
  </r>
  <r>
    <s v="O0244"/>
    <x v="146"/>
    <s v="C040"/>
    <x v="5"/>
    <s v="P010"/>
    <x v="28"/>
    <s v="E09"/>
    <x v="3"/>
    <x v="4"/>
    <x v="1"/>
    <n v="1156.02"/>
    <n v="10"/>
    <n v="0"/>
    <n v="11560.2"/>
    <n v="11560.2"/>
    <s v="2024-05-14"/>
    <x v="2"/>
    <s v=""/>
  </r>
  <r>
    <s v="O0245"/>
    <x v="53"/>
    <s v="C056"/>
    <x v="11"/>
    <s v="P039"/>
    <x v="18"/>
    <s v="E09"/>
    <x v="3"/>
    <x v="3"/>
    <x v="3"/>
    <n v="2113.67"/>
    <n v="9"/>
    <n v="0.05"/>
    <n v="19023.03"/>
    <n v="18071.878499999999"/>
    <s v="2025-05-12"/>
    <x v="4"/>
    <s v=""/>
  </r>
  <r>
    <s v="O0246"/>
    <x v="14"/>
    <s v="C043"/>
    <x v="12"/>
    <s v="P039"/>
    <x v="46"/>
    <s v="E02"/>
    <x v="4"/>
    <x v="3"/>
    <x v="1"/>
    <n v="2113.67"/>
    <n v="2"/>
    <n v="0.05"/>
    <n v="4227.34"/>
    <n v="4015.973"/>
    <s v="2024-11-28"/>
    <x v="4"/>
    <s v=""/>
  </r>
  <r>
    <s v="O0247"/>
    <x v="188"/>
    <s v="C018"/>
    <x v="15"/>
    <s v="P039"/>
    <x v="46"/>
    <s v="E02"/>
    <x v="4"/>
    <x v="3"/>
    <x v="3"/>
    <n v="2113.67"/>
    <n v="3"/>
    <n v="0.05"/>
    <n v="6341.01"/>
    <n v="6023.9594999999999"/>
    <s v="2024-07-14"/>
    <x v="1"/>
    <s v=""/>
  </r>
  <r>
    <s v="O0248"/>
    <x v="201"/>
    <s v="C051"/>
    <x v="10"/>
    <s v="P044"/>
    <x v="46"/>
    <s v="E02"/>
    <x v="4"/>
    <x v="2"/>
    <x v="0"/>
    <n v="620.89"/>
    <n v="3"/>
    <n v="0"/>
    <n v="1862.67"/>
    <n v="1862.67"/>
    <s v="2025-06-17"/>
    <x v="0"/>
    <s v=""/>
  </r>
  <r>
    <s v="O0249"/>
    <x v="202"/>
    <s v="C031"/>
    <x v="26"/>
    <s v="P040"/>
    <x v="3"/>
    <s v="E09"/>
    <x v="3"/>
    <x v="3"/>
    <x v="3"/>
    <n v="1212.79"/>
    <n v="6"/>
    <n v="0.1"/>
    <n v="7276.74"/>
    <n v="6549.0659999999998"/>
    <s v="2024-08-23"/>
    <x v="0"/>
    <s v=""/>
  </r>
  <r>
    <s v="O0250"/>
    <x v="203"/>
    <s v="C033"/>
    <x v="41"/>
    <s v="P043"/>
    <x v="40"/>
    <s v="E09"/>
    <x v="3"/>
    <x v="2"/>
    <x v="1"/>
    <n v="2458.91"/>
    <n v="9"/>
    <n v="0"/>
    <n v="22130.19"/>
    <n v="22130.19"/>
    <s v="2024-07-23"/>
    <x v="3"/>
    <s v=""/>
  </r>
  <r>
    <s v="O0251"/>
    <x v="204"/>
    <s v="C031"/>
    <x v="26"/>
    <s v="P005"/>
    <x v="20"/>
    <s v="E02"/>
    <x v="4"/>
    <x v="6"/>
    <x v="0"/>
    <n v="1044.7"/>
    <n v="9"/>
    <n v="0.15"/>
    <n v="9402.3000000000011"/>
    <n v="7991.9550000000008"/>
    <s v="2024-04-08"/>
    <x v="4"/>
    <s v=""/>
  </r>
  <r>
    <s v="O0252"/>
    <x v="28"/>
    <s v="C013"/>
    <x v="2"/>
    <s v="P020"/>
    <x v="11"/>
    <s v="E09"/>
    <x v="3"/>
    <x v="7"/>
    <x v="3"/>
    <n v="2359.5"/>
    <n v="10"/>
    <n v="0"/>
    <n v="23595"/>
    <n v="23595"/>
    <s v="2024-12-12"/>
    <x v="1"/>
    <s v=""/>
  </r>
  <r>
    <s v="O0253"/>
    <x v="121"/>
    <s v="C010"/>
    <x v="47"/>
    <s v="P044"/>
    <x v="31"/>
    <s v="E09"/>
    <x v="3"/>
    <x v="2"/>
    <x v="2"/>
    <n v="620.89"/>
    <n v="4"/>
    <n v="0.2"/>
    <n v="2483.56"/>
    <n v="1986.848"/>
    <s v="2024-10-08"/>
    <x v="3"/>
    <s v=""/>
  </r>
  <r>
    <s v="O0254"/>
    <x v="124"/>
    <s v="C016"/>
    <x v="29"/>
    <s v="P003"/>
    <x v="3"/>
    <s v="E04"/>
    <x v="0"/>
    <x v="6"/>
    <x v="1"/>
    <n v="3550.89"/>
    <n v="8"/>
    <n v="0.15"/>
    <n v="28407.119999999999"/>
    <n v="24146.052"/>
    <s v="2024-02-10"/>
    <x v="0"/>
    <s v=""/>
  </r>
  <r>
    <s v="O0255"/>
    <x v="82"/>
    <s v="C057"/>
    <x v="40"/>
    <s v="P003"/>
    <x v="10"/>
    <s v="E02"/>
    <x v="4"/>
    <x v="6"/>
    <x v="1"/>
    <n v="3550.89"/>
    <n v="4"/>
    <n v="0.2"/>
    <n v="14203.56"/>
    <n v="11362.848"/>
    <s v="2025-05-16"/>
    <x v="2"/>
    <s v=""/>
  </r>
  <r>
    <s v="O0256"/>
    <x v="10"/>
    <s v="C050"/>
    <x v="24"/>
    <s v="P016"/>
    <x v="10"/>
    <s v="E03"/>
    <x v="2"/>
    <x v="1"/>
    <x v="2"/>
    <n v="3772.12"/>
    <n v="1"/>
    <n v="0"/>
    <n v="3772.12"/>
    <n v="3772.12"/>
    <s v="2024-03-23"/>
    <x v="2"/>
    <s v=""/>
  </r>
  <r>
    <s v="O0257"/>
    <x v="205"/>
    <s v="C006"/>
    <x v="18"/>
    <s v="P006"/>
    <x v="1"/>
    <s v="E09"/>
    <x v="3"/>
    <x v="6"/>
    <x v="0"/>
    <n v="2779.58"/>
    <n v="4"/>
    <n v="0"/>
    <n v="11118.32"/>
    <n v="11118.32"/>
    <s v="2025-04-30"/>
    <x v="0"/>
    <s v=""/>
  </r>
  <r>
    <s v="O0258"/>
    <x v="206"/>
    <s v="C022"/>
    <x v="17"/>
    <s v="P032"/>
    <x v="29"/>
    <s v="E03"/>
    <x v="2"/>
    <x v="5"/>
    <x v="1"/>
    <n v="605.26"/>
    <n v="6"/>
    <n v="0.05"/>
    <n v="3631.56"/>
    <n v="3449.982"/>
    <s v="2024-11-25"/>
    <x v="3"/>
    <s v=""/>
  </r>
  <r>
    <s v="O0259"/>
    <x v="207"/>
    <s v="C023"/>
    <x v="21"/>
    <s v="P004"/>
    <x v="34"/>
    <s v="E02"/>
    <x v="4"/>
    <x v="6"/>
    <x v="3"/>
    <n v="2184.5100000000002"/>
    <n v="6"/>
    <n v="0"/>
    <n v="13107.060000000001"/>
    <n v="13107.060000000001"/>
    <s v="2024-04-26"/>
    <x v="0"/>
    <s v=""/>
  </r>
  <r>
    <s v="O0260"/>
    <x v="208"/>
    <s v="C022"/>
    <x v="17"/>
    <s v="P018"/>
    <x v="28"/>
    <s v="E04"/>
    <x v="0"/>
    <x v="1"/>
    <x v="3"/>
    <n v="4174.32"/>
    <n v="4"/>
    <n v="0"/>
    <n v="16697.28"/>
    <n v="16697.28"/>
    <s v="2025-04-07"/>
    <x v="0"/>
    <s v=""/>
  </r>
  <r>
    <s v="O0261"/>
    <x v="209"/>
    <s v="C037"/>
    <x v="37"/>
    <s v="P031"/>
    <x v="37"/>
    <s v="E02"/>
    <x v="4"/>
    <x v="5"/>
    <x v="0"/>
    <n v="2128.4"/>
    <n v="10"/>
    <n v="0.05"/>
    <n v="21284"/>
    <n v="20219.8"/>
    <s v="2025-02-01"/>
    <x v="0"/>
    <s v=""/>
  </r>
  <r>
    <s v="O0262"/>
    <x v="148"/>
    <s v="C010"/>
    <x v="47"/>
    <s v="P035"/>
    <x v="24"/>
    <s v="E02"/>
    <x v="4"/>
    <x v="5"/>
    <x v="2"/>
    <n v="1253.57"/>
    <n v="4"/>
    <n v="0.2"/>
    <n v="5014.28"/>
    <n v="4011.424"/>
    <s v="2024-11-19"/>
    <x v="3"/>
    <s v=""/>
  </r>
  <r>
    <s v="O0263"/>
    <x v="210"/>
    <s v="C035"/>
    <x v="31"/>
    <s v="P022"/>
    <x v="44"/>
    <s v="E04"/>
    <x v="0"/>
    <x v="7"/>
    <x v="3"/>
    <n v="3414.07"/>
    <n v="8"/>
    <n v="0"/>
    <n v="27312.560000000001"/>
    <n v="27312.560000000001"/>
    <s v="2025-05-01"/>
    <x v="1"/>
    <s v=""/>
  </r>
  <r>
    <s v="O0264"/>
    <x v="211"/>
    <s v="C014"/>
    <x v="50"/>
    <s v="P006"/>
    <x v="19"/>
    <s v="E03"/>
    <x v="2"/>
    <x v="6"/>
    <x v="0"/>
    <n v="2779.58"/>
    <n v="9"/>
    <n v="0.05"/>
    <n v="25016.22"/>
    <n v="23765.409"/>
    <s v="2025-02-10"/>
    <x v="3"/>
    <s v=""/>
  </r>
  <r>
    <s v="O0265"/>
    <x v="212"/>
    <s v="C042"/>
    <x v="0"/>
    <s v="P018"/>
    <x v="29"/>
    <s v="E04"/>
    <x v="0"/>
    <x v="1"/>
    <x v="2"/>
    <n v="4174.32"/>
    <n v="1"/>
    <n v="0"/>
    <n v="4174.32"/>
    <n v="4174.32"/>
    <s v="2025-01-01"/>
    <x v="3"/>
    <s v=""/>
  </r>
  <r>
    <s v="O0266"/>
    <x v="29"/>
    <s v="C035"/>
    <x v="31"/>
    <s v="P036"/>
    <x v="37"/>
    <s v="E03"/>
    <x v="2"/>
    <x v="5"/>
    <x v="3"/>
    <n v="2489.91"/>
    <n v="5"/>
    <n v="0.1"/>
    <n v="12449.55"/>
    <n v="11204.594999999999"/>
    <s v="2025-04-27"/>
    <x v="2"/>
    <s v=""/>
  </r>
  <r>
    <s v="O0267"/>
    <x v="213"/>
    <s v="C006"/>
    <x v="18"/>
    <s v="P035"/>
    <x v="26"/>
    <s v="E02"/>
    <x v="4"/>
    <x v="5"/>
    <x v="2"/>
    <n v="1253.57"/>
    <n v="5"/>
    <n v="0.15"/>
    <n v="6267.8499999999995"/>
    <n v="5327.6724999999997"/>
    <s v="2024-05-23"/>
    <x v="0"/>
    <s v=""/>
  </r>
  <r>
    <s v="O0268"/>
    <x v="214"/>
    <s v="C013"/>
    <x v="2"/>
    <s v="P016"/>
    <x v="44"/>
    <s v="E01"/>
    <x v="1"/>
    <x v="1"/>
    <x v="0"/>
    <n v="3772.12"/>
    <n v="7"/>
    <n v="0"/>
    <n v="26404.84"/>
    <n v="26404.84"/>
    <s v="2024-02-26"/>
    <x v="0"/>
    <s v=""/>
  </r>
  <r>
    <s v="O0269"/>
    <x v="182"/>
    <s v="C056"/>
    <x v="11"/>
    <s v="P013"/>
    <x v="1"/>
    <s v="E03"/>
    <x v="2"/>
    <x v="1"/>
    <x v="2"/>
    <n v="3981.64"/>
    <n v="2"/>
    <n v="0.05"/>
    <n v="7963.28"/>
    <n v="7565.1159999999991"/>
    <s v="2024-10-31"/>
    <x v="3"/>
    <s v=""/>
  </r>
  <r>
    <s v="O0270"/>
    <x v="215"/>
    <s v="C052"/>
    <x v="36"/>
    <s v="P008"/>
    <x v="35"/>
    <s v="E09"/>
    <x v="3"/>
    <x v="4"/>
    <x v="3"/>
    <n v="1498.91"/>
    <n v="10"/>
    <n v="0.15"/>
    <n v="14989.1"/>
    <n v="12740.735000000001"/>
    <s v="2024-10-23"/>
    <x v="4"/>
    <s v=""/>
  </r>
  <r>
    <s v="O0271"/>
    <x v="216"/>
    <s v="C003"/>
    <x v="20"/>
    <s v="P028"/>
    <x v="38"/>
    <s v="E04"/>
    <x v="0"/>
    <x v="0"/>
    <x v="1"/>
    <n v="3493.54"/>
    <n v="7"/>
    <n v="0"/>
    <n v="24454.78"/>
    <n v="24454.78"/>
    <s v="2024-04-15"/>
    <x v="4"/>
    <s v=""/>
  </r>
  <r>
    <s v="O0272"/>
    <x v="9"/>
    <s v="C049"/>
    <x v="55"/>
    <s v="P043"/>
    <x v="0"/>
    <s v="E02"/>
    <x v="4"/>
    <x v="2"/>
    <x v="3"/>
    <n v="2458.91"/>
    <n v="10"/>
    <n v="0.1"/>
    <n v="24589.1"/>
    <n v="22130.19"/>
    <s v="2024-07-29"/>
    <x v="1"/>
    <s v=""/>
  </r>
  <r>
    <s v="O0273"/>
    <x v="217"/>
    <s v="C053"/>
    <x v="34"/>
    <s v="P032"/>
    <x v="20"/>
    <s v="E02"/>
    <x v="4"/>
    <x v="5"/>
    <x v="2"/>
    <n v="605.26"/>
    <n v="3"/>
    <n v="0.15"/>
    <n v="1815.78"/>
    <n v="1543.413"/>
    <s v="2024-02-15"/>
    <x v="3"/>
    <s v=""/>
  </r>
  <r>
    <s v="O0274"/>
    <x v="99"/>
    <s v="C050"/>
    <x v="24"/>
    <s v="P003"/>
    <x v="34"/>
    <s v="E03"/>
    <x v="2"/>
    <x v="6"/>
    <x v="0"/>
    <n v="3550.89"/>
    <n v="3"/>
    <n v="0.1"/>
    <n v="10652.67"/>
    <n v="9587.4030000000002"/>
    <s v="2025-04-21"/>
    <x v="0"/>
    <s v=""/>
  </r>
  <r>
    <s v="O0275"/>
    <x v="206"/>
    <s v="C021"/>
    <x v="4"/>
    <s v="P012"/>
    <x v="10"/>
    <s v="E01"/>
    <x v="1"/>
    <x v="4"/>
    <x v="1"/>
    <n v="1559.65"/>
    <n v="3"/>
    <n v="0.05"/>
    <n v="4678.9500000000007"/>
    <n v="4445.0025000000005"/>
    <s v="2024-12-02"/>
    <x v="3"/>
    <s v=""/>
  </r>
  <r>
    <s v="O0276"/>
    <x v="24"/>
    <s v="C024"/>
    <x v="16"/>
    <s v="P026"/>
    <x v="16"/>
    <s v="E01"/>
    <x v="1"/>
    <x v="0"/>
    <x v="2"/>
    <n v="973.21"/>
    <n v="9"/>
    <n v="0.2"/>
    <n v="8758.89"/>
    <n v="7007.1120000000001"/>
    <s v="2024-12-19"/>
    <x v="3"/>
    <s v=""/>
  </r>
  <r>
    <s v="O0277"/>
    <x v="218"/>
    <s v="C055"/>
    <x v="15"/>
    <s v="P043"/>
    <x v="5"/>
    <s v="E09"/>
    <x v="3"/>
    <x v="2"/>
    <x v="1"/>
    <n v="2458.91"/>
    <n v="8"/>
    <n v="0.2"/>
    <n v="19671.28"/>
    <n v="15737.023999999999"/>
    <s v="2024-11-03"/>
    <x v="0"/>
    <s v=""/>
  </r>
  <r>
    <s v="O0278"/>
    <x v="219"/>
    <s v="C035"/>
    <x v="31"/>
    <s v="P017"/>
    <x v="20"/>
    <s v="E09"/>
    <x v="3"/>
    <x v="1"/>
    <x v="3"/>
    <n v="2612.71"/>
    <n v="7"/>
    <n v="0.1"/>
    <n v="18288.97"/>
    <n v="16460.073"/>
    <s v="2024-04-27"/>
    <x v="3"/>
    <s v=""/>
  </r>
  <r>
    <s v="O0279"/>
    <x v="220"/>
    <s v="C010"/>
    <x v="47"/>
    <s v="P035"/>
    <x v="22"/>
    <s v="E09"/>
    <x v="3"/>
    <x v="5"/>
    <x v="0"/>
    <n v="1253.57"/>
    <n v="5"/>
    <n v="0.15"/>
    <n v="6267.8499999999995"/>
    <n v="5327.6724999999997"/>
    <s v="2025-05-10"/>
    <x v="1"/>
    <s v=""/>
  </r>
  <r>
    <s v="O0280"/>
    <x v="221"/>
    <s v="C046"/>
    <x v="52"/>
    <s v="P039"/>
    <x v="44"/>
    <s v="E04"/>
    <x v="0"/>
    <x v="3"/>
    <x v="2"/>
    <n v="2113.67"/>
    <n v="3"/>
    <n v="0.1"/>
    <n v="6341.01"/>
    <n v="5706.9090000000006"/>
    <s v="2025-05-16"/>
    <x v="4"/>
    <s v=""/>
  </r>
  <r>
    <s v="O0281"/>
    <x v="35"/>
    <s v="C005"/>
    <x v="30"/>
    <s v="P043"/>
    <x v="46"/>
    <s v="E03"/>
    <x v="2"/>
    <x v="2"/>
    <x v="0"/>
    <n v="2458.91"/>
    <n v="1"/>
    <n v="0.1"/>
    <n v="2458.91"/>
    <n v="2213.0189999999998"/>
    <s v="2024-09-07"/>
    <x v="1"/>
    <s v=""/>
  </r>
  <r>
    <s v="O0282"/>
    <x v="175"/>
    <s v="C012"/>
    <x v="45"/>
    <s v="P043"/>
    <x v="20"/>
    <s v="E04"/>
    <x v="0"/>
    <x v="2"/>
    <x v="2"/>
    <n v="2458.91"/>
    <n v="6"/>
    <n v="0.05"/>
    <n v="14753.46"/>
    <n v="14015.786999999998"/>
    <s v="2025-03-30"/>
    <x v="4"/>
    <s v=""/>
  </r>
  <r>
    <s v="O0283"/>
    <x v="132"/>
    <s v="C008"/>
    <x v="8"/>
    <s v="P025"/>
    <x v="20"/>
    <s v="E02"/>
    <x v="4"/>
    <x v="0"/>
    <x v="2"/>
    <n v="4703.04"/>
    <n v="9"/>
    <n v="0.2"/>
    <n v="42327.360000000001"/>
    <n v="33861.887999999999"/>
    <s v="2025-03-06"/>
    <x v="1"/>
    <s v=""/>
  </r>
  <r>
    <s v="O0284"/>
    <x v="222"/>
    <s v="C033"/>
    <x v="41"/>
    <s v="P010"/>
    <x v="41"/>
    <s v="E02"/>
    <x v="4"/>
    <x v="4"/>
    <x v="1"/>
    <n v="1156.02"/>
    <n v="9"/>
    <n v="0"/>
    <n v="10404.18"/>
    <n v="10404.18"/>
    <s v="2024-05-30"/>
    <x v="2"/>
    <s v=""/>
  </r>
  <r>
    <s v="O0285"/>
    <x v="185"/>
    <s v="C051"/>
    <x v="10"/>
    <s v="P008"/>
    <x v="18"/>
    <s v="E02"/>
    <x v="4"/>
    <x v="4"/>
    <x v="2"/>
    <n v="1498.91"/>
    <n v="7"/>
    <n v="0"/>
    <n v="10492.37"/>
    <n v="10492.37"/>
    <s v="2025-06-25"/>
    <x v="3"/>
    <s v=""/>
  </r>
  <r>
    <s v="O0286"/>
    <x v="223"/>
    <s v="C035"/>
    <x v="31"/>
    <s v="P040"/>
    <x v="38"/>
    <s v="E01"/>
    <x v="1"/>
    <x v="3"/>
    <x v="2"/>
    <n v="1212.79"/>
    <n v="9"/>
    <n v="0"/>
    <n v="10915.11"/>
    <n v="10915.11"/>
    <s v="2024-12-21"/>
    <x v="4"/>
    <s v=""/>
  </r>
  <r>
    <s v="O0287"/>
    <x v="224"/>
    <s v="C019"/>
    <x v="37"/>
    <s v="P027"/>
    <x v="40"/>
    <s v="E09"/>
    <x v="3"/>
    <x v="0"/>
    <x v="0"/>
    <n v="3128.51"/>
    <n v="5"/>
    <n v="0.1"/>
    <n v="15642.550000000001"/>
    <n v="14078.295000000002"/>
    <s v="2024-09-14"/>
    <x v="0"/>
    <s v=""/>
  </r>
  <r>
    <s v="O0288"/>
    <x v="182"/>
    <s v="C019"/>
    <x v="37"/>
    <s v="P002"/>
    <x v="21"/>
    <s v="E02"/>
    <x v="4"/>
    <x v="6"/>
    <x v="1"/>
    <n v="991.59"/>
    <n v="4"/>
    <n v="0.15"/>
    <n v="3966.36"/>
    <n v="3371.4059999999999"/>
    <s v="2024-10-30"/>
    <x v="2"/>
    <s v=""/>
  </r>
  <r>
    <s v="O0289"/>
    <x v="225"/>
    <s v="C040"/>
    <x v="5"/>
    <s v="P048"/>
    <x v="42"/>
    <s v="E02"/>
    <x v="4"/>
    <x v="2"/>
    <x v="1"/>
    <n v="2041.83"/>
    <n v="9"/>
    <n v="0.2"/>
    <n v="18376.47"/>
    <n v="14701.176000000001"/>
    <s v="2024-12-28"/>
    <x v="1"/>
    <s v=""/>
  </r>
  <r>
    <s v="O0290"/>
    <x v="226"/>
    <s v="C013"/>
    <x v="2"/>
    <s v="P002"/>
    <x v="6"/>
    <s v="E04"/>
    <x v="0"/>
    <x v="6"/>
    <x v="0"/>
    <n v="991.59"/>
    <n v="7"/>
    <n v="0.2"/>
    <n v="6941.13"/>
    <n v="5552.9040000000005"/>
    <s v="2025-01-29"/>
    <x v="0"/>
    <s v=""/>
  </r>
  <r>
    <s v="O0291"/>
    <x v="194"/>
    <s v="C006"/>
    <x v="18"/>
    <s v="P028"/>
    <x v="42"/>
    <s v="E01"/>
    <x v="1"/>
    <x v="0"/>
    <x v="1"/>
    <n v="3493.54"/>
    <n v="5"/>
    <n v="0.15"/>
    <n v="17467.7"/>
    <n v="14847.545"/>
    <s v="2024-02-15"/>
    <x v="2"/>
    <s v=""/>
  </r>
  <r>
    <s v="O0292"/>
    <x v="227"/>
    <s v="C018"/>
    <x v="15"/>
    <s v="P024"/>
    <x v="0"/>
    <s v="E09"/>
    <x v="3"/>
    <x v="7"/>
    <x v="1"/>
    <n v="1140.8"/>
    <n v="8"/>
    <n v="0"/>
    <n v="9126.4"/>
    <n v="9126.4"/>
    <s v="2024-09-23"/>
    <x v="3"/>
    <s v=""/>
  </r>
  <r>
    <s v="O0293"/>
    <x v="228"/>
    <s v="C018"/>
    <x v="15"/>
    <s v="P038"/>
    <x v="45"/>
    <s v="E02"/>
    <x v="4"/>
    <x v="3"/>
    <x v="0"/>
    <n v="3205.14"/>
    <n v="3"/>
    <n v="0"/>
    <n v="9615.42"/>
    <n v="9615.42"/>
    <s v="2024-10-15"/>
    <x v="4"/>
    <s v=""/>
  </r>
  <r>
    <s v="O0294"/>
    <x v="229"/>
    <s v="C036"/>
    <x v="53"/>
    <s v="P035"/>
    <x v="8"/>
    <s v="E03"/>
    <x v="2"/>
    <x v="5"/>
    <x v="3"/>
    <n v="1253.57"/>
    <n v="9"/>
    <n v="0"/>
    <n v="11282.13"/>
    <n v="11282.13"/>
    <s v="2024-02-25"/>
    <x v="1"/>
    <s v=""/>
  </r>
  <r>
    <s v="O0295"/>
    <x v="230"/>
    <s v="C046"/>
    <x v="52"/>
    <s v="P006"/>
    <x v="44"/>
    <s v="E03"/>
    <x v="2"/>
    <x v="6"/>
    <x v="3"/>
    <n v="2779.58"/>
    <n v="6"/>
    <n v="0.15"/>
    <n v="16677.48"/>
    <n v="14175.857999999998"/>
    <s v="2025-03-07"/>
    <x v="4"/>
    <s v=""/>
  </r>
  <r>
    <s v="O0296"/>
    <x v="231"/>
    <s v="C036"/>
    <x v="53"/>
    <s v="P007"/>
    <x v="29"/>
    <s v="E04"/>
    <x v="0"/>
    <x v="4"/>
    <x v="2"/>
    <n v="2208.33"/>
    <n v="9"/>
    <n v="0"/>
    <n v="19874.97"/>
    <n v="19874.97"/>
    <s v="2024-01-13"/>
    <x v="2"/>
    <s v=""/>
  </r>
  <r>
    <s v="O0297"/>
    <x v="31"/>
    <s v="C039"/>
    <x v="32"/>
    <s v="P024"/>
    <x v="47"/>
    <s v="E03"/>
    <x v="2"/>
    <x v="7"/>
    <x v="3"/>
    <n v="1140.8"/>
    <n v="5"/>
    <n v="0"/>
    <n v="5704"/>
    <n v="5704"/>
    <s v="2024-07-28"/>
    <x v="1"/>
    <s v=""/>
  </r>
  <r>
    <s v="O0298"/>
    <x v="232"/>
    <s v="C013"/>
    <x v="2"/>
    <s v="P031"/>
    <x v="45"/>
    <s v="E03"/>
    <x v="2"/>
    <x v="5"/>
    <x v="0"/>
    <n v="2128.4"/>
    <n v="9"/>
    <n v="0.15"/>
    <n v="19155.600000000002"/>
    <n v="16282.260000000002"/>
    <s v="2024-08-26"/>
    <x v="2"/>
    <s v=""/>
  </r>
  <r>
    <s v="O0299"/>
    <x v="39"/>
    <s v="C058"/>
    <x v="51"/>
    <s v="P036"/>
    <x v="24"/>
    <s v="E09"/>
    <x v="3"/>
    <x v="5"/>
    <x v="2"/>
    <n v="2489.91"/>
    <n v="1"/>
    <n v="0.2"/>
    <n v="2489.91"/>
    <n v="1991.9279999999999"/>
    <s v="2024-07-06"/>
    <x v="4"/>
    <s v=""/>
  </r>
  <r>
    <s v="O0300"/>
    <x v="149"/>
    <s v="C044"/>
    <x v="3"/>
    <s v="P002"/>
    <x v="26"/>
    <s v="E04"/>
    <x v="0"/>
    <x v="6"/>
    <x v="3"/>
    <n v="991.59"/>
    <n v="1"/>
    <n v="0"/>
    <n v="991.59"/>
    <n v="991.59"/>
    <s v="2024-10-28"/>
    <x v="0"/>
    <s v=""/>
  </r>
  <r>
    <s v="O0301"/>
    <x v="233"/>
    <s v="C058"/>
    <x v="51"/>
    <s v="P041"/>
    <x v="42"/>
    <s v="E09"/>
    <x v="3"/>
    <x v="3"/>
    <x v="2"/>
    <n v="136.91"/>
    <n v="8"/>
    <n v="0.15"/>
    <n v="1095.28"/>
    <n v="930.98799999999994"/>
    <s v="2024-10-27"/>
    <x v="4"/>
    <s v=""/>
  </r>
  <r>
    <s v="O0302"/>
    <x v="234"/>
    <s v="C019"/>
    <x v="37"/>
    <s v="P039"/>
    <x v="4"/>
    <s v="E04"/>
    <x v="0"/>
    <x v="3"/>
    <x v="3"/>
    <n v="2113.67"/>
    <n v="8"/>
    <n v="0"/>
    <n v="16909.36"/>
    <n v="16909.36"/>
    <s v="2025-06-04"/>
    <x v="0"/>
    <s v=""/>
  </r>
  <r>
    <s v="O0303"/>
    <x v="235"/>
    <s v="C056"/>
    <x v="11"/>
    <s v="P031"/>
    <x v="46"/>
    <s v="E01"/>
    <x v="1"/>
    <x v="5"/>
    <x v="0"/>
    <n v="2128.4"/>
    <n v="8"/>
    <n v="0.15"/>
    <n v="17027.2"/>
    <n v="14473.12"/>
    <s v="2024-06-20"/>
    <x v="1"/>
    <s v=""/>
  </r>
  <r>
    <s v="O0304"/>
    <x v="28"/>
    <s v="C054"/>
    <x v="43"/>
    <s v="P044"/>
    <x v="24"/>
    <s v="E03"/>
    <x v="2"/>
    <x v="2"/>
    <x v="0"/>
    <n v="620.89"/>
    <n v="5"/>
    <n v="0.1"/>
    <n v="3104.45"/>
    <n v="2794.0050000000001"/>
    <s v="2024-12-15"/>
    <x v="3"/>
    <s v=""/>
  </r>
  <r>
    <s v="O0305"/>
    <x v="236"/>
    <s v="C051"/>
    <x v="10"/>
    <s v="P003"/>
    <x v="3"/>
    <s v="E02"/>
    <x v="4"/>
    <x v="6"/>
    <x v="3"/>
    <n v="3550.89"/>
    <n v="7"/>
    <n v="0.1"/>
    <n v="24856.23"/>
    <n v="22370.607"/>
    <s v="2025-02-25"/>
    <x v="2"/>
    <s v=""/>
  </r>
  <r>
    <s v="O0306"/>
    <x v="128"/>
    <s v="C054"/>
    <x v="43"/>
    <s v="P034"/>
    <x v="10"/>
    <s v="E03"/>
    <x v="2"/>
    <x v="5"/>
    <x v="1"/>
    <n v="2036.67"/>
    <n v="3"/>
    <n v="0"/>
    <n v="6110.01"/>
    <n v="6110.01"/>
    <s v="2024-04-15"/>
    <x v="4"/>
    <s v=""/>
  </r>
  <r>
    <s v="O0307"/>
    <x v="237"/>
    <s v="C007"/>
    <x v="22"/>
    <s v="P042"/>
    <x v="32"/>
    <s v="E03"/>
    <x v="2"/>
    <x v="3"/>
    <x v="2"/>
    <n v="4390.62"/>
    <n v="5"/>
    <n v="0.05"/>
    <n v="21953.1"/>
    <n v="20855.444999999996"/>
    <s v="2024-01-11"/>
    <x v="0"/>
    <s v=""/>
  </r>
  <r>
    <s v="O0308"/>
    <x v="73"/>
    <s v="C018"/>
    <x v="15"/>
    <s v="P042"/>
    <x v="17"/>
    <s v="E03"/>
    <x v="2"/>
    <x v="3"/>
    <x v="3"/>
    <n v="4390.62"/>
    <n v="5"/>
    <n v="0.1"/>
    <n v="21953.1"/>
    <n v="19757.79"/>
    <s v="2024-12-13"/>
    <x v="0"/>
    <s v=""/>
  </r>
  <r>
    <s v="O0309"/>
    <x v="238"/>
    <s v="C016"/>
    <x v="29"/>
    <s v="P045"/>
    <x v="17"/>
    <s v="E02"/>
    <x v="4"/>
    <x v="2"/>
    <x v="2"/>
    <n v="3576.75"/>
    <n v="4"/>
    <n v="0"/>
    <n v="14307"/>
    <n v="14307"/>
    <s v="2025-01-05"/>
    <x v="0"/>
    <s v=""/>
  </r>
  <r>
    <s v="O0310"/>
    <x v="239"/>
    <s v="C036"/>
    <x v="53"/>
    <s v="P023"/>
    <x v="23"/>
    <s v="E01"/>
    <x v="1"/>
    <x v="7"/>
    <x v="1"/>
    <n v="2405.98"/>
    <n v="7"/>
    <n v="0.15"/>
    <n v="16841.86"/>
    <n v="14315.581"/>
    <s v="2024-06-21"/>
    <x v="1"/>
    <s v=""/>
  </r>
  <r>
    <s v="O0311"/>
    <x v="3"/>
    <s v="C008"/>
    <x v="8"/>
    <s v="P025"/>
    <x v="39"/>
    <s v="E01"/>
    <x v="1"/>
    <x v="0"/>
    <x v="0"/>
    <n v="4703.04"/>
    <n v="6"/>
    <n v="0.1"/>
    <n v="28218.239999999998"/>
    <n v="25396.415999999997"/>
    <s v="2024-11-02"/>
    <x v="4"/>
    <s v=""/>
  </r>
  <r>
    <s v="O0312"/>
    <x v="54"/>
    <s v="C018"/>
    <x v="15"/>
    <s v="P017"/>
    <x v="41"/>
    <s v="E09"/>
    <x v="3"/>
    <x v="1"/>
    <x v="1"/>
    <n v="2612.71"/>
    <n v="3"/>
    <n v="0.05"/>
    <n v="7838.13"/>
    <n v="7446.2235000000001"/>
    <s v="2025-05-14"/>
    <x v="2"/>
    <s v=""/>
  </r>
  <r>
    <s v="O0313"/>
    <x v="240"/>
    <s v="C035"/>
    <x v="31"/>
    <s v="P020"/>
    <x v="22"/>
    <s v="E03"/>
    <x v="2"/>
    <x v="7"/>
    <x v="0"/>
    <n v="2359.5"/>
    <n v="9"/>
    <n v="0.2"/>
    <n v="21235.5"/>
    <n v="16988.400000000001"/>
    <s v="2025-05-01"/>
    <x v="3"/>
    <s v=""/>
  </r>
  <r>
    <s v="O0314"/>
    <x v="241"/>
    <s v="C051"/>
    <x v="10"/>
    <s v="P002"/>
    <x v="31"/>
    <s v="E01"/>
    <x v="1"/>
    <x v="6"/>
    <x v="1"/>
    <n v="991.59"/>
    <n v="9"/>
    <n v="0.05"/>
    <n v="8924.31"/>
    <n v="8478.0944999999992"/>
    <s v="2024-04-02"/>
    <x v="1"/>
    <s v=""/>
  </r>
  <r>
    <s v="O0315"/>
    <x v="242"/>
    <s v="C034"/>
    <x v="46"/>
    <s v="P033"/>
    <x v="42"/>
    <s v="E03"/>
    <x v="2"/>
    <x v="5"/>
    <x v="0"/>
    <n v="2316.1999999999998"/>
    <n v="1"/>
    <n v="0.2"/>
    <n v="2316.1999999999998"/>
    <n v="1852.96"/>
    <s v="2024-05-03"/>
    <x v="3"/>
    <s v=""/>
  </r>
  <r>
    <s v="O0316"/>
    <x v="243"/>
    <s v="C041"/>
    <x v="6"/>
    <s v="P009"/>
    <x v="9"/>
    <s v="E04"/>
    <x v="0"/>
    <x v="4"/>
    <x v="2"/>
    <n v="3929.31"/>
    <n v="3"/>
    <n v="0"/>
    <n v="11787.93"/>
    <n v="11787.93"/>
    <s v="2024-06-11"/>
    <x v="1"/>
    <s v=""/>
  </r>
  <r>
    <s v="O0317"/>
    <x v="244"/>
    <s v="C046"/>
    <x v="52"/>
    <s v="P027"/>
    <x v="7"/>
    <s v="E03"/>
    <x v="2"/>
    <x v="0"/>
    <x v="2"/>
    <n v="3128.51"/>
    <n v="10"/>
    <n v="0.05"/>
    <n v="31285.100000000002"/>
    <n v="29720.845000000001"/>
    <s v="2024-07-31"/>
    <x v="1"/>
    <s v=""/>
  </r>
  <r>
    <s v="O0318"/>
    <x v="113"/>
    <s v="C034"/>
    <x v="46"/>
    <s v="P032"/>
    <x v="21"/>
    <s v="E04"/>
    <x v="0"/>
    <x v="5"/>
    <x v="2"/>
    <n v="605.26"/>
    <n v="3"/>
    <n v="0.1"/>
    <n v="1815.78"/>
    <n v="1634.202"/>
    <s v="2025-04-16"/>
    <x v="3"/>
    <s v=""/>
  </r>
  <r>
    <s v="O0319"/>
    <x v="245"/>
    <s v="C040"/>
    <x v="5"/>
    <s v="P022"/>
    <x v="34"/>
    <s v="E09"/>
    <x v="3"/>
    <x v="7"/>
    <x v="3"/>
    <n v="3414.07"/>
    <n v="9"/>
    <n v="0.05"/>
    <n v="30726.63"/>
    <n v="29190.298500000001"/>
    <s v="2024-03-05"/>
    <x v="2"/>
    <s v=""/>
  </r>
  <r>
    <s v="O0320"/>
    <x v="246"/>
    <s v="C040"/>
    <x v="5"/>
    <s v="P024"/>
    <x v="19"/>
    <s v="E01"/>
    <x v="1"/>
    <x v="7"/>
    <x v="3"/>
    <n v="1140.8"/>
    <n v="1"/>
    <n v="0.15"/>
    <n v="1140.8"/>
    <n v="969.68"/>
    <s v="2024-09-21"/>
    <x v="1"/>
    <s v=""/>
  </r>
  <r>
    <s v="O0321"/>
    <x v="247"/>
    <s v="C006"/>
    <x v="18"/>
    <s v="P038"/>
    <x v="45"/>
    <s v="E03"/>
    <x v="2"/>
    <x v="3"/>
    <x v="3"/>
    <n v="3205.14"/>
    <n v="6"/>
    <n v="0.15"/>
    <n v="19230.84"/>
    <n v="16346.214"/>
    <s v="2025-03-11"/>
    <x v="1"/>
    <s v=""/>
  </r>
  <r>
    <s v="O0322"/>
    <x v="248"/>
    <s v="C049"/>
    <x v="55"/>
    <s v="P008"/>
    <x v="8"/>
    <s v="E09"/>
    <x v="3"/>
    <x v="4"/>
    <x v="0"/>
    <n v="1498.91"/>
    <n v="1"/>
    <n v="0"/>
    <n v="1498.91"/>
    <n v="1498.91"/>
    <s v="2025-05-05"/>
    <x v="4"/>
    <s v=""/>
  </r>
  <r>
    <s v="O0323"/>
    <x v="249"/>
    <s v="C029"/>
    <x v="1"/>
    <s v="P002"/>
    <x v="38"/>
    <s v="E04"/>
    <x v="0"/>
    <x v="6"/>
    <x v="2"/>
    <n v="991.59"/>
    <n v="6"/>
    <n v="0.05"/>
    <n v="5949.54"/>
    <n v="5652.0630000000001"/>
    <s v="2025-03-14"/>
    <x v="2"/>
    <s v=""/>
  </r>
  <r>
    <s v="O0324"/>
    <x v="250"/>
    <s v="C034"/>
    <x v="46"/>
    <s v="P042"/>
    <x v="42"/>
    <s v="E01"/>
    <x v="1"/>
    <x v="3"/>
    <x v="3"/>
    <n v="4390.62"/>
    <n v="9"/>
    <n v="0"/>
    <n v="39515.58"/>
    <n v="39515.58"/>
    <s v="2024-03-29"/>
    <x v="4"/>
    <s v=""/>
  </r>
  <r>
    <s v="O0325"/>
    <x v="211"/>
    <s v="C053"/>
    <x v="34"/>
    <s v="P009"/>
    <x v="17"/>
    <s v="E03"/>
    <x v="2"/>
    <x v="4"/>
    <x v="3"/>
    <n v="3929.31"/>
    <n v="9"/>
    <n v="0"/>
    <n v="35363.79"/>
    <n v="35363.79"/>
    <s v="2025-02-10"/>
    <x v="1"/>
    <s v=""/>
  </r>
  <r>
    <s v="O0326"/>
    <x v="22"/>
    <s v="C021"/>
    <x v="4"/>
    <s v="P043"/>
    <x v="7"/>
    <s v="E03"/>
    <x v="2"/>
    <x v="2"/>
    <x v="2"/>
    <n v="2458.91"/>
    <n v="8"/>
    <n v="0.15"/>
    <n v="19671.28"/>
    <n v="16720.588"/>
    <s v="2024-11-10"/>
    <x v="3"/>
    <s v=""/>
  </r>
  <r>
    <s v="O0327"/>
    <x v="226"/>
    <s v="C046"/>
    <x v="52"/>
    <s v="P011"/>
    <x v="20"/>
    <s v="E09"/>
    <x v="3"/>
    <x v="4"/>
    <x v="1"/>
    <n v="1309.58"/>
    <n v="4"/>
    <n v="0"/>
    <n v="5238.32"/>
    <n v="5238.32"/>
    <s v="2025-01-31"/>
    <x v="4"/>
    <s v=""/>
  </r>
  <r>
    <s v="O0328"/>
    <x v="43"/>
    <s v="C046"/>
    <x v="52"/>
    <s v="P027"/>
    <x v="33"/>
    <s v="E02"/>
    <x v="4"/>
    <x v="0"/>
    <x v="3"/>
    <n v="3128.51"/>
    <n v="4"/>
    <n v="0.15"/>
    <n v="12514.04"/>
    <n v="10636.934000000001"/>
    <s v="2024-10-11"/>
    <x v="2"/>
    <s v=""/>
  </r>
  <r>
    <s v="O0329"/>
    <x v="183"/>
    <s v="C041"/>
    <x v="6"/>
    <s v="P040"/>
    <x v="21"/>
    <s v="E04"/>
    <x v="0"/>
    <x v="3"/>
    <x v="3"/>
    <n v="1212.79"/>
    <n v="4"/>
    <n v="0"/>
    <n v="4851.16"/>
    <n v="4851.16"/>
    <s v="2024-01-19"/>
    <x v="3"/>
    <s v=""/>
  </r>
  <r>
    <s v="O0402"/>
    <x v="183"/>
    <s v="C041"/>
    <x v="6"/>
    <s v="P040"/>
    <x v="18"/>
    <s v="E04"/>
    <x v="0"/>
    <x v="3"/>
    <x v="3"/>
    <n v="1212.79"/>
    <n v="4"/>
    <n v="0"/>
    <n v="4851.16"/>
    <n v="4851.16"/>
    <s v="2024-01-19"/>
    <x v="3"/>
    <s v=""/>
  </r>
  <r>
    <s v="O0330"/>
    <x v="251"/>
    <s v="C015"/>
    <x v="38"/>
    <s v="P027"/>
    <x v="40"/>
    <s v="E01"/>
    <x v="1"/>
    <x v="0"/>
    <x v="0"/>
    <n v="3128.51"/>
    <n v="8"/>
    <n v="0.1"/>
    <n v="25028.080000000002"/>
    <n v="22525.272000000001"/>
    <s v="2024-02-05"/>
    <x v="1"/>
    <s v=""/>
  </r>
  <r>
    <s v="O0331"/>
    <x v="252"/>
    <s v="C030"/>
    <x v="27"/>
    <s v="P015"/>
    <x v="40"/>
    <s v="E01"/>
    <x v="1"/>
    <x v="1"/>
    <x v="0"/>
    <n v="2849.53"/>
    <n v="8"/>
    <n v="0"/>
    <n v="22796.240000000002"/>
    <n v="22796.240000000002"/>
    <s v="2025-02-24"/>
    <x v="1"/>
    <s v=""/>
  </r>
  <r>
    <s v="O0332"/>
    <x v="253"/>
    <s v="C034"/>
    <x v="46"/>
    <s v="P004"/>
    <x v="21"/>
    <s v="E04"/>
    <x v="0"/>
    <x v="6"/>
    <x v="1"/>
    <n v="2184.5100000000002"/>
    <n v="9"/>
    <n v="0"/>
    <n v="19660.590000000004"/>
    <n v="19660.590000000004"/>
    <s v="2024-05-27"/>
    <x v="3"/>
    <s v=""/>
  </r>
  <r>
    <s v="O0333"/>
    <x v="254"/>
    <s v="C015"/>
    <x v="38"/>
    <s v="P002"/>
    <x v="27"/>
    <s v="E02"/>
    <x v="4"/>
    <x v="6"/>
    <x v="0"/>
    <n v="991.59"/>
    <n v="4"/>
    <n v="0"/>
    <n v="3966.36"/>
    <n v="3966.36"/>
    <s v="2024-11-27"/>
    <x v="2"/>
    <s v=""/>
  </r>
  <r>
    <s v="O0334"/>
    <x v="2"/>
    <s v="C040"/>
    <x v="5"/>
    <s v="P042"/>
    <x v="28"/>
    <s v="E02"/>
    <x v="4"/>
    <x v="3"/>
    <x v="0"/>
    <n v="4390.62"/>
    <n v="5"/>
    <n v="0"/>
    <n v="21953.1"/>
    <n v="21953.1"/>
    <s v="2024-11-12"/>
    <x v="2"/>
    <s v=""/>
  </r>
  <r>
    <s v="O0335"/>
    <x v="255"/>
    <s v="C036"/>
    <x v="53"/>
    <s v="P015"/>
    <x v="42"/>
    <s v="E03"/>
    <x v="2"/>
    <x v="1"/>
    <x v="1"/>
    <n v="2849.53"/>
    <n v="1"/>
    <n v="0"/>
    <n v="2849.53"/>
    <n v="2849.53"/>
    <s v="2025-05-29"/>
    <x v="2"/>
    <s v=""/>
  </r>
  <r>
    <s v="O0336"/>
    <x v="256"/>
    <s v="C030"/>
    <x v="27"/>
    <s v="P021"/>
    <x v="17"/>
    <s v="E03"/>
    <x v="2"/>
    <x v="7"/>
    <x v="0"/>
    <n v="1513.99"/>
    <n v="3"/>
    <n v="0"/>
    <n v="4541.97"/>
    <n v="4541.97"/>
    <s v="2025-03-01"/>
    <x v="3"/>
    <s v=""/>
  </r>
  <r>
    <s v="O0337"/>
    <x v="7"/>
    <s v="C037"/>
    <x v="37"/>
    <s v="P016"/>
    <x v="27"/>
    <s v="E04"/>
    <x v="0"/>
    <x v="1"/>
    <x v="1"/>
    <n v="3772.12"/>
    <n v="4"/>
    <n v="0.2"/>
    <n v="15088.48"/>
    <n v="12070.784"/>
    <s v="2025-05-03"/>
    <x v="4"/>
    <s v=""/>
  </r>
  <r>
    <s v="O0338"/>
    <x v="257"/>
    <s v="C030"/>
    <x v="27"/>
    <s v="P016"/>
    <x v="25"/>
    <s v="E01"/>
    <x v="1"/>
    <x v="1"/>
    <x v="2"/>
    <n v="3772.12"/>
    <n v="1"/>
    <n v="0.1"/>
    <n v="3772.12"/>
    <n v="3394.9079999999999"/>
    <s v="2025-04-26"/>
    <x v="3"/>
    <s v=""/>
  </r>
  <r>
    <s v="O0339"/>
    <x v="258"/>
    <s v="C060"/>
    <x v="49"/>
    <s v="P032"/>
    <x v="1"/>
    <s v="E04"/>
    <x v="0"/>
    <x v="5"/>
    <x v="1"/>
    <n v="605.26"/>
    <n v="3"/>
    <n v="0.05"/>
    <n v="1815.78"/>
    <n v="1724.991"/>
    <s v="2025-06-30"/>
    <x v="4"/>
    <s v=""/>
  </r>
  <r>
    <s v="O0340"/>
    <x v="47"/>
    <s v="C031"/>
    <x v="26"/>
    <s v="P006"/>
    <x v="1"/>
    <s v="E09"/>
    <x v="3"/>
    <x v="6"/>
    <x v="3"/>
    <n v="2779.58"/>
    <n v="2"/>
    <n v="0.05"/>
    <n v="5559.16"/>
    <n v="5281.2019999999993"/>
    <s v="2024-12-10"/>
    <x v="3"/>
    <s v=""/>
  </r>
  <r>
    <s v="O0403"/>
    <x v="47"/>
    <s v="C031"/>
    <x v="26"/>
    <s v="P006"/>
    <x v="44"/>
    <s v="E09"/>
    <x v="3"/>
    <x v="6"/>
    <x v="3"/>
    <n v="2779.58"/>
    <n v="2"/>
    <n v="0.05"/>
    <n v="5559.16"/>
    <n v="5281.2019999999993"/>
    <s v="2024-12-10"/>
    <x v="3"/>
    <s v=""/>
  </r>
  <r>
    <s v="O0341"/>
    <x v="83"/>
    <s v="C008"/>
    <x v="8"/>
    <s v="P002"/>
    <x v="34"/>
    <s v="E01"/>
    <x v="1"/>
    <x v="6"/>
    <x v="3"/>
    <n v="991.59"/>
    <n v="1"/>
    <n v="0"/>
    <n v="991.59"/>
    <n v="991.59"/>
    <s v="2024-07-21"/>
    <x v="1"/>
    <s v=""/>
  </r>
  <r>
    <s v="O0342"/>
    <x v="159"/>
    <s v="C044"/>
    <x v="3"/>
    <s v="P022"/>
    <x v="29"/>
    <s v="E04"/>
    <x v="0"/>
    <x v="7"/>
    <x v="0"/>
    <n v="3414.07"/>
    <n v="10"/>
    <n v="0.15"/>
    <n v="34140.700000000004"/>
    <n v="29019.595000000001"/>
    <s v="2024-07-20"/>
    <x v="2"/>
    <s v=""/>
  </r>
  <r>
    <s v="O0343"/>
    <x v="259"/>
    <s v="C054"/>
    <x v="43"/>
    <s v="P002"/>
    <x v="29"/>
    <s v="E09"/>
    <x v="3"/>
    <x v="6"/>
    <x v="0"/>
    <n v="991.59"/>
    <n v="6"/>
    <n v="0"/>
    <n v="5949.54"/>
    <n v="5949.54"/>
    <s v="2024-08-02"/>
    <x v="4"/>
    <s v=""/>
  </r>
  <r>
    <s v="O0344"/>
    <x v="260"/>
    <s v="C048"/>
    <x v="6"/>
    <s v="P032"/>
    <x v="42"/>
    <s v="E04"/>
    <x v="0"/>
    <x v="5"/>
    <x v="0"/>
    <n v="605.26"/>
    <n v="8"/>
    <n v="0"/>
    <n v="4842.08"/>
    <n v="4842.08"/>
    <s v="2024-05-10"/>
    <x v="2"/>
    <s v=""/>
  </r>
  <r>
    <s v="O0345"/>
    <x v="79"/>
    <s v="C025"/>
    <x v="48"/>
    <s v="P024"/>
    <x v="19"/>
    <s v="E04"/>
    <x v="0"/>
    <x v="7"/>
    <x v="2"/>
    <n v="1140.8"/>
    <n v="9"/>
    <n v="0"/>
    <n v="10267.199999999999"/>
    <n v="10267.199999999999"/>
    <s v="2024-09-07"/>
    <x v="2"/>
    <s v=""/>
  </r>
  <r>
    <s v="O0346"/>
    <x v="115"/>
    <s v="C009"/>
    <x v="19"/>
    <s v="P009"/>
    <x v="42"/>
    <s v="E09"/>
    <x v="3"/>
    <x v="4"/>
    <x v="2"/>
    <n v="3929.31"/>
    <n v="5"/>
    <n v="0"/>
    <n v="19646.55"/>
    <n v="19646.55"/>
    <s v="2025-01-08"/>
    <x v="2"/>
    <s v=""/>
  </r>
  <r>
    <s v="O0347"/>
    <x v="261"/>
    <s v="C036"/>
    <x v="53"/>
    <s v="P028"/>
    <x v="34"/>
    <s v="E01"/>
    <x v="1"/>
    <x v="0"/>
    <x v="0"/>
    <n v="3493.54"/>
    <n v="8"/>
    <n v="0.2"/>
    <n v="27948.32"/>
    <n v="22358.656000000003"/>
    <s v="2024-04-16"/>
    <x v="0"/>
    <s v=""/>
  </r>
  <r>
    <s v="O0348"/>
    <x v="148"/>
    <s v="C018"/>
    <x v="15"/>
    <s v="P008"/>
    <x v="45"/>
    <s v="E04"/>
    <x v="0"/>
    <x v="4"/>
    <x v="0"/>
    <n v="1498.91"/>
    <n v="0"/>
    <n v="0"/>
    <n v="0"/>
    <n v="0"/>
    <s v="2024-11-26"/>
    <x v="4"/>
    <s v="Missing Quantity"/>
  </r>
  <r>
    <s v="O0349"/>
    <x v="183"/>
    <s v="C036"/>
    <x v="53"/>
    <s v="P022"/>
    <x v="7"/>
    <s v="E02"/>
    <x v="4"/>
    <x v="7"/>
    <x v="2"/>
    <n v="3414.07"/>
    <n v="5"/>
    <n v="0.1"/>
    <n v="17070.350000000002"/>
    <n v="15363.315000000002"/>
    <s v="2024-01-27"/>
    <x v="0"/>
    <s v=""/>
  </r>
  <r>
    <s v="O0350"/>
    <x v="129"/>
    <s v="C041"/>
    <x v="6"/>
    <s v="P028"/>
    <x v="0"/>
    <s v="E04"/>
    <x v="0"/>
    <x v="0"/>
    <x v="2"/>
    <n v="3493.54"/>
    <n v="4"/>
    <n v="0"/>
    <n v="13974.16"/>
    <n v="13974.16"/>
    <s v="2024-06-09"/>
    <x v="3"/>
    <s v=""/>
  </r>
  <r>
    <s v="O0351"/>
    <x v="262"/>
    <s v="C051"/>
    <x v="10"/>
    <s v="P025"/>
    <x v="38"/>
    <s v="E02"/>
    <x v="4"/>
    <x v="0"/>
    <x v="1"/>
    <n v="4703.04"/>
    <n v="8"/>
    <n v="0.1"/>
    <n v="37624.32"/>
    <n v="33861.887999999999"/>
    <s v="2024-09-14"/>
    <x v="2"/>
    <s v=""/>
  </r>
  <r>
    <s v="O0352"/>
    <x v="45"/>
    <s v="C002"/>
    <x v="23"/>
    <s v="P038"/>
    <x v="19"/>
    <s v="E09"/>
    <x v="3"/>
    <x v="3"/>
    <x v="0"/>
    <n v="3205.14"/>
    <n v="8"/>
    <n v="0"/>
    <n v="25641.119999999999"/>
    <n v="25641.119999999999"/>
    <s v="2025-05-23"/>
    <x v="4"/>
    <s v=""/>
  </r>
  <r>
    <s v="O0353"/>
    <x v="263"/>
    <s v="C020"/>
    <x v="42"/>
    <s v="P003"/>
    <x v="0"/>
    <s v="E04"/>
    <x v="0"/>
    <x v="6"/>
    <x v="3"/>
    <n v="3550.89"/>
    <n v="3"/>
    <n v="0.1"/>
    <n v="10652.67"/>
    <n v="9587.4030000000002"/>
    <s v="2025-05-16"/>
    <x v="1"/>
    <s v=""/>
  </r>
  <r>
    <s v="O0354"/>
    <x v="264"/>
    <s v="C015"/>
    <x v="38"/>
    <s v="P033"/>
    <x v="41"/>
    <s v="E01"/>
    <x v="1"/>
    <x v="5"/>
    <x v="0"/>
    <n v="2316.1999999999998"/>
    <n v="1"/>
    <n v="0.05"/>
    <n v="2316.1999999999998"/>
    <n v="2200.39"/>
    <s v="2024-02-22"/>
    <x v="1"/>
    <s v=""/>
  </r>
  <r>
    <s v="O0355"/>
    <x v="265"/>
    <s v="C046"/>
    <x v="52"/>
    <s v="P035"/>
    <x v="8"/>
    <s v="E09"/>
    <x v="3"/>
    <x v="5"/>
    <x v="2"/>
    <n v="1253.57"/>
    <n v="1"/>
    <n v="0"/>
    <n v="1253.57"/>
    <n v="1253.57"/>
    <s v="2024-06-12"/>
    <x v="0"/>
    <s v=""/>
  </r>
  <r>
    <s v="O0356"/>
    <x v="131"/>
    <s v="C023"/>
    <x v="21"/>
    <s v="P013"/>
    <x v="10"/>
    <s v="E02"/>
    <x v="4"/>
    <x v="1"/>
    <x v="2"/>
    <n v="3981.64"/>
    <n v="10"/>
    <n v="0.15"/>
    <n v="39816.400000000001"/>
    <n v="33843.94"/>
    <s v="2024-03-12"/>
    <x v="2"/>
    <s v=""/>
  </r>
  <r>
    <s v="O0357"/>
    <x v="183"/>
    <s v="C054"/>
    <x v="43"/>
    <s v="P041"/>
    <x v="9"/>
    <s v="E02"/>
    <x v="4"/>
    <x v="3"/>
    <x v="2"/>
    <n v="136.91"/>
    <n v="1"/>
    <n v="0.1"/>
    <n v="136.91"/>
    <n v="123.21899999999999"/>
    <s v="2024-01-26"/>
    <x v="1"/>
    <s v=""/>
  </r>
  <r>
    <s v="O0358"/>
    <x v="266"/>
    <s v="C039"/>
    <x v="32"/>
    <s v="P016"/>
    <x v="44"/>
    <s v="E03"/>
    <x v="2"/>
    <x v="1"/>
    <x v="1"/>
    <n v="3772.12"/>
    <n v="9"/>
    <n v="0.15"/>
    <n v="33949.08"/>
    <n v="28856.718000000001"/>
    <s v="2024-01-23"/>
    <x v="1"/>
    <s v=""/>
  </r>
  <r>
    <s v="O0359"/>
    <x v="179"/>
    <s v="C034"/>
    <x v="46"/>
    <s v="P015"/>
    <x v="35"/>
    <s v="E09"/>
    <x v="3"/>
    <x v="1"/>
    <x v="3"/>
    <n v="2849.53"/>
    <n v="7"/>
    <n v="0.2"/>
    <n v="19946.710000000003"/>
    <n v="15957.368000000002"/>
    <s v="2025-06-01"/>
    <x v="1"/>
    <s v=""/>
  </r>
  <r>
    <s v="O0360"/>
    <x v="267"/>
    <s v="C053"/>
    <x v="34"/>
    <s v="P008"/>
    <x v="4"/>
    <s v="E03"/>
    <x v="2"/>
    <x v="4"/>
    <x v="1"/>
    <n v="1498.91"/>
    <n v="3"/>
    <n v="0"/>
    <n v="4496.7300000000005"/>
    <n v="4496.7300000000005"/>
    <s v="2025-06-24"/>
    <x v="0"/>
    <s v=""/>
  </r>
  <r>
    <s v="O0361"/>
    <x v="268"/>
    <s v="C041"/>
    <x v="6"/>
    <s v="P019"/>
    <x v="1"/>
    <s v="E02"/>
    <x v="4"/>
    <x v="7"/>
    <x v="2"/>
    <n v="928.72"/>
    <n v="7"/>
    <n v="0"/>
    <n v="6501.04"/>
    <n v="6501.04"/>
    <s v="2024-10-06"/>
    <x v="2"/>
    <s v=""/>
  </r>
  <r>
    <s v="O0362"/>
    <x v="269"/>
    <s v="C055"/>
    <x v="15"/>
    <s v="P045"/>
    <x v="27"/>
    <s v="E02"/>
    <x v="4"/>
    <x v="2"/>
    <x v="3"/>
    <n v="3576.75"/>
    <n v="4"/>
    <n v="0"/>
    <n v="14307"/>
    <n v="14307"/>
    <s v="2024-09-08"/>
    <x v="1"/>
    <s v=""/>
  </r>
  <r>
    <s v="O0363"/>
    <x v="236"/>
    <s v="C049"/>
    <x v="55"/>
    <s v="P003"/>
    <x v="38"/>
    <s v="E02"/>
    <x v="4"/>
    <x v="6"/>
    <x v="2"/>
    <n v="3550.89"/>
    <n v="7"/>
    <n v="0.05"/>
    <n v="24856.23"/>
    <n v="23613.4185"/>
    <s v="2025-02-28"/>
    <x v="1"/>
    <s v=""/>
  </r>
  <r>
    <s v="O0364"/>
    <x v="97"/>
    <s v="C049"/>
    <x v="55"/>
    <s v="P014"/>
    <x v="13"/>
    <s v="E03"/>
    <x v="2"/>
    <x v="1"/>
    <x v="2"/>
    <n v="733.33"/>
    <n v="3"/>
    <n v="0"/>
    <n v="2199.9900000000002"/>
    <n v="2199.9900000000002"/>
    <s v="2024-01-18"/>
    <x v="0"/>
    <s v=""/>
  </r>
  <r>
    <s v="O0365"/>
    <x v="128"/>
    <s v="C054"/>
    <x v="43"/>
    <s v="P005"/>
    <x v="23"/>
    <s v="E03"/>
    <x v="2"/>
    <x v="6"/>
    <x v="0"/>
    <n v="1044.7"/>
    <n v="9"/>
    <n v="0"/>
    <n v="9402.3000000000011"/>
    <n v="9402.3000000000011"/>
    <s v="2024-04-11"/>
    <x v="3"/>
    <s v=""/>
  </r>
  <r>
    <s v="O0366"/>
    <x v="270"/>
    <s v="C017"/>
    <x v="9"/>
    <s v="P032"/>
    <x v="10"/>
    <s v="E01"/>
    <x v="1"/>
    <x v="5"/>
    <x v="1"/>
    <n v="605.26"/>
    <n v="5"/>
    <n v="0"/>
    <n v="3026.3"/>
    <n v="3026.3"/>
    <s v="2025-05-03"/>
    <x v="3"/>
    <s v=""/>
  </r>
  <r>
    <s v="O0367"/>
    <x v="62"/>
    <s v="C016"/>
    <x v="29"/>
    <s v="P021"/>
    <x v="2"/>
    <s v="E04"/>
    <x v="0"/>
    <x v="7"/>
    <x v="3"/>
    <n v="1513.99"/>
    <n v="3"/>
    <n v="0.2"/>
    <n v="4541.97"/>
    <n v="3633.5760000000005"/>
    <s v="2024-02-09"/>
    <x v="4"/>
    <s v=""/>
  </r>
  <r>
    <s v="O0368"/>
    <x v="271"/>
    <s v="C019"/>
    <x v="37"/>
    <s v="P040"/>
    <x v="11"/>
    <s v="E04"/>
    <x v="0"/>
    <x v="3"/>
    <x v="0"/>
    <n v="1212.79"/>
    <n v="7"/>
    <n v="0"/>
    <n v="8489.5299999999988"/>
    <n v="8489.5299999999988"/>
    <s v="2024-06-01"/>
    <x v="3"/>
    <s v=""/>
  </r>
  <r>
    <s v="O0369"/>
    <x v="272"/>
    <s v="C057"/>
    <x v="40"/>
    <s v="P026"/>
    <x v="34"/>
    <s v="E04"/>
    <x v="0"/>
    <x v="0"/>
    <x v="1"/>
    <n v="973.21"/>
    <n v="10"/>
    <n v="0.2"/>
    <n v="9732.1"/>
    <n v="7785.68"/>
    <s v="2024-09-10"/>
    <x v="2"/>
    <s v=""/>
  </r>
  <r>
    <s v="O0370"/>
    <x v="253"/>
    <s v="C020"/>
    <x v="42"/>
    <s v="P016"/>
    <x v="25"/>
    <s v="E01"/>
    <x v="1"/>
    <x v="1"/>
    <x v="3"/>
    <n v="3772.12"/>
    <n v="2"/>
    <n v="0.1"/>
    <n v="7544.24"/>
    <n v="6789.8159999999998"/>
    <s v="2024-05-29"/>
    <x v="1"/>
    <s v=""/>
  </r>
  <r>
    <s v="O0371"/>
    <x v="273"/>
    <s v="C015"/>
    <x v="38"/>
    <s v="P046"/>
    <x v="40"/>
    <s v="E09"/>
    <x v="3"/>
    <x v="2"/>
    <x v="1"/>
    <n v="3457.28"/>
    <n v="4"/>
    <n v="0.2"/>
    <n v="13829.12"/>
    <n v="11063.296000000002"/>
    <s v="2025-03-25"/>
    <x v="3"/>
    <s v=""/>
  </r>
  <r>
    <s v="O0372"/>
    <x v="147"/>
    <s v="C006"/>
    <x v="18"/>
    <s v="P022"/>
    <x v="5"/>
    <s v="E03"/>
    <x v="2"/>
    <x v="7"/>
    <x v="2"/>
    <n v="3414.07"/>
    <n v="6"/>
    <n v="0"/>
    <n v="20484.420000000002"/>
    <n v="20484.420000000002"/>
    <s v="2025-02-15"/>
    <x v="2"/>
    <s v=""/>
  </r>
  <r>
    <s v="O0373"/>
    <x v="127"/>
    <s v="C005"/>
    <x v="30"/>
    <s v="P016"/>
    <x v="1"/>
    <s v="E09"/>
    <x v="3"/>
    <x v="1"/>
    <x v="2"/>
    <n v="3772.12"/>
    <n v="6"/>
    <n v="0.1"/>
    <n v="22632.720000000001"/>
    <n v="20369.448"/>
    <s v="2024-08-28"/>
    <x v="4"/>
    <s v=""/>
  </r>
  <r>
    <s v="O0374"/>
    <x v="274"/>
    <s v="C023"/>
    <x v="21"/>
    <s v="P019"/>
    <x v="12"/>
    <s v="E09"/>
    <x v="3"/>
    <x v="7"/>
    <x v="1"/>
    <n v="928.72"/>
    <n v="2"/>
    <n v="0.2"/>
    <n v="1857.44"/>
    <n v="1485.9520000000002"/>
    <s v="2025-02-03"/>
    <x v="4"/>
    <s v=""/>
  </r>
  <r>
    <s v="O0375"/>
    <x v="55"/>
    <s v="C033"/>
    <x v="41"/>
    <s v="P012"/>
    <x v="19"/>
    <s v="E09"/>
    <x v="3"/>
    <x v="4"/>
    <x v="2"/>
    <n v="1559.65"/>
    <n v="2"/>
    <n v="0"/>
    <n v="3119.3"/>
    <n v="3119.3"/>
    <s v="2024-03-19"/>
    <x v="4"/>
    <s v=""/>
  </r>
  <r>
    <s v="O0376"/>
    <x v="275"/>
    <s v="C011"/>
    <x v="33"/>
    <s v="P001"/>
    <x v="1"/>
    <s v="E03"/>
    <x v="2"/>
    <x v="6"/>
    <x v="3"/>
    <n v="2352.63"/>
    <n v="6"/>
    <n v="0"/>
    <n v="14115.78"/>
    <n v="14115.78"/>
    <s v="2025-02-04"/>
    <x v="1"/>
    <s v=""/>
  </r>
  <r>
    <s v="O0377"/>
    <x v="276"/>
    <s v="C058"/>
    <x v="51"/>
    <s v="P042"/>
    <x v="13"/>
    <s v="E01"/>
    <x v="1"/>
    <x v="3"/>
    <x v="3"/>
    <n v="4390.62"/>
    <n v="8"/>
    <n v="0"/>
    <n v="35124.959999999999"/>
    <n v="35124.959999999999"/>
    <s v="2024-11-16"/>
    <x v="4"/>
    <s v=""/>
  </r>
  <r>
    <s v="O0378"/>
    <x v="277"/>
    <s v="C042"/>
    <x v="0"/>
    <s v="P047"/>
    <x v="16"/>
    <s v="E09"/>
    <x v="3"/>
    <x v="2"/>
    <x v="2"/>
    <n v="3610.44"/>
    <n v="3"/>
    <n v="0.05"/>
    <n v="10831.32"/>
    <n v="10289.753999999999"/>
    <s v="2024-04-07"/>
    <x v="1"/>
    <s v=""/>
  </r>
  <r>
    <s v="O0379"/>
    <x v="136"/>
    <s v="C051"/>
    <x v="10"/>
    <s v="P019"/>
    <x v="15"/>
    <s v="E09"/>
    <x v="3"/>
    <x v="7"/>
    <x v="3"/>
    <n v="928.72"/>
    <n v="2"/>
    <n v="0"/>
    <n v="1857.44"/>
    <n v="1857.44"/>
    <s v="2024-02-05"/>
    <x v="3"/>
    <s v=""/>
  </r>
  <r>
    <s v="O0380"/>
    <x v="93"/>
    <s v="C014"/>
    <x v="50"/>
    <s v="P010"/>
    <x v="17"/>
    <s v="E02"/>
    <x v="4"/>
    <x v="4"/>
    <x v="2"/>
    <n v="1156.02"/>
    <n v="7"/>
    <n v="0"/>
    <n v="8092.1399999999994"/>
    <n v="8092.1399999999994"/>
    <s v="2024-12-03"/>
    <x v="2"/>
    <s v=""/>
  </r>
  <r>
    <s v="O0381"/>
    <x v="167"/>
    <s v="C059"/>
    <x v="26"/>
    <s v="P033"/>
    <x v="14"/>
    <s v="E04"/>
    <x v="0"/>
    <x v="5"/>
    <x v="0"/>
    <n v="2316.1999999999998"/>
    <n v="9"/>
    <n v="0"/>
    <n v="20845.8"/>
    <n v="20845.8"/>
    <s v="2024-04-06"/>
    <x v="2"/>
    <s v=""/>
  </r>
  <r>
    <s v="O0382"/>
    <x v="278"/>
    <s v="C039"/>
    <x v="32"/>
    <s v="P026"/>
    <x v="13"/>
    <s v="E09"/>
    <x v="3"/>
    <x v="0"/>
    <x v="1"/>
    <n v="973.21"/>
    <n v="3"/>
    <n v="0"/>
    <n v="2919.63"/>
    <n v="2919.63"/>
    <s v="2024-06-27"/>
    <x v="2"/>
    <s v=""/>
  </r>
  <r>
    <s v="O0383"/>
    <x v="94"/>
    <s v="C047"/>
    <x v="39"/>
    <s v="P013"/>
    <x v="18"/>
    <s v="E03"/>
    <x v="2"/>
    <x v="1"/>
    <x v="1"/>
    <n v="3981.64"/>
    <n v="2"/>
    <n v="0"/>
    <n v="7963.28"/>
    <n v="7963.28"/>
    <s v="2024-06-05"/>
    <x v="2"/>
    <s v=""/>
  </r>
  <r>
    <s v="O0384"/>
    <x v="218"/>
    <s v="C010"/>
    <x v="47"/>
    <s v="P036"/>
    <x v="9"/>
    <s v="E02"/>
    <x v="4"/>
    <x v="5"/>
    <x v="1"/>
    <n v="2489.91"/>
    <n v="8"/>
    <n v="0.2"/>
    <n v="19919.28"/>
    <n v="15935.423999999999"/>
    <s v="2024-11-04"/>
    <x v="0"/>
    <s v=""/>
  </r>
  <r>
    <s v="O0385"/>
    <x v="224"/>
    <s v="C022"/>
    <x v="17"/>
    <s v="P003"/>
    <x v="5"/>
    <s v="E09"/>
    <x v="3"/>
    <x v="6"/>
    <x v="0"/>
    <n v="3550.89"/>
    <n v="8"/>
    <n v="0.1"/>
    <n v="28407.119999999999"/>
    <n v="25566.407999999999"/>
    <s v="2024-09-19"/>
    <x v="2"/>
    <s v=""/>
  </r>
  <r>
    <s v="O0386"/>
    <x v="279"/>
    <s v="C008"/>
    <x v="8"/>
    <s v="P043"/>
    <x v="35"/>
    <s v="E03"/>
    <x v="2"/>
    <x v="2"/>
    <x v="2"/>
    <n v="2458.91"/>
    <n v="3"/>
    <n v="0"/>
    <n v="7376.73"/>
    <n v="7376.73"/>
    <s v="2024-04-20"/>
    <x v="0"/>
    <s v=""/>
  </r>
  <r>
    <s v="O0387"/>
    <x v="274"/>
    <s v="C055"/>
    <x v="15"/>
    <s v="P034"/>
    <x v="26"/>
    <s v="E09"/>
    <x v="3"/>
    <x v="5"/>
    <x v="2"/>
    <n v="2036.67"/>
    <n v="6"/>
    <n v="0.05"/>
    <n v="12220.02"/>
    <n v="11609.019"/>
    <s v="2025-01-30"/>
    <x v="3"/>
    <s v=""/>
  </r>
  <r>
    <s v="O0388"/>
    <x v="280"/>
    <s v="C057"/>
    <x v="40"/>
    <s v="P028"/>
    <x v="10"/>
    <s v="E04"/>
    <x v="0"/>
    <x v="0"/>
    <x v="0"/>
    <n v="3493.54"/>
    <n v="5"/>
    <n v="0"/>
    <n v="17467.7"/>
    <n v="17467.7"/>
    <s v="2024-05-29"/>
    <x v="2"/>
    <s v=""/>
  </r>
  <r>
    <s v="O0389"/>
    <x v="197"/>
    <s v="C003"/>
    <x v="20"/>
    <s v="P028"/>
    <x v="20"/>
    <s v="E02"/>
    <x v="4"/>
    <x v="0"/>
    <x v="1"/>
    <n v="3493.54"/>
    <n v="3"/>
    <n v="0.05"/>
    <n v="10480.619999999999"/>
    <n v="9956.5889999999981"/>
    <s v="2024-11-23"/>
    <x v="2"/>
    <s v=""/>
  </r>
  <r>
    <s v="O0390"/>
    <x v="35"/>
    <s v="C022"/>
    <x v="17"/>
    <s v="P044"/>
    <x v="32"/>
    <s v="E01"/>
    <x v="1"/>
    <x v="2"/>
    <x v="2"/>
    <n v="620.89"/>
    <n v="6"/>
    <n v="0.05"/>
    <n v="3725.34"/>
    <n v="3539.0729999999999"/>
    <s v="2024-09-10"/>
    <x v="0"/>
    <s v=""/>
  </r>
  <r>
    <s v="O0391"/>
    <x v="281"/>
    <s v="C039"/>
    <x v="32"/>
    <s v="P041"/>
    <x v="0"/>
    <s v="E01"/>
    <x v="1"/>
    <x v="3"/>
    <x v="0"/>
    <n v="136.91"/>
    <n v="10"/>
    <n v="0"/>
    <n v="1369.1"/>
    <n v="1369.1"/>
    <s v="2024-05-06"/>
    <x v="3"/>
    <s v=""/>
  </r>
  <r>
    <s v="O0392"/>
    <x v="25"/>
    <s v="C042"/>
    <x v="0"/>
    <s v="P028"/>
    <x v="0"/>
    <s v="E04"/>
    <x v="0"/>
    <x v="0"/>
    <x v="2"/>
    <n v="3493.54"/>
    <n v="8"/>
    <n v="0.15"/>
    <n v="27948.32"/>
    <n v="23756.072"/>
    <s v="2024-02-01"/>
    <x v="0"/>
    <s v=""/>
  </r>
  <r>
    <s v="O0393"/>
    <x v="282"/>
    <s v="C060"/>
    <x v="49"/>
    <s v="P038"/>
    <x v="3"/>
    <s v="E09"/>
    <x v="3"/>
    <x v="3"/>
    <x v="0"/>
    <n v="3205.14"/>
    <n v="7"/>
    <n v="0.15"/>
    <n v="22435.98"/>
    <n v="19070.582999999999"/>
    <s v="2024-03-19"/>
    <x v="0"/>
    <s v=""/>
  </r>
  <r>
    <s v="O0394"/>
    <x v="44"/>
    <s v="C010"/>
    <x v="47"/>
    <s v="P004"/>
    <x v="4"/>
    <s v="E04"/>
    <x v="0"/>
    <x v="6"/>
    <x v="2"/>
    <n v="2184.5100000000002"/>
    <n v="5"/>
    <n v="0.15"/>
    <n v="10922.550000000001"/>
    <n v="9284.1675000000014"/>
    <s v="2024-09-07"/>
    <x v="2"/>
    <s v=""/>
  </r>
  <r>
    <s v="O0395"/>
    <x v="55"/>
    <s v="C033"/>
    <x v="41"/>
    <s v="P010"/>
    <x v="0"/>
    <s v="E04"/>
    <x v="0"/>
    <x v="4"/>
    <x v="2"/>
    <n v="1156.02"/>
    <n v="8"/>
    <n v="0.1"/>
    <n v="9248.16"/>
    <n v="8323.344000000001"/>
    <s v="2024-03-24"/>
    <x v="3"/>
    <s v=""/>
  </r>
  <r>
    <s v="O0396"/>
    <x v="37"/>
    <s v="C008"/>
    <x v="8"/>
    <s v="P020"/>
    <x v="8"/>
    <s v="E04"/>
    <x v="0"/>
    <x v="7"/>
    <x v="1"/>
    <n v="2359.5"/>
    <n v="0"/>
    <n v="0.1"/>
    <n v="0"/>
    <n v="0"/>
    <s v="2025-06-03"/>
    <x v="3"/>
    <s v="Missing Quantity"/>
  </r>
  <r>
    <s v="O0397"/>
    <x v="283"/>
    <s v="C029"/>
    <x v="1"/>
    <s v="P040"/>
    <x v="28"/>
    <s v="E03"/>
    <x v="2"/>
    <x v="3"/>
    <x v="1"/>
    <n v="1212.79"/>
    <n v="2"/>
    <n v="0.2"/>
    <n v="2425.58"/>
    <n v="1940.4639999999999"/>
    <s v="2024-04-01"/>
    <x v="4"/>
    <s v=""/>
  </r>
  <r>
    <s v="O0398"/>
    <x v="284"/>
    <s v="C049"/>
    <x v="55"/>
    <s v="P023"/>
    <x v="18"/>
    <s v="E01"/>
    <x v="1"/>
    <x v="7"/>
    <x v="1"/>
    <n v="2405.98"/>
    <n v="10"/>
    <n v="0.15"/>
    <n v="24059.8"/>
    <n v="20450.829999999998"/>
    <s v="2024-02-22"/>
    <x v="2"/>
    <s v=""/>
  </r>
  <r>
    <s v="O0399"/>
    <x v="207"/>
    <s v="C027"/>
    <x v="35"/>
    <s v="P010"/>
    <x v="31"/>
    <s v="E01"/>
    <x v="1"/>
    <x v="4"/>
    <x v="0"/>
    <n v="1156.02"/>
    <n v="1"/>
    <n v="0"/>
    <n v="1156.02"/>
    <n v="1156.02"/>
    <s v="2024-04-23"/>
    <x v="3"/>
    <s v=""/>
  </r>
  <r>
    <s v="O0404"/>
    <x v="207"/>
    <s v="C027"/>
    <x v="35"/>
    <s v="P010"/>
    <x v="39"/>
    <s v="E01"/>
    <x v="1"/>
    <x v="4"/>
    <x v="0"/>
    <n v="1156.02"/>
    <n v="1"/>
    <n v="0"/>
    <n v="1156.02"/>
    <n v="1156.02"/>
    <s v="2024-04-23"/>
    <x v="3"/>
    <s v=""/>
  </r>
  <r>
    <s v="O0400"/>
    <x v="285"/>
    <s v="C018"/>
    <x v="15"/>
    <s v="P035"/>
    <x v="40"/>
    <s v="E04"/>
    <x v="0"/>
    <x v="5"/>
    <x v="0"/>
    <n v="1253.57"/>
    <n v="9"/>
    <n v="0.1"/>
    <n v="11282.13"/>
    <n v="10153.916999999999"/>
    <s v="2025-06-25"/>
    <x v="2"/>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0530E-EDB6-45CB-90AF-901CE200FAF7}" name="PivotTable5"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Name">
  <location ref="B21:C32" firstHeaderRow="1" firstDataRow="1" firstDataCol="1"/>
  <pivotFields count="21">
    <pivotField showAll="0"/>
    <pivotField numFmtId="14" showAll="0">
      <items count="287">
        <item x="5"/>
        <item x="61"/>
        <item x="231"/>
        <item x="237"/>
        <item x="97"/>
        <item x="183"/>
        <item x="266"/>
        <item x="21"/>
        <item x="101"/>
        <item x="136"/>
        <item x="25"/>
        <item x="41"/>
        <item x="124"/>
        <item x="62"/>
        <item x="251"/>
        <item x="74"/>
        <item x="217"/>
        <item x="68"/>
        <item x="70"/>
        <item x="36"/>
        <item x="194"/>
        <item x="284"/>
        <item x="214"/>
        <item x="264"/>
        <item x="229"/>
        <item x="177"/>
        <item x="158"/>
        <item x="245"/>
        <item x="131"/>
        <item x="20"/>
        <item x="164"/>
        <item x="196"/>
        <item x="282"/>
        <item x="65"/>
        <item x="10"/>
        <item x="55"/>
        <item x="195"/>
        <item x="250"/>
        <item x="241"/>
        <item x="167"/>
        <item x="283"/>
        <item x="277"/>
        <item x="105"/>
        <item x="69"/>
        <item x="204"/>
        <item x="128"/>
        <item x="216"/>
        <item x="261"/>
        <item x="59"/>
        <item x="88"/>
        <item x="171"/>
        <item x="192"/>
        <item x="186"/>
        <item x="207"/>
        <item x="279"/>
        <item x="111"/>
        <item x="219"/>
        <item x="242"/>
        <item x="281"/>
        <item x="64"/>
        <item x="75"/>
        <item x="112"/>
        <item x="260"/>
        <item x="110"/>
        <item x="66"/>
        <item x="52"/>
        <item x="146"/>
        <item x="78"/>
        <item x="106"/>
        <item x="213"/>
        <item x="280"/>
        <item x="180"/>
        <item x="222"/>
        <item x="253"/>
        <item x="166"/>
        <item x="96"/>
        <item x="271"/>
        <item x="94"/>
        <item x="125"/>
        <item x="243"/>
        <item x="265"/>
        <item x="129"/>
        <item x="81"/>
        <item x="89"/>
        <item x="60"/>
        <item x="139"/>
        <item x="239"/>
        <item x="235"/>
        <item x="172"/>
        <item x="278"/>
        <item x="161"/>
        <item x="4"/>
        <item x="95"/>
        <item x="39"/>
        <item x="71"/>
        <item x="188"/>
        <item x="49"/>
        <item x="159"/>
        <item x="103"/>
        <item x="83"/>
        <item x="170"/>
        <item x="203"/>
        <item x="154"/>
        <item x="9"/>
        <item x="31"/>
        <item x="189"/>
        <item x="244"/>
        <item x="118"/>
        <item x="259"/>
        <item x="42"/>
        <item x="141"/>
        <item x="23"/>
        <item x="143"/>
        <item x="46"/>
        <item x="30"/>
        <item x="202"/>
        <item x="57"/>
        <item x="51"/>
        <item x="127"/>
        <item x="18"/>
        <item x="232"/>
        <item x="63"/>
        <item x="100"/>
        <item x="174"/>
        <item x="79"/>
        <item x="272"/>
        <item x="44"/>
        <item x="35"/>
        <item x="269"/>
        <item x="262"/>
        <item x="224"/>
        <item x="16"/>
        <item x="13"/>
        <item x="119"/>
        <item x="48"/>
        <item x="165"/>
        <item x="246"/>
        <item x="227"/>
        <item x="107"/>
        <item x="27"/>
        <item x="121"/>
        <item x="268"/>
        <item x="228"/>
        <item x="137"/>
        <item x="17"/>
        <item x="43"/>
        <item x="40"/>
        <item x="215"/>
        <item x="84"/>
        <item x="142"/>
        <item x="233"/>
        <item x="92"/>
        <item x="182"/>
        <item x="149"/>
        <item x="199"/>
        <item x="3"/>
        <item x="22"/>
        <item x="218"/>
        <item x="2"/>
        <item x="144"/>
        <item x="56"/>
        <item x="276"/>
        <item x="104"/>
        <item x="151"/>
        <item x="33"/>
        <item x="133"/>
        <item x="148"/>
        <item x="197"/>
        <item x="14"/>
        <item x="206"/>
        <item x="254"/>
        <item x="6"/>
        <item x="156"/>
        <item x="93"/>
        <item x="145"/>
        <item x="73"/>
        <item x="47"/>
        <item x="117"/>
        <item x="8"/>
        <item x="24"/>
        <item x="28"/>
        <item x="223"/>
        <item x="72"/>
        <item x="225"/>
        <item x="153"/>
        <item x="187"/>
        <item x="212"/>
        <item x="120"/>
        <item x="115"/>
        <item x="238"/>
        <item x="169"/>
        <item x="109"/>
        <item x="135"/>
        <item x="32"/>
        <item x="34"/>
        <item x="86"/>
        <item x="226"/>
        <item x="274"/>
        <item x="87"/>
        <item x="209"/>
        <item x="163"/>
        <item x="275"/>
        <item x="211"/>
        <item x="147"/>
        <item x="90"/>
        <item x="252"/>
        <item x="236"/>
        <item x="80"/>
        <item x="256"/>
        <item x="132"/>
        <item x="230"/>
        <item x="19"/>
        <item x="184"/>
        <item x="138"/>
        <item x="249"/>
        <item x="247"/>
        <item x="140"/>
        <item x="12"/>
        <item x="193"/>
        <item x="26"/>
        <item x="58"/>
        <item x="191"/>
        <item x="1"/>
        <item x="130"/>
        <item x="38"/>
        <item x="0"/>
        <item x="273"/>
        <item x="190"/>
        <item x="175"/>
        <item x="98"/>
        <item x="173"/>
        <item x="114"/>
        <item x="15"/>
        <item x="85"/>
        <item x="181"/>
        <item x="208"/>
        <item x="160"/>
        <item x="113"/>
        <item x="116"/>
        <item x="99"/>
        <item x="150"/>
        <item x="76"/>
        <item x="257"/>
        <item x="205"/>
        <item x="210"/>
        <item x="108"/>
        <item x="29"/>
        <item x="240"/>
        <item x="248"/>
        <item x="7"/>
        <item x="220"/>
        <item x="270"/>
        <item x="122"/>
        <item x="54"/>
        <item x="53"/>
        <item x="221"/>
        <item x="134"/>
        <item x="82"/>
        <item x="91"/>
        <item x="263"/>
        <item x="45"/>
        <item x="155"/>
        <item x="11"/>
        <item x="255"/>
        <item x="102"/>
        <item x="77"/>
        <item x="198"/>
        <item x="67"/>
        <item x="179"/>
        <item x="123"/>
        <item x="234"/>
        <item x="37"/>
        <item x="157"/>
        <item x="200"/>
        <item x="152"/>
        <item x="178"/>
        <item x="201"/>
        <item x="285"/>
        <item x="162"/>
        <item x="267"/>
        <item x="50"/>
        <item x="185"/>
        <item x="168"/>
        <item x="176"/>
        <item x="258"/>
        <item x="126"/>
        <item t="default"/>
      </items>
    </pivotField>
    <pivotField showAll="0"/>
    <pivotField axis="axisRow" showAll="0" measureFilter="1" sortType="descending">
      <items count="57">
        <item x="53"/>
        <item x="48"/>
        <item x="5"/>
        <item x="33"/>
        <item x="47"/>
        <item x="28"/>
        <item x="27"/>
        <item x="54"/>
        <item x="4"/>
        <item x="9"/>
        <item x="19"/>
        <item x="40"/>
        <item x="16"/>
        <item x="49"/>
        <item x="55"/>
        <item x="34"/>
        <item x="6"/>
        <item x="13"/>
        <item x="45"/>
        <item x="10"/>
        <item x="22"/>
        <item x="41"/>
        <item x="31"/>
        <item x="50"/>
        <item x="8"/>
        <item x="20"/>
        <item x="2"/>
        <item x="7"/>
        <item x="0"/>
        <item x="15"/>
        <item x="11"/>
        <item x="51"/>
        <item x="1"/>
        <item x="23"/>
        <item x="32"/>
        <item x="21"/>
        <item x="42"/>
        <item x="52"/>
        <item x="17"/>
        <item x="39"/>
        <item x="18"/>
        <item x="37"/>
        <item x="26"/>
        <item x="29"/>
        <item x="36"/>
        <item x="46"/>
        <item x="3"/>
        <item x="38"/>
        <item x="43"/>
        <item x="35"/>
        <item x="25"/>
        <item x="12"/>
        <item x="24"/>
        <item x="44"/>
        <item x="30"/>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11">
    <i>
      <x v="29"/>
    </i>
    <i>
      <x v="16"/>
    </i>
    <i>
      <x v="24"/>
    </i>
    <i>
      <x v="42"/>
    </i>
    <i>
      <x v="38"/>
    </i>
    <i>
      <x v="35"/>
    </i>
    <i>
      <x v="40"/>
    </i>
    <i>
      <x v="54"/>
    </i>
    <i>
      <x v="26"/>
    </i>
    <i>
      <x v="41"/>
    </i>
    <i t="grand">
      <x/>
    </i>
  </rowItems>
  <colItems count="1">
    <i/>
  </colItems>
  <dataFields count="1">
    <dataField name="Total Sales" fld="14" baseField="3" baseItem="16" numFmtId="166"/>
  </dataFields>
  <formats count="4">
    <format dxfId="11">
      <pivotArea dataOnly="0" labelOnly="1" outline="0" axis="axisValues" fieldPosition="0"/>
    </format>
    <format dxfId="10">
      <pivotArea collapsedLevelsAreSubtotals="1" fieldPosition="0">
        <references count="1">
          <reference field="3" count="1">
            <x v="29"/>
          </reference>
        </references>
      </pivotArea>
    </format>
    <format dxfId="9">
      <pivotArea outline="0" collapsedLevelsAreSubtotals="1" fieldPosition="0"/>
    </format>
    <format dxfId="3">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E3B0FE-CBC4-40EB-AE28-36A818BF81B1}" name="PivotTable1"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16" firstHeaderRow="1" firstDataRow="1" firstDataCol="1"/>
  <pivotFields count="21">
    <pivotField showAll="0"/>
    <pivotField numFmtId="14" showAll="0">
      <items count="287">
        <item x="5"/>
        <item x="61"/>
        <item x="231"/>
        <item x="237"/>
        <item x="97"/>
        <item x="183"/>
        <item x="266"/>
        <item x="21"/>
        <item x="101"/>
        <item x="136"/>
        <item x="25"/>
        <item x="41"/>
        <item x="124"/>
        <item x="62"/>
        <item x="251"/>
        <item x="74"/>
        <item x="217"/>
        <item x="68"/>
        <item x="70"/>
        <item x="36"/>
        <item x="194"/>
        <item x="284"/>
        <item x="214"/>
        <item x="264"/>
        <item x="229"/>
        <item x="177"/>
        <item x="158"/>
        <item x="245"/>
        <item x="131"/>
        <item x="20"/>
        <item x="164"/>
        <item x="196"/>
        <item x="282"/>
        <item x="65"/>
        <item x="10"/>
        <item x="55"/>
        <item x="195"/>
        <item x="250"/>
        <item x="241"/>
        <item x="167"/>
        <item x="283"/>
        <item x="277"/>
        <item x="105"/>
        <item x="69"/>
        <item x="204"/>
        <item x="128"/>
        <item x="216"/>
        <item x="261"/>
        <item x="59"/>
        <item x="88"/>
        <item x="171"/>
        <item x="192"/>
        <item x="186"/>
        <item x="207"/>
        <item x="279"/>
        <item x="111"/>
        <item x="219"/>
        <item x="242"/>
        <item x="281"/>
        <item x="64"/>
        <item x="75"/>
        <item x="112"/>
        <item x="260"/>
        <item x="110"/>
        <item x="66"/>
        <item x="52"/>
        <item x="146"/>
        <item x="78"/>
        <item x="106"/>
        <item x="213"/>
        <item x="280"/>
        <item x="180"/>
        <item x="222"/>
        <item x="253"/>
        <item x="166"/>
        <item x="96"/>
        <item x="271"/>
        <item x="94"/>
        <item x="125"/>
        <item x="243"/>
        <item x="265"/>
        <item x="129"/>
        <item x="81"/>
        <item x="89"/>
        <item x="60"/>
        <item x="139"/>
        <item x="239"/>
        <item x="235"/>
        <item x="172"/>
        <item x="278"/>
        <item x="161"/>
        <item x="4"/>
        <item x="95"/>
        <item x="39"/>
        <item x="71"/>
        <item x="188"/>
        <item x="49"/>
        <item x="159"/>
        <item x="103"/>
        <item x="83"/>
        <item x="170"/>
        <item x="203"/>
        <item x="154"/>
        <item x="9"/>
        <item x="31"/>
        <item x="189"/>
        <item x="244"/>
        <item x="118"/>
        <item x="259"/>
        <item x="42"/>
        <item x="141"/>
        <item x="23"/>
        <item x="143"/>
        <item x="46"/>
        <item x="30"/>
        <item x="202"/>
        <item x="57"/>
        <item x="51"/>
        <item x="127"/>
        <item x="18"/>
        <item x="232"/>
        <item x="63"/>
        <item x="100"/>
        <item x="174"/>
        <item x="79"/>
        <item x="272"/>
        <item x="44"/>
        <item x="35"/>
        <item x="269"/>
        <item x="262"/>
        <item x="224"/>
        <item x="16"/>
        <item x="13"/>
        <item x="119"/>
        <item x="48"/>
        <item x="165"/>
        <item x="246"/>
        <item x="227"/>
        <item x="107"/>
        <item x="27"/>
        <item x="121"/>
        <item x="268"/>
        <item x="228"/>
        <item x="137"/>
        <item x="17"/>
        <item x="43"/>
        <item x="40"/>
        <item x="215"/>
        <item x="84"/>
        <item x="142"/>
        <item x="233"/>
        <item x="92"/>
        <item x="182"/>
        <item x="149"/>
        <item x="199"/>
        <item x="3"/>
        <item x="22"/>
        <item x="218"/>
        <item x="2"/>
        <item x="144"/>
        <item x="56"/>
        <item x="276"/>
        <item x="104"/>
        <item x="151"/>
        <item x="33"/>
        <item x="133"/>
        <item x="148"/>
        <item x="197"/>
        <item x="14"/>
        <item x="206"/>
        <item x="254"/>
        <item x="6"/>
        <item x="156"/>
        <item x="93"/>
        <item x="145"/>
        <item x="73"/>
        <item x="47"/>
        <item x="117"/>
        <item x="8"/>
        <item x="24"/>
        <item x="28"/>
        <item x="223"/>
        <item x="72"/>
        <item x="225"/>
        <item x="153"/>
        <item x="187"/>
        <item x="212"/>
        <item x="120"/>
        <item x="115"/>
        <item x="238"/>
        <item x="169"/>
        <item x="109"/>
        <item x="135"/>
        <item x="32"/>
        <item x="34"/>
        <item x="86"/>
        <item x="226"/>
        <item x="274"/>
        <item x="87"/>
        <item x="209"/>
        <item x="163"/>
        <item x="275"/>
        <item x="211"/>
        <item x="147"/>
        <item x="90"/>
        <item x="252"/>
        <item x="236"/>
        <item x="80"/>
        <item x="256"/>
        <item x="132"/>
        <item x="230"/>
        <item x="19"/>
        <item x="184"/>
        <item x="138"/>
        <item x="249"/>
        <item x="247"/>
        <item x="140"/>
        <item x="12"/>
        <item x="193"/>
        <item x="26"/>
        <item x="58"/>
        <item x="191"/>
        <item x="1"/>
        <item x="130"/>
        <item x="38"/>
        <item x="0"/>
        <item x="273"/>
        <item x="190"/>
        <item x="175"/>
        <item x="98"/>
        <item x="173"/>
        <item x="114"/>
        <item x="15"/>
        <item x="85"/>
        <item x="181"/>
        <item x="208"/>
        <item x="160"/>
        <item x="113"/>
        <item x="116"/>
        <item x="99"/>
        <item x="150"/>
        <item x="76"/>
        <item x="257"/>
        <item x="205"/>
        <item x="210"/>
        <item x="108"/>
        <item x="29"/>
        <item x="240"/>
        <item x="248"/>
        <item x="7"/>
        <item x="220"/>
        <item x="270"/>
        <item x="122"/>
        <item x="54"/>
        <item x="53"/>
        <item x="221"/>
        <item x="134"/>
        <item x="82"/>
        <item x="91"/>
        <item x="263"/>
        <item x="45"/>
        <item x="155"/>
        <item x="11"/>
        <item x="255"/>
        <item x="102"/>
        <item x="77"/>
        <item x="198"/>
        <item x="67"/>
        <item x="179"/>
        <item x="123"/>
        <item x="234"/>
        <item x="37"/>
        <item x="157"/>
        <item x="200"/>
        <item x="152"/>
        <item x="178"/>
        <item x="201"/>
        <item x="285"/>
        <item x="162"/>
        <item x="267"/>
        <item x="50"/>
        <item x="185"/>
        <item x="168"/>
        <item x="176"/>
        <item x="258"/>
        <item x="1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Revenue" fld="1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816FC0-E7AF-47BD-B3AD-04E6B6DE1D39}" name="PivotTable3"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8" firstHeaderRow="1" firstDataRow="1" firstDataCol="1"/>
  <pivotFields count="21">
    <pivotField showAll="0"/>
    <pivotField numFmtId="14" showAll="0">
      <items count="287">
        <item x="5"/>
        <item x="61"/>
        <item x="231"/>
        <item x="237"/>
        <item x="97"/>
        <item x="183"/>
        <item x="266"/>
        <item x="21"/>
        <item x="101"/>
        <item x="136"/>
        <item x="25"/>
        <item x="41"/>
        <item x="124"/>
        <item x="62"/>
        <item x="251"/>
        <item x="74"/>
        <item x="217"/>
        <item x="68"/>
        <item x="70"/>
        <item x="36"/>
        <item x="194"/>
        <item x="284"/>
        <item x="214"/>
        <item x="264"/>
        <item x="229"/>
        <item x="177"/>
        <item x="158"/>
        <item x="245"/>
        <item x="131"/>
        <item x="20"/>
        <item x="164"/>
        <item x="196"/>
        <item x="282"/>
        <item x="65"/>
        <item x="10"/>
        <item x="55"/>
        <item x="195"/>
        <item x="250"/>
        <item x="241"/>
        <item x="167"/>
        <item x="283"/>
        <item x="277"/>
        <item x="105"/>
        <item x="69"/>
        <item x="204"/>
        <item x="128"/>
        <item x="216"/>
        <item x="261"/>
        <item x="59"/>
        <item x="88"/>
        <item x="171"/>
        <item x="192"/>
        <item x="186"/>
        <item x="207"/>
        <item x="279"/>
        <item x="111"/>
        <item x="219"/>
        <item x="242"/>
        <item x="281"/>
        <item x="64"/>
        <item x="75"/>
        <item x="112"/>
        <item x="260"/>
        <item x="110"/>
        <item x="66"/>
        <item x="52"/>
        <item x="146"/>
        <item x="78"/>
        <item x="106"/>
        <item x="213"/>
        <item x="280"/>
        <item x="180"/>
        <item x="222"/>
        <item x="253"/>
        <item x="166"/>
        <item x="96"/>
        <item x="271"/>
        <item x="94"/>
        <item x="125"/>
        <item x="243"/>
        <item x="265"/>
        <item x="129"/>
        <item x="81"/>
        <item x="89"/>
        <item x="60"/>
        <item x="139"/>
        <item x="239"/>
        <item x="235"/>
        <item x="172"/>
        <item x="278"/>
        <item x="161"/>
        <item x="4"/>
        <item x="95"/>
        <item x="39"/>
        <item x="71"/>
        <item x="188"/>
        <item x="49"/>
        <item x="159"/>
        <item x="103"/>
        <item x="83"/>
        <item x="170"/>
        <item x="203"/>
        <item x="154"/>
        <item x="9"/>
        <item x="31"/>
        <item x="189"/>
        <item x="244"/>
        <item x="118"/>
        <item x="259"/>
        <item x="42"/>
        <item x="141"/>
        <item x="23"/>
        <item x="143"/>
        <item x="46"/>
        <item x="30"/>
        <item x="202"/>
        <item x="57"/>
        <item x="51"/>
        <item x="127"/>
        <item x="18"/>
        <item x="232"/>
        <item x="63"/>
        <item x="100"/>
        <item x="174"/>
        <item x="79"/>
        <item x="272"/>
        <item x="44"/>
        <item x="35"/>
        <item x="269"/>
        <item x="262"/>
        <item x="224"/>
        <item x="16"/>
        <item x="13"/>
        <item x="119"/>
        <item x="48"/>
        <item x="165"/>
        <item x="246"/>
        <item x="227"/>
        <item x="107"/>
        <item x="27"/>
        <item x="121"/>
        <item x="268"/>
        <item x="228"/>
        <item x="137"/>
        <item x="17"/>
        <item x="43"/>
        <item x="40"/>
        <item x="215"/>
        <item x="84"/>
        <item x="142"/>
        <item x="233"/>
        <item x="92"/>
        <item x="182"/>
        <item x="149"/>
        <item x="199"/>
        <item x="3"/>
        <item x="22"/>
        <item x="218"/>
        <item x="2"/>
        <item x="144"/>
        <item x="56"/>
        <item x="276"/>
        <item x="104"/>
        <item x="151"/>
        <item x="33"/>
        <item x="133"/>
        <item x="148"/>
        <item x="197"/>
        <item x="14"/>
        <item x="206"/>
        <item x="254"/>
        <item x="6"/>
        <item x="156"/>
        <item x="93"/>
        <item x="145"/>
        <item x="73"/>
        <item x="47"/>
        <item x="117"/>
        <item x="8"/>
        <item x="24"/>
        <item x="28"/>
        <item x="223"/>
        <item x="72"/>
        <item x="225"/>
        <item x="153"/>
        <item x="187"/>
        <item x="212"/>
        <item x="120"/>
        <item x="115"/>
        <item x="238"/>
        <item x="169"/>
        <item x="109"/>
        <item x="135"/>
        <item x="32"/>
        <item x="34"/>
        <item x="86"/>
        <item x="226"/>
        <item x="274"/>
        <item x="87"/>
        <item x="209"/>
        <item x="163"/>
        <item x="275"/>
        <item x="211"/>
        <item x="147"/>
        <item x="90"/>
        <item x="252"/>
        <item x="236"/>
        <item x="80"/>
        <item x="256"/>
        <item x="132"/>
        <item x="230"/>
        <item x="19"/>
        <item x="184"/>
        <item x="138"/>
        <item x="249"/>
        <item x="247"/>
        <item x="140"/>
        <item x="12"/>
        <item x="193"/>
        <item x="26"/>
        <item x="58"/>
        <item x="191"/>
        <item x="1"/>
        <item x="130"/>
        <item x="38"/>
        <item x="0"/>
        <item x="273"/>
        <item x="190"/>
        <item x="175"/>
        <item x="98"/>
        <item x="173"/>
        <item x="114"/>
        <item x="15"/>
        <item x="85"/>
        <item x="181"/>
        <item x="208"/>
        <item x="160"/>
        <item x="113"/>
        <item x="116"/>
        <item x="99"/>
        <item x="150"/>
        <item x="76"/>
        <item x="257"/>
        <item x="205"/>
        <item x="210"/>
        <item x="108"/>
        <item x="29"/>
        <item x="240"/>
        <item x="248"/>
        <item x="7"/>
        <item x="220"/>
        <item x="270"/>
        <item x="122"/>
        <item x="54"/>
        <item x="53"/>
        <item x="221"/>
        <item x="134"/>
        <item x="82"/>
        <item x="91"/>
        <item x="263"/>
        <item x="45"/>
        <item x="155"/>
        <item x="11"/>
        <item x="255"/>
        <item x="102"/>
        <item x="77"/>
        <item x="198"/>
        <item x="67"/>
        <item x="179"/>
        <item x="123"/>
        <item x="234"/>
        <item x="37"/>
        <item x="157"/>
        <item x="200"/>
        <item x="152"/>
        <item x="178"/>
        <item x="201"/>
        <item x="285"/>
        <item x="162"/>
        <item x="267"/>
        <item x="50"/>
        <item x="185"/>
        <item x="168"/>
        <item x="176"/>
        <item x="258"/>
        <item x="126"/>
        <item t="default"/>
      </items>
    </pivotField>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Revenue" fld="1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CFC8E7-ADAE-4C7F-9539-84E80109AA96}" name="PivotTable4"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3:L9" firstHeaderRow="1" firstDataRow="1" firstDataCol="1"/>
  <pivotFields count="21">
    <pivotField dataField="1" showAll="0"/>
    <pivotField numFmtId="14" showAll="0">
      <items count="287">
        <item x="5"/>
        <item x="61"/>
        <item x="231"/>
        <item x="237"/>
        <item x="97"/>
        <item x="183"/>
        <item x="266"/>
        <item x="21"/>
        <item x="101"/>
        <item x="136"/>
        <item x="25"/>
        <item x="41"/>
        <item x="124"/>
        <item x="62"/>
        <item x="251"/>
        <item x="74"/>
        <item x="217"/>
        <item x="68"/>
        <item x="70"/>
        <item x="36"/>
        <item x="194"/>
        <item x="284"/>
        <item x="214"/>
        <item x="264"/>
        <item x="229"/>
        <item x="177"/>
        <item x="158"/>
        <item x="245"/>
        <item x="131"/>
        <item x="20"/>
        <item x="164"/>
        <item x="196"/>
        <item x="282"/>
        <item x="65"/>
        <item x="10"/>
        <item x="55"/>
        <item x="195"/>
        <item x="250"/>
        <item x="241"/>
        <item x="167"/>
        <item x="283"/>
        <item x="277"/>
        <item x="105"/>
        <item x="69"/>
        <item x="204"/>
        <item x="128"/>
        <item x="216"/>
        <item x="261"/>
        <item x="59"/>
        <item x="88"/>
        <item x="171"/>
        <item x="192"/>
        <item x="186"/>
        <item x="207"/>
        <item x="279"/>
        <item x="111"/>
        <item x="219"/>
        <item x="242"/>
        <item x="281"/>
        <item x="64"/>
        <item x="75"/>
        <item x="112"/>
        <item x="260"/>
        <item x="110"/>
        <item x="66"/>
        <item x="52"/>
        <item x="146"/>
        <item x="78"/>
        <item x="106"/>
        <item x="213"/>
        <item x="280"/>
        <item x="180"/>
        <item x="222"/>
        <item x="253"/>
        <item x="166"/>
        <item x="96"/>
        <item x="271"/>
        <item x="94"/>
        <item x="125"/>
        <item x="243"/>
        <item x="265"/>
        <item x="129"/>
        <item x="81"/>
        <item x="89"/>
        <item x="60"/>
        <item x="139"/>
        <item x="239"/>
        <item x="235"/>
        <item x="172"/>
        <item x="278"/>
        <item x="161"/>
        <item x="4"/>
        <item x="95"/>
        <item x="39"/>
        <item x="71"/>
        <item x="188"/>
        <item x="49"/>
        <item x="159"/>
        <item x="103"/>
        <item x="83"/>
        <item x="170"/>
        <item x="203"/>
        <item x="154"/>
        <item x="9"/>
        <item x="31"/>
        <item x="189"/>
        <item x="244"/>
        <item x="118"/>
        <item x="259"/>
        <item x="42"/>
        <item x="141"/>
        <item x="23"/>
        <item x="143"/>
        <item x="46"/>
        <item x="30"/>
        <item x="202"/>
        <item x="57"/>
        <item x="51"/>
        <item x="127"/>
        <item x="18"/>
        <item x="232"/>
        <item x="63"/>
        <item x="100"/>
        <item x="174"/>
        <item x="79"/>
        <item x="272"/>
        <item x="44"/>
        <item x="35"/>
        <item x="269"/>
        <item x="262"/>
        <item x="224"/>
        <item x="16"/>
        <item x="13"/>
        <item x="119"/>
        <item x="48"/>
        <item x="165"/>
        <item x="246"/>
        <item x="227"/>
        <item x="107"/>
        <item x="27"/>
        <item x="121"/>
        <item x="268"/>
        <item x="228"/>
        <item x="137"/>
        <item x="17"/>
        <item x="43"/>
        <item x="40"/>
        <item x="215"/>
        <item x="84"/>
        <item x="142"/>
        <item x="233"/>
        <item x="92"/>
        <item x="182"/>
        <item x="149"/>
        <item x="199"/>
        <item x="3"/>
        <item x="22"/>
        <item x="218"/>
        <item x="2"/>
        <item x="144"/>
        <item x="56"/>
        <item x="276"/>
        <item x="104"/>
        <item x="151"/>
        <item x="33"/>
        <item x="133"/>
        <item x="148"/>
        <item x="197"/>
        <item x="14"/>
        <item x="206"/>
        <item x="254"/>
        <item x="6"/>
        <item x="156"/>
        <item x="93"/>
        <item x="145"/>
        <item x="73"/>
        <item x="47"/>
        <item x="117"/>
        <item x="8"/>
        <item x="24"/>
        <item x="28"/>
        <item x="223"/>
        <item x="72"/>
        <item x="225"/>
        <item x="153"/>
        <item x="187"/>
        <item x="212"/>
        <item x="120"/>
        <item x="115"/>
        <item x="238"/>
        <item x="169"/>
        <item x="109"/>
        <item x="135"/>
        <item x="32"/>
        <item x="34"/>
        <item x="86"/>
        <item x="226"/>
        <item x="274"/>
        <item x="87"/>
        <item x="209"/>
        <item x="163"/>
        <item x="275"/>
        <item x="211"/>
        <item x="147"/>
        <item x="90"/>
        <item x="252"/>
        <item x="236"/>
        <item x="80"/>
        <item x="256"/>
        <item x="132"/>
        <item x="230"/>
        <item x="19"/>
        <item x="184"/>
        <item x="138"/>
        <item x="249"/>
        <item x="247"/>
        <item x="140"/>
        <item x="12"/>
        <item x="193"/>
        <item x="26"/>
        <item x="58"/>
        <item x="191"/>
        <item x="1"/>
        <item x="130"/>
        <item x="38"/>
        <item x="0"/>
        <item x="273"/>
        <item x="190"/>
        <item x="175"/>
        <item x="98"/>
        <item x="173"/>
        <item x="114"/>
        <item x="15"/>
        <item x="85"/>
        <item x="181"/>
        <item x="208"/>
        <item x="160"/>
        <item x="113"/>
        <item x="116"/>
        <item x="99"/>
        <item x="150"/>
        <item x="76"/>
        <item x="257"/>
        <item x="205"/>
        <item x="210"/>
        <item x="108"/>
        <item x="29"/>
        <item x="240"/>
        <item x="248"/>
        <item x="7"/>
        <item x="220"/>
        <item x="270"/>
        <item x="122"/>
        <item x="54"/>
        <item x="53"/>
        <item x="221"/>
        <item x="134"/>
        <item x="82"/>
        <item x="91"/>
        <item x="263"/>
        <item x="45"/>
        <item x="155"/>
        <item x="11"/>
        <item x="255"/>
        <item x="102"/>
        <item x="77"/>
        <item x="198"/>
        <item x="67"/>
        <item x="179"/>
        <item x="123"/>
        <item x="234"/>
        <item x="37"/>
        <item x="157"/>
        <item x="200"/>
        <item x="152"/>
        <item x="178"/>
        <item x="201"/>
        <item x="285"/>
        <item x="162"/>
        <item x="267"/>
        <item x="50"/>
        <item x="185"/>
        <item x="168"/>
        <item x="176"/>
        <item x="258"/>
        <item x="1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defaultSubtotal="0"/>
    <pivotField showAll="0" defaultSubtotal="0"/>
    <pivotField showAll="0" defaultSubtotal="0">
      <items count="4">
        <item x="0"/>
        <item x="1"/>
        <item x="2"/>
        <item x="3"/>
      </items>
    </pivotField>
  </pivotFields>
  <rowFields count="1">
    <field x="16"/>
  </rowFields>
  <rowItems count="6">
    <i>
      <x/>
    </i>
    <i>
      <x v="1"/>
    </i>
    <i>
      <x v="2"/>
    </i>
    <i>
      <x v="3"/>
    </i>
    <i>
      <x v="4"/>
    </i>
    <i t="grand">
      <x/>
    </i>
  </rowItems>
  <colItems count="1">
    <i/>
  </colItems>
  <dataFields count="1">
    <dataField name="Count of OrderID" fld="0" subtotal="count" showDataAs="percentOfTotal" baseField="0" baseItem="0" numFmtId="10"/>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 chart="2" format="4">
      <pivotArea type="data" outline="0" fieldPosition="0">
        <references count="2">
          <reference field="4294967294" count="1" selected="0">
            <x v="0"/>
          </reference>
          <reference field="16" count="1" selected="0">
            <x v="2"/>
          </reference>
        </references>
      </pivotArea>
    </chartFormat>
    <chartFormat chart="2" format="5">
      <pivotArea type="data" outline="0" fieldPosition="0">
        <references count="2">
          <reference field="4294967294" count="1" selected="0">
            <x v="0"/>
          </reference>
          <reference field="16" count="1" selected="0">
            <x v="3"/>
          </reference>
        </references>
      </pivotArea>
    </chartFormat>
    <chartFormat chart="2" format="6">
      <pivotArea type="data" outline="0" fieldPosition="0">
        <references count="2">
          <reference field="4294967294" count="1" selected="0">
            <x v="0"/>
          </reference>
          <reference field="16"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6" count="1" selected="0">
            <x v="0"/>
          </reference>
        </references>
      </pivotArea>
    </chartFormat>
    <chartFormat chart="3" format="9">
      <pivotArea type="data" outline="0" fieldPosition="0">
        <references count="2">
          <reference field="4294967294" count="1" selected="0">
            <x v="0"/>
          </reference>
          <reference field="16" count="1" selected="0">
            <x v="1"/>
          </reference>
        </references>
      </pivotArea>
    </chartFormat>
    <chartFormat chart="3" format="10">
      <pivotArea type="data" outline="0" fieldPosition="0">
        <references count="2">
          <reference field="4294967294" count="1" selected="0">
            <x v="0"/>
          </reference>
          <reference field="16" count="1" selected="0">
            <x v="2"/>
          </reference>
        </references>
      </pivotArea>
    </chartFormat>
    <chartFormat chart="3" format="11">
      <pivotArea type="data" outline="0" fieldPosition="0">
        <references count="2">
          <reference field="4294967294" count="1" selected="0">
            <x v="0"/>
          </reference>
          <reference field="16" count="1" selected="0">
            <x v="3"/>
          </reference>
        </references>
      </pivotArea>
    </chartFormat>
    <chartFormat chart="3"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45FF5A-0E45-4A68-A98D-03C07A1FB081}" name="PivotTable7"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1:I26" firstHeaderRow="1" firstDataRow="1" firstDataCol="1"/>
  <pivotFields count="21">
    <pivotField dataField="1" showAll="0"/>
    <pivotField numFmtId="14" showAll="0">
      <items count="287">
        <item x="5"/>
        <item x="61"/>
        <item x="231"/>
        <item x="237"/>
        <item x="97"/>
        <item x="183"/>
        <item x="266"/>
        <item x="21"/>
        <item x="101"/>
        <item x="136"/>
        <item x="25"/>
        <item x="41"/>
        <item x="124"/>
        <item x="62"/>
        <item x="251"/>
        <item x="74"/>
        <item x="217"/>
        <item x="68"/>
        <item x="70"/>
        <item x="36"/>
        <item x="194"/>
        <item x="284"/>
        <item x="214"/>
        <item x="264"/>
        <item x="229"/>
        <item x="177"/>
        <item x="158"/>
        <item x="245"/>
        <item x="131"/>
        <item x="20"/>
        <item x="164"/>
        <item x="196"/>
        <item x="282"/>
        <item x="65"/>
        <item x="10"/>
        <item x="55"/>
        <item x="195"/>
        <item x="250"/>
        <item x="241"/>
        <item x="167"/>
        <item x="283"/>
        <item x="277"/>
        <item x="105"/>
        <item x="69"/>
        <item x="204"/>
        <item x="128"/>
        <item x="216"/>
        <item x="261"/>
        <item x="59"/>
        <item x="88"/>
        <item x="171"/>
        <item x="192"/>
        <item x="186"/>
        <item x="207"/>
        <item x="279"/>
        <item x="111"/>
        <item x="219"/>
        <item x="242"/>
        <item x="281"/>
        <item x="64"/>
        <item x="75"/>
        <item x="112"/>
        <item x="260"/>
        <item x="110"/>
        <item x="66"/>
        <item x="52"/>
        <item x="146"/>
        <item x="78"/>
        <item x="106"/>
        <item x="213"/>
        <item x="280"/>
        <item x="180"/>
        <item x="222"/>
        <item x="253"/>
        <item x="166"/>
        <item x="96"/>
        <item x="271"/>
        <item x="94"/>
        <item x="125"/>
        <item x="243"/>
        <item x="265"/>
        <item x="129"/>
        <item x="81"/>
        <item x="89"/>
        <item x="60"/>
        <item x="139"/>
        <item x="239"/>
        <item x="235"/>
        <item x="172"/>
        <item x="278"/>
        <item x="161"/>
        <item x="4"/>
        <item x="95"/>
        <item x="39"/>
        <item x="71"/>
        <item x="188"/>
        <item x="49"/>
        <item x="159"/>
        <item x="103"/>
        <item x="83"/>
        <item x="170"/>
        <item x="203"/>
        <item x="154"/>
        <item x="9"/>
        <item x="31"/>
        <item x="189"/>
        <item x="244"/>
        <item x="118"/>
        <item x="259"/>
        <item x="42"/>
        <item x="141"/>
        <item x="23"/>
        <item x="143"/>
        <item x="46"/>
        <item x="30"/>
        <item x="202"/>
        <item x="57"/>
        <item x="51"/>
        <item x="127"/>
        <item x="18"/>
        <item x="232"/>
        <item x="63"/>
        <item x="100"/>
        <item x="174"/>
        <item x="79"/>
        <item x="272"/>
        <item x="44"/>
        <item x="35"/>
        <item x="269"/>
        <item x="262"/>
        <item x="224"/>
        <item x="16"/>
        <item x="13"/>
        <item x="119"/>
        <item x="48"/>
        <item x="165"/>
        <item x="246"/>
        <item x="227"/>
        <item x="107"/>
        <item x="27"/>
        <item x="121"/>
        <item x="268"/>
        <item x="228"/>
        <item x="137"/>
        <item x="17"/>
        <item x="43"/>
        <item x="40"/>
        <item x="215"/>
        <item x="84"/>
        <item x="142"/>
        <item x="233"/>
        <item x="92"/>
        <item x="182"/>
        <item x="149"/>
        <item x="199"/>
        <item x="3"/>
        <item x="22"/>
        <item x="218"/>
        <item x="2"/>
        <item x="144"/>
        <item x="56"/>
        <item x="276"/>
        <item x="104"/>
        <item x="151"/>
        <item x="33"/>
        <item x="133"/>
        <item x="148"/>
        <item x="197"/>
        <item x="14"/>
        <item x="206"/>
        <item x="254"/>
        <item x="6"/>
        <item x="156"/>
        <item x="93"/>
        <item x="145"/>
        <item x="73"/>
        <item x="47"/>
        <item x="117"/>
        <item x="8"/>
        <item x="24"/>
        <item x="28"/>
        <item x="223"/>
        <item x="72"/>
        <item x="225"/>
        <item x="153"/>
        <item x="187"/>
        <item x="212"/>
        <item x="120"/>
        <item x="115"/>
        <item x="238"/>
        <item x="169"/>
        <item x="109"/>
        <item x="135"/>
        <item x="32"/>
        <item x="34"/>
        <item x="86"/>
        <item x="226"/>
        <item x="274"/>
        <item x="87"/>
        <item x="209"/>
        <item x="163"/>
        <item x="275"/>
        <item x="211"/>
        <item x="147"/>
        <item x="90"/>
        <item x="252"/>
        <item x="236"/>
        <item x="80"/>
        <item x="256"/>
        <item x="132"/>
        <item x="230"/>
        <item x="19"/>
        <item x="184"/>
        <item x="138"/>
        <item x="249"/>
        <item x="247"/>
        <item x="140"/>
        <item x="12"/>
        <item x="193"/>
        <item x="26"/>
        <item x="58"/>
        <item x="191"/>
        <item x="1"/>
        <item x="130"/>
        <item x="38"/>
        <item x="0"/>
        <item x="273"/>
        <item x="190"/>
        <item x="175"/>
        <item x="98"/>
        <item x="173"/>
        <item x="114"/>
        <item x="15"/>
        <item x="85"/>
        <item x="181"/>
        <item x="208"/>
        <item x="160"/>
        <item x="113"/>
        <item x="116"/>
        <item x="99"/>
        <item x="150"/>
        <item x="76"/>
        <item x="257"/>
        <item x="205"/>
        <item x="210"/>
        <item x="108"/>
        <item x="29"/>
        <item x="240"/>
        <item x="248"/>
        <item x="7"/>
        <item x="220"/>
        <item x="270"/>
        <item x="122"/>
        <item x="54"/>
        <item x="53"/>
        <item x="221"/>
        <item x="134"/>
        <item x="82"/>
        <item x="91"/>
        <item x="263"/>
        <item x="45"/>
        <item x="155"/>
        <item x="11"/>
        <item x="255"/>
        <item x="102"/>
        <item x="77"/>
        <item x="198"/>
        <item x="67"/>
        <item x="179"/>
        <item x="123"/>
        <item x="234"/>
        <item x="37"/>
        <item x="157"/>
        <item x="200"/>
        <item x="152"/>
        <item x="178"/>
        <item x="201"/>
        <item x="285"/>
        <item x="162"/>
        <item x="267"/>
        <item x="50"/>
        <item x="185"/>
        <item x="168"/>
        <item x="176"/>
        <item x="258"/>
        <item x="126"/>
        <item t="default"/>
      </items>
    </pivotField>
    <pivotField showAll="0"/>
    <pivotField showAll="0"/>
    <pivotField showAll="0"/>
    <pivotField showAll="0"/>
    <pivotField showAll="0"/>
    <pivotField axis="axisRow" showAll="0">
      <items count="6">
        <item x="0"/>
        <item x="1"/>
        <item x="4"/>
        <item x="3"/>
        <item h="1" x="2"/>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7"/>
  </rowFields>
  <rowItems count="5">
    <i>
      <x/>
    </i>
    <i>
      <x v="1"/>
    </i>
    <i>
      <x v="2"/>
    </i>
    <i>
      <x v="3"/>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BBD3BF-F663-412B-B374-5B459EB1D050}" name="PivotTable2"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3:F9" firstHeaderRow="1" firstDataRow="1" firstDataCol="1"/>
  <pivotFields count="21">
    <pivotField showAll="0"/>
    <pivotField numFmtId="14" showAll="0">
      <items count="287">
        <item x="5"/>
        <item x="61"/>
        <item x="231"/>
        <item x="237"/>
        <item x="97"/>
        <item x="183"/>
        <item x="266"/>
        <item x="21"/>
        <item x="101"/>
        <item x="136"/>
        <item x="25"/>
        <item x="41"/>
        <item x="124"/>
        <item x="62"/>
        <item x="251"/>
        <item x="74"/>
        <item x="217"/>
        <item x="68"/>
        <item x="70"/>
        <item x="36"/>
        <item x="194"/>
        <item x="284"/>
        <item x="214"/>
        <item x="264"/>
        <item x="229"/>
        <item x="177"/>
        <item x="158"/>
        <item x="245"/>
        <item x="131"/>
        <item x="20"/>
        <item x="164"/>
        <item x="196"/>
        <item x="282"/>
        <item x="65"/>
        <item x="10"/>
        <item x="55"/>
        <item x="195"/>
        <item x="250"/>
        <item x="241"/>
        <item x="167"/>
        <item x="283"/>
        <item x="277"/>
        <item x="105"/>
        <item x="69"/>
        <item x="204"/>
        <item x="128"/>
        <item x="216"/>
        <item x="261"/>
        <item x="59"/>
        <item x="88"/>
        <item x="171"/>
        <item x="192"/>
        <item x="186"/>
        <item x="207"/>
        <item x="279"/>
        <item x="111"/>
        <item x="219"/>
        <item x="242"/>
        <item x="281"/>
        <item x="64"/>
        <item x="75"/>
        <item x="112"/>
        <item x="260"/>
        <item x="110"/>
        <item x="66"/>
        <item x="52"/>
        <item x="146"/>
        <item x="78"/>
        <item x="106"/>
        <item x="213"/>
        <item x="280"/>
        <item x="180"/>
        <item x="222"/>
        <item x="253"/>
        <item x="166"/>
        <item x="96"/>
        <item x="271"/>
        <item x="94"/>
        <item x="125"/>
        <item x="243"/>
        <item x="265"/>
        <item x="129"/>
        <item x="81"/>
        <item x="89"/>
        <item x="60"/>
        <item x="139"/>
        <item x="239"/>
        <item x="235"/>
        <item x="172"/>
        <item x="278"/>
        <item x="161"/>
        <item x="4"/>
        <item x="95"/>
        <item x="39"/>
        <item x="71"/>
        <item x="188"/>
        <item x="49"/>
        <item x="159"/>
        <item x="103"/>
        <item x="83"/>
        <item x="170"/>
        <item x="203"/>
        <item x="154"/>
        <item x="9"/>
        <item x="31"/>
        <item x="189"/>
        <item x="244"/>
        <item x="118"/>
        <item x="259"/>
        <item x="42"/>
        <item x="141"/>
        <item x="23"/>
        <item x="143"/>
        <item x="46"/>
        <item x="30"/>
        <item x="202"/>
        <item x="57"/>
        <item x="51"/>
        <item x="127"/>
        <item x="18"/>
        <item x="232"/>
        <item x="63"/>
        <item x="100"/>
        <item x="174"/>
        <item x="79"/>
        <item x="272"/>
        <item x="44"/>
        <item x="35"/>
        <item x="269"/>
        <item x="262"/>
        <item x="224"/>
        <item x="16"/>
        <item x="13"/>
        <item x="119"/>
        <item x="48"/>
        <item x="165"/>
        <item x="246"/>
        <item x="227"/>
        <item x="107"/>
        <item x="27"/>
        <item x="121"/>
        <item x="268"/>
        <item x="228"/>
        <item x="137"/>
        <item x="17"/>
        <item x="43"/>
        <item x="40"/>
        <item x="215"/>
        <item x="84"/>
        <item x="142"/>
        <item x="233"/>
        <item x="92"/>
        <item x="182"/>
        <item x="149"/>
        <item x="199"/>
        <item x="3"/>
        <item x="22"/>
        <item x="218"/>
        <item x="2"/>
        <item x="144"/>
        <item x="56"/>
        <item x="276"/>
        <item x="104"/>
        <item x="151"/>
        <item x="33"/>
        <item x="133"/>
        <item x="148"/>
        <item x="197"/>
        <item x="14"/>
        <item x="206"/>
        <item x="254"/>
        <item x="6"/>
        <item x="156"/>
        <item x="93"/>
        <item x="145"/>
        <item x="73"/>
        <item x="47"/>
        <item x="117"/>
        <item x="8"/>
        <item x="24"/>
        <item x="28"/>
        <item x="223"/>
        <item x="72"/>
        <item x="225"/>
        <item x="153"/>
        <item x="187"/>
        <item x="212"/>
        <item x="120"/>
        <item x="115"/>
        <item x="238"/>
        <item x="169"/>
        <item x="109"/>
        <item x="135"/>
        <item x="32"/>
        <item x="34"/>
        <item x="86"/>
        <item x="226"/>
        <item x="274"/>
        <item x="87"/>
        <item x="209"/>
        <item x="163"/>
        <item x="275"/>
        <item x="211"/>
        <item x="147"/>
        <item x="90"/>
        <item x="252"/>
        <item x="236"/>
        <item x="80"/>
        <item x="256"/>
        <item x="132"/>
        <item x="230"/>
        <item x="19"/>
        <item x="184"/>
        <item x="138"/>
        <item x="249"/>
        <item x="247"/>
        <item x="140"/>
        <item x="12"/>
        <item x="193"/>
        <item x="26"/>
        <item x="58"/>
        <item x="191"/>
        <item x="1"/>
        <item x="130"/>
        <item x="38"/>
        <item x="0"/>
        <item x="273"/>
        <item x="190"/>
        <item x="175"/>
        <item x="98"/>
        <item x="173"/>
        <item x="114"/>
        <item x="15"/>
        <item x="85"/>
        <item x="181"/>
        <item x="208"/>
        <item x="160"/>
        <item x="113"/>
        <item x="116"/>
        <item x="99"/>
        <item x="150"/>
        <item x="76"/>
        <item x="257"/>
        <item x="205"/>
        <item x="210"/>
        <item x="108"/>
        <item x="29"/>
        <item x="240"/>
        <item x="248"/>
        <item x="7"/>
        <item x="220"/>
        <item x="270"/>
        <item x="122"/>
        <item x="54"/>
        <item x="53"/>
        <item x="221"/>
        <item x="134"/>
        <item x="82"/>
        <item x="91"/>
        <item x="263"/>
        <item x="45"/>
        <item x="155"/>
        <item x="11"/>
        <item x="255"/>
        <item x="102"/>
        <item x="77"/>
        <item x="198"/>
        <item x="67"/>
        <item x="179"/>
        <item x="123"/>
        <item x="234"/>
        <item x="37"/>
        <item x="157"/>
        <item x="200"/>
        <item x="152"/>
        <item x="178"/>
        <item x="201"/>
        <item x="285"/>
        <item x="162"/>
        <item x="267"/>
        <item x="50"/>
        <item x="185"/>
        <item x="168"/>
        <item x="176"/>
        <item x="258"/>
        <item x="126"/>
        <item t="default"/>
      </items>
    </pivotField>
    <pivotField showAll="0"/>
    <pivotField showAll="0"/>
    <pivotField showAll="0"/>
    <pivotField showAll="0"/>
    <pivotField showAll="0"/>
    <pivotField showAll="0"/>
    <pivotField axis="axisRow" showAll="0">
      <items count="9">
        <item h="1" x="7"/>
        <item h="1" x="5"/>
        <item x="4"/>
        <item x="6"/>
        <item x="2"/>
        <item x="1"/>
        <item x="0"/>
        <item h="1" x="3"/>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6">
    <i>
      <x v="2"/>
    </i>
    <i>
      <x v="3"/>
    </i>
    <i>
      <x v="4"/>
    </i>
    <i>
      <x v="5"/>
    </i>
    <i>
      <x v="6"/>
    </i>
    <i t="grand">
      <x/>
    </i>
  </rowItems>
  <colItems count="1">
    <i/>
  </colItems>
  <dataFields count="1">
    <dataField name="Sum of Revenue" fld="14" showDataAs="percentOfTotal" baseField="0" baseItem="0" numFmtId="10"/>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8" count="1" selected="0">
            <x v="0"/>
          </reference>
        </references>
      </pivotArea>
    </chartFormat>
    <chartFormat chart="3" format="12">
      <pivotArea type="data" outline="0" fieldPosition="0">
        <references count="2">
          <reference field="4294967294" count="1" selected="0">
            <x v="0"/>
          </reference>
          <reference field="8" count="1" selected="0">
            <x v="1"/>
          </reference>
        </references>
      </pivotArea>
    </chartFormat>
    <chartFormat chart="3" format="13">
      <pivotArea type="data" outline="0" fieldPosition="0">
        <references count="2">
          <reference field="4294967294" count="1" selected="0">
            <x v="0"/>
          </reference>
          <reference field="8" count="1" selected="0">
            <x v="2"/>
          </reference>
        </references>
      </pivotArea>
    </chartFormat>
    <chartFormat chart="3" format="14">
      <pivotArea type="data" outline="0" fieldPosition="0">
        <references count="2">
          <reference field="4294967294" count="1" selected="0">
            <x v="0"/>
          </reference>
          <reference field="8" count="1" selected="0">
            <x v="3"/>
          </reference>
        </references>
      </pivotArea>
    </chartFormat>
    <chartFormat chart="3" format="15">
      <pivotArea type="data" outline="0" fieldPosition="0">
        <references count="2">
          <reference field="4294967294" count="1" selected="0">
            <x v="0"/>
          </reference>
          <reference field="8" count="1" selected="0">
            <x v="4"/>
          </reference>
        </references>
      </pivotArea>
    </chartFormat>
    <chartFormat chart="3" format="16">
      <pivotArea type="data" outline="0" fieldPosition="0">
        <references count="2">
          <reference field="4294967294" count="1" selected="0">
            <x v="0"/>
          </reference>
          <reference field="8" count="1" selected="0">
            <x v="5"/>
          </reference>
        </references>
      </pivotArea>
    </chartFormat>
    <chartFormat chart="3" format="17">
      <pivotArea type="data" outline="0" fieldPosition="0">
        <references count="2">
          <reference field="4294967294" count="1" selected="0">
            <x v="0"/>
          </reference>
          <reference field="8" count="1" selected="0">
            <x v="6"/>
          </reference>
        </references>
      </pivotArea>
    </chartFormat>
    <chartFormat chart="3" format="18">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5A8F72-6CB9-4193-BD88-A46F391A0C85}" name="PivotTable6"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1:F32" firstHeaderRow="1" firstDataRow="1" firstDataCol="1"/>
  <pivotFields count="21">
    <pivotField showAll="0"/>
    <pivotField numFmtId="14" showAll="0">
      <items count="287">
        <item x="5"/>
        <item x="61"/>
        <item x="231"/>
        <item x="237"/>
        <item x="97"/>
        <item x="183"/>
        <item x="266"/>
        <item x="21"/>
        <item x="101"/>
        <item x="136"/>
        <item x="25"/>
        <item x="41"/>
        <item x="124"/>
        <item x="62"/>
        <item x="251"/>
        <item x="74"/>
        <item x="217"/>
        <item x="68"/>
        <item x="70"/>
        <item x="36"/>
        <item x="194"/>
        <item x="284"/>
        <item x="214"/>
        <item x="264"/>
        <item x="229"/>
        <item x="177"/>
        <item x="158"/>
        <item x="245"/>
        <item x="131"/>
        <item x="20"/>
        <item x="164"/>
        <item x="196"/>
        <item x="282"/>
        <item x="65"/>
        <item x="10"/>
        <item x="55"/>
        <item x="195"/>
        <item x="250"/>
        <item x="241"/>
        <item x="167"/>
        <item x="283"/>
        <item x="277"/>
        <item x="105"/>
        <item x="69"/>
        <item x="204"/>
        <item x="128"/>
        <item x="216"/>
        <item x="261"/>
        <item x="59"/>
        <item x="88"/>
        <item x="171"/>
        <item x="192"/>
        <item x="186"/>
        <item x="207"/>
        <item x="279"/>
        <item x="111"/>
        <item x="219"/>
        <item x="242"/>
        <item x="281"/>
        <item x="64"/>
        <item x="75"/>
        <item x="112"/>
        <item x="260"/>
        <item x="110"/>
        <item x="66"/>
        <item x="52"/>
        <item x="146"/>
        <item x="78"/>
        <item x="106"/>
        <item x="213"/>
        <item x="280"/>
        <item x="180"/>
        <item x="222"/>
        <item x="253"/>
        <item x="166"/>
        <item x="96"/>
        <item x="271"/>
        <item x="94"/>
        <item x="125"/>
        <item x="243"/>
        <item x="265"/>
        <item x="129"/>
        <item x="81"/>
        <item x="89"/>
        <item x="60"/>
        <item x="139"/>
        <item x="239"/>
        <item x="235"/>
        <item x="172"/>
        <item x="278"/>
        <item x="161"/>
        <item x="4"/>
        <item x="95"/>
        <item x="39"/>
        <item x="71"/>
        <item x="188"/>
        <item x="49"/>
        <item x="159"/>
        <item x="103"/>
        <item x="83"/>
        <item x="170"/>
        <item x="203"/>
        <item x="154"/>
        <item x="9"/>
        <item x="31"/>
        <item x="189"/>
        <item x="244"/>
        <item x="118"/>
        <item x="259"/>
        <item x="42"/>
        <item x="141"/>
        <item x="23"/>
        <item x="143"/>
        <item x="46"/>
        <item x="30"/>
        <item x="202"/>
        <item x="57"/>
        <item x="51"/>
        <item x="127"/>
        <item x="18"/>
        <item x="232"/>
        <item x="63"/>
        <item x="100"/>
        <item x="174"/>
        <item x="79"/>
        <item x="272"/>
        <item x="44"/>
        <item x="35"/>
        <item x="269"/>
        <item x="262"/>
        <item x="224"/>
        <item x="16"/>
        <item x="13"/>
        <item x="119"/>
        <item x="48"/>
        <item x="165"/>
        <item x="246"/>
        <item x="227"/>
        <item x="107"/>
        <item x="27"/>
        <item x="121"/>
        <item x="268"/>
        <item x="228"/>
        <item x="137"/>
        <item x="17"/>
        <item x="43"/>
        <item x="40"/>
        <item x="215"/>
        <item x="84"/>
        <item x="142"/>
        <item x="233"/>
        <item x="92"/>
        <item x="182"/>
        <item x="149"/>
        <item x="199"/>
        <item x="3"/>
        <item x="22"/>
        <item x="218"/>
        <item x="2"/>
        <item x="144"/>
        <item x="56"/>
        <item x="276"/>
        <item x="104"/>
        <item x="151"/>
        <item x="33"/>
        <item x="133"/>
        <item x="148"/>
        <item x="197"/>
        <item x="14"/>
        <item x="206"/>
        <item x="254"/>
        <item x="6"/>
        <item x="156"/>
        <item x="93"/>
        <item x="145"/>
        <item x="73"/>
        <item x="47"/>
        <item x="117"/>
        <item x="8"/>
        <item x="24"/>
        <item x="28"/>
        <item x="223"/>
        <item x="72"/>
        <item x="225"/>
        <item x="153"/>
        <item x="187"/>
        <item x="212"/>
        <item x="120"/>
        <item x="115"/>
        <item x="238"/>
        <item x="169"/>
        <item x="109"/>
        <item x="135"/>
        <item x="32"/>
        <item x="34"/>
        <item x="86"/>
        <item x="226"/>
        <item x="274"/>
        <item x="87"/>
        <item x="209"/>
        <item x="163"/>
        <item x="275"/>
        <item x="211"/>
        <item x="147"/>
        <item x="90"/>
        <item x="252"/>
        <item x="236"/>
        <item x="80"/>
        <item x="256"/>
        <item x="132"/>
        <item x="230"/>
        <item x="19"/>
        <item x="184"/>
        <item x="138"/>
        <item x="249"/>
        <item x="247"/>
        <item x="140"/>
        <item x="12"/>
        <item x="193"/>
        <item x="26"/>
        <item x="58"/>
        <item x="191"/>
        <item x="1"/>
        <item x="130"/>
        <item x="38"/>
        <item x="0"/>
        <item x="273"/>
        <item x="190"/>
        <item x="175"/>
        <item x="98"/>
        <item x="173"/>
        <item x="114"/>
        <item x="15"/>
        <item x="85"/>
        <item x="181"/>
        <item x="208"/>
        <item x="160"/>
        <item x="113"/>
        <item x="116"/>
        <item x="99"/>
        <item x="150"/>
        <item x="76"/>
        <item x="257"/>
        <item x="205"/>
        <item x="210"/>
        <item x="108"/>
        <item x="29"/>
        <item x="240"/>
        <item x="248"/>
        <item x="7"/>
        <item x="220"/>
        <item x="270"/>
        <item x="122"/>
        <item x="54"/>
        <item x="53"/>
        <item x="221"/>
        <item x="134"/>
        <item x="82"/>
        <item x="91"/>
        <item x="263"/>
        <item x="45"/>
        <item x="155"/>
        <item x="11"/>
        <item x="255"/>
        <item x="102"/>
        <item x="77"/>
        <item x="198"/>
        <item x="67"/>
        <item x="179"/>
        <item x="123"/>
        <item x="234"/>
        <item x="37"/>
        <item x="157"/>
        <item x="200"/>
        <item x="152"/>
        <item x="178"/>
        <item x="201"/>
        <item x="285"/>
        <item x="162"/>
        <item x="267"/>
        <item x="50"/>
        <item x="185"/>
        <item x="168"/>
        <item x="176"/>
        <item x="258"/>
        <item x="126"/>
        <item t="default"/>
      </items>
    </pivotField>
    <pivotField showAll="0"/>
    <pivotField showAll="0"/>
    <pivotField showAll="0"/>
    <pivotField axis="axisRow" showAll="0" measureFilter="1" sortType="descending">
      <items count="49">
        <item x="17"/>
        <item x="12"/>
        <item x="20"/>
        <item x="26"/>
        <item x="2"/>
        <item x="42"/>
        <item x="4"/>
        <item x="43"/>
        <item x="27"/>
        <item x="9"/>
        <item x="3"/>
        <item x="47"/>
        <item x="21"/>
        <item x="37"/>
        <item x="38"/>
        <item x="5"/>
        <item x="11"/>
        <item x="13"/>
        <item x="0"/>
        <item x="18"/>
        <item x="23"/>
        <item x="19"/>
        <item x="44"/>
        <item x="14"/>
        <item x="7"/>
        <item x="28"/>
        <item x="1"/>
        <item x="25"/>
        <item x="31"/>
        <item x="35"/>
        <item x="32"/>
        <item x="24"/>
        <item x="45"/>
        <item x="29"/>
        <item x="46"/>
        <item x="8"/>
        <item x="34"/>
        <item x="30"/>
        <item x="40"/>
        <item x="6"/>
        <item x="33"/>
        <item x="22"/>
        <item x="39"/>
        <item x="10"/>
        <item x="36"/>
        <item x="16"/>
        <item x="15"/>
        <item x="4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11">
    <i>
      <x v="43"/>
    </i>
    <i>
      <x v="26"/>
    </i>
    <i>
      <x v="18"/>
    </i>
    <i>
      <x v="22"/>
    </i>
    <i>
      <x/>
    </i>
    <i>
      <x v="33"/>
    </i>
    <i>
      <x v="21"/>
    </i>
    <i>
      <x v="20"/>
    </i>
    <i>
      <x v="24"/>
    </i>
    <i>
      <x v="23"/>
    </i>
    <i t="grand">
      <x/>
    </i>
  </rowItems>
  <colItems count="1">
    <i/>
  </colItems>
  <dataFields count="1">
    <dataField name="Sum of Revenue" fld="14" baseField="0" baseItem="0" numFmtId="2"/>
  </dataFields>
  <formats count="1">
    <format dxfId="2">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3"/>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BB97BC-E3D6-43AF-AE85-F1B26A295355}" sourceName="Category">
  <pivotTables>
    <pivotTable tabId="13" name="PivotTable2"/>
  </pivotTables>
  <data>
    <tabular pivotCacheId="1296707108">
      <items count="8">
        <i x="7"/>
        <i x="5"/>
        <i x="4" s="1"/>
        <i x="6" s="1"/>
        <i x="2" s="1"/>
        <i x="1" s="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71D712F5-500E-4F7F-9D0A-89DBC9B8253A}" sourceName="Employee Name">
  <pivotTables>
    <pivotTable tabId="13" name="PivotTable7"/>
  </pivotTables>
  <data>
    <tabular pivotCacheId="1296707108">
      <items count="5">
        <i x="0" s="1"/>
        <i x="1" s="1"/>
        <i x="4" s="1"/>
        <i x="3"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BD291B-F967-4145-8516-D94BA26B4D83}" sourceName="Region">
  <pivotTables>
    <pivotTable tabId="13" name="PivotTable3"/>
  </pivotTables>
  <data>
    <tabular pivotCacheId="1296707108">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7040325-E0BD-489B-935B-09EA74CD53D9}" sourceName="PaymentMethod">
  <pivotTables>
    <pivotTable tabId="13" name="PivotTable4"/>
  </pivotTables>
  <data>
    <tabular pivotCacheId="129670710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A590B7-E83B-4011-A99F-A1E536F3E98E}" cache="Slicer_Category" caption="Category" startItem="1" style="Slicer Style 2" rowHeight="234950"/>
  <slicer name="Employee Name" xr10:uid="{33FABA98-BD29-4A7A-BEE4-152468608C0D}" cache="Slicer_Employee_Name" caption="Employee Name" style="Slicer Style 2" rowHeight="234950"/>
  <slicer name="Region" xr10:uid="{8EA4A32B-60C0-4C84-A1A8-1CDEBFEE41A0}" cache="Slicer_Region" caption="Region" style="Slicer Style 2" rowHeight="234950"/>
  <slicer name="PaymentMethod" xr10:uid="{F33604A3-BDB2-46C3-BB50-79C6C30B811C}" cache="Slicer_PaymentMethod" caption="PaymentMethod"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C3A931-0513-4A29-AF68-FAABF235B5F5}" name="OrdersTable" displayName="OrdersTable" ref="A1:R405" totalsRowShown="0" headerRowDxfId="33" dataDxfId="32">
  <autoFilter ref="A1:R405" xr:uid="{473EE246-D312-40BE-9DDA-67B283A5E2CE}"/>
  <tableColumns count="18">
    <tableColumn id="1" xr3:uid="{99A6671D-0BB3-4CBF-8A02-5DDC2A45E989}" name="OrderID" dataDxfId="31"/>
    <tableColumn id="2" xr3:uid="{DE6C77AF-062C-4ABC-A27A-EC93E716A4A5}" name="OrderDate" dataDxfId="30"/>
    <tableColumn id="3" xr3:uid="{E9EE057F-97B2-47C9-BE58-B9920D0EE1E5}" name="CustomerID" dataDxfId="29"/>
    <tableColumn id="4" xr3:uid="{5EDF9992-C990-4168-8DB8-9877B735C69A}" name="Customer Name" dataDxfId="28"/>
    <tableColumn id="5" xr3:uid="{5CC7C2BA-2199-499C-9D5E-8223B31D42A1}" name="ProductID" dataDxfId="27"/>
    <tableColumn id="6" xr3:uid="{8C73D9B2-46E6-4E81-A224-2037DA1A1758}" name="Product Name" dataDxfId="26"/>
    <tableColumn id="7" xr3:uid="{28779427-71FC-41A9-BC22-F45471B0DB3E}" name="EmployeeID" dataDxfId="25"/>
    <tableColumn id="8" xr3:uid="{1506EBD8-88B2-488E-AE64-2E08649DFD24}" name="Employee Name" dataDxfId="24">
      <calculatedColumnFormula>VLOOKUP(G2,Employees!A:E,2,FALSE)</calculatedColumnFormula>
    </tableColumn>
    <tableColumn id="9" xr3:uid="{58689645-8AFC-4E76-AEAC-B4D3F2335D60}" name="Category" dataDxfId="23">
      <calculatedColumnFormula>VLOOKUP(E2,Products!A:F,3,FALSE)</calculatedColumnFormula>
    </tableColumn>
    <tableColumn id="10" xr3:uid="{208B7C7C-B640-4B61-91F6-3278E6C5C4C6}" name="Region" dataDxfId="22"/>
    <tableColumn id="11" xr3:uid="{80533BD7-B44E-45C3-BF5B-099E4D61C02C}" name="Selling Price" dataDxfId="21">
      <calculatedColumnFormula>VLOOKUP(E2,Products!A:F,5,FALSE)</calculatedColumnFormula>
    </tableColumn>
    <tableColumn id="12" xr3:uid="{31B6C54E-D90A-4AD1-8468-C13BA337FDC9}" name="Quantity" dataDxfId="20"/>
    <tableColumn id="13" xr3:uid="{D30BFF08-DD9F-45C4-9BEE-FA86DC7ACE4B}" name="Discount" dataDxfId="19"/>
    <tableColumn id="14" xr3:uid="{136D64AE-ECEF-497A-8017-937410163C39}" name="Total amount" dataDxfId="18">
      <calculatedColumnFormula>K2*L2</calculatedColumnFormula>
    </tableColumn>
    <tableColumn id="15" xr3:uid="{8B654FB9-D2CD-4B03-879E-E02FCAD12E44}" name="Revenue" dataDxfId="17">
      <calculatedColumnFormula>N2*(1-M2)</calculatedColumnFormula>
    </tableColumn>
    <tableColumn id="16" xr3:uid="{3847E71D-E0BF-4540-BE92-00CD6AC2D392}" name="ShipDate" dataDxfId="16"/>
    <tableColumn id="17" xr3:uid="{FFD80B6A-0B8E-4312-9070-AC465D5DBC22}" name="PaymentMethod" dataDxfId="15"/>
    <tableColumn id="18" xr3:uid="{BC06BF6B-8FD6-496C-ACAD-2FDE080C899D}" name="Data Issue">
      <calculatedColumnFormula>IF(L2=0,"Missing Quantity","")</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8364ED-8D54-4118-A850-2BB05BE3E023}" name="Table2" displayName="Table2" ref="A1:Q104" totalsRowShown="0">
  <autoFilter ref="A1:Q104" xr:uid="{B1032F53-EAAF-4D63-BCC2-937594F65468}"/>
  <tableColumns count="17">
    <tableColumn id="1" xr3:uid="{21931648-B8D3-4AD3-A4D3-791395AAB659}" name="OrderID"/>
    <tableColumn id="2" xr3:uid="{40A1D432-FF87-4FF1-A90B-9C189DA47A57}" name="OrderDate"/>
    <tableColumn id="3" xr3:uid="{3E19B70F-AE5B-45CC-BCE8-EB5AE4E89494}" name="CustomerID"/>
    <tableColumn id="4" xr3:uid="{D99DAB08-C290-4612-B00E-103098E1B1BA}" name="Customer Name"/>
    <tableColumn id="5" xr3:uid="{57C8BA2E-EDBE-4EFB-923E-65C006D18BB5}" name="ProductID"/>
    <tableColumn id="6" xr3:uid="{E555F6BC-9E84-418F-8754-870A98494166}" name="Product Name"/>
    <tableColumn id="7" xr3:uid="{B605996D-F062-434D-908C-C50CDB0D841C}" name="EmployeeID"/>
    <tableColumn id="8" xr3:uid="{C19ACAE5-0901-4D8E-A47C-16C3B524FB31}" name="Employee Name"/>
    <tableColumn id="9" xr3:uid="{6D9EC0E6-6762-47A9-B267-EE3366F2A191}" name="Region"/>
    <tableColumn id="10" xr3:uid="{6D07172F-E180-4D1A-A0F8-A0EBC52830A2}" name="Selling Price"/>
    <tableColumn id="11" xr3:uid="{A263F104-49B1-4432-88BA-986E88F6A6B3}" name="Quantity"/>
    <tableColumn id="12" xr3:uid="{0DB40301-8408-478B-BB66-878228410CE1}" name="Discount"/>
    <tableColumn id="13" xr3:uid="{86300BFA-7DE4-4D49-97AA-768105BC9470}" name="Total amount"/>
    <tableColumn id="14" xr3:uid="{F40A756B-1A14-487C-959E-257A3F6A01C0}" name="Revenue"/>
    <tableColumn id="15" xr3:uid="{A8166D81-C68B-4605-B780-18F70FB6EC34}" name="ShipDate"/>
    <tableColumn id="16" xr3:uid="{EED0B218-ABCD-4B19-8871-D0786E3F124C}" name="PaymentMethod"/>
    <tableColumn id="17" xr3:uid="{2E3C1DBB-EA67-4E3E-8EC0-010A690C8CED}" name="Data Issu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978EB-49E9-447F-B309-57CE0CE2F862}" name="Table1" displayName="Table1" ref="A1:R13" totalsRowShown="0">
  <autoFilter ref="A1:R13" xr:uid="{1510B790-E173-4CF3-90B5-6367A8F33F3A}"/>
  <tableColumns count="18">
    <tableColumn id="1" xr3:uid="{ED7A44F0-CA48-4777-A0AD-419EDD613200}" name="OrderID"/>
    <tableColumn id="2" xr3:uid="{617CD5D1-9F1F-4DC5-9F41-CA0EDBD5C75A}" name="OrderDate" dataDxfId="14"/>
    <tableColumn id="3" xr3:uid="{EF79AE5C-55DC-4B68-B8EF-33E9D2147B85}" name="CustomerID"/>
    <tableColumn id="4" xr3:uid="{C22D7E8F-B5E1-4AD8-8321-F8CE59DDBBF7}" name="Customer Name"/>
    <tableColumn id="5" xr3:uid="{5FA5B7EE-ABA7-41B6-BCA0-D3E06BB101B0}" name="ProductID"/>
    <tableColumn id="6" xr3:uid="{6F2D5155-0024-4092-83AC-F6DE0C04AABC}" name="Product Name"/>
    <tableColumn id="7" xr3:uid="{4703D01C-5ED9-4024-B6CC-A57503905FEE}" name="EmployeeID"/>
    <tableColumn id="8" xr3:uid="{6DEB0D62-B915-4146-9FD3-F23CA3F38E80}" name="Employee Name"/>
    <tableColumn id="9" xr3:uid="{CAFB1FC0-E3CA-4E55-921D-4BEE0F5C91F6}" name="Category"/>
    <tableColumn id="10" xr3:uid="{709F3C32-C6F1-425D-95AE-C4CD6FCC4168}" name="Region"/>
    <tableColumn id="11" xr3:uid="{1DD6D5C2-E85A-4E7C-AECC-ADD4C543359D}" name="Selling Price"/>
    <tableColumn id="12" xr3:uid="{7F489859-9572-4FFC-9830-2A2289A98E0D}" name="Quantity"/>
    <tableColumn id="13" xr3:uid="{A3A7198C-B2F9-4E42-A8A4-F150E4017622}" name="Discount"/>
    <tableColumn id="14" xr3:uid="{501D61D3-FC5A-4055-8159-CD98BD4D7E75}" name="Total amount"/>
    <tableColumn id="15" xr3:uid="{9C21F6FE-17D5-4DE7-820B-409C99C4BB03}" name="Revenue"/>
    <tableColumn id="16" xr3:uid="{7C885DD8-ACE2-4111-BF55-E6486EF9AA58}" name="ShipDate"/>
    <tableColumn id="17" xr3:uid="{F1A1DE45-C1A8-494C-8913-72E4BAC5CD3A}" name="PaymentMethod"/>
    <tableColumn id="18" xr3:uid="{C8FF94B7-BEC7-46EF-A976-A3CD6E25C810}" name="Data Issu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0552FB-C823-416F-9E7A-BC00F7AEFDA7}" name="Table3" displayName="Table3" ref="A1:R405" totalsRowShown="0">
  <autoFilter ref="A1:R405" xr:uid="{73B758A7-E361-4CA1-8915-8F4EDA703D86}"/>
  <tableColumns count="18">
    <tableColumn id="1" xr3:uid="{45000E95-32FF-47C4-8ACC-EF3A6CD1B928}" name="OrderID"/>
    <tableColumn id="2" xr3:uid="{72F55CD0-4194-4424-8A4F-5990888DCF0F}" name="OrderDate" dataDxfId="13"/>
    <tableColumn id="3" xr3:uid="{BC3A91ED-06FF-41B6-9B03-E1D901DC822C}" name="CustomerID"/>
    <tableColumn id="4" xr3:uid="{FABD385C-1F5B-4939-AA0D-DF6E2C937CF4}" name="Customer Name"/>
    <tableColumn id="5" xr3:uid="{0BBB1969-A0C4-4770-9954-4321AB20A748}" name="ProductID"/>
    <tableColumn id="6" xr3:uid="{5E744C46-263A-4F0A-9E51-2C6EDA902495}" name="Product Name"/>
    <tableColumn id="7" xr3:uid="{3FB7D5F3-BBE6-4B71-A0FD-E0E2DC226504}" name="EmployeeID"/>
    <tableColumn id="8" xr3:uid="{7875DEF7-FB5B-4F68-B235-2A30E3C98CF9}" name="Employee Name"/>
    <tableColumn id="9" xr3:uid="{89FA8A09-3012-4486-A8AE-0DDA35E78094}" name="Category"/>
    <tableColumn id="10" xr3:uid="{C1F04759-CD11-4A80-9349-BD617F38558C}" name="Region"/>
    <tableColumn id="11" xr3:uid="{8FC48BA4-C37E-4F3E-A5AF-C529FFB6DB11}" name="Selling Price"/>
    <tableColumn id="12" xr3:uid="{A093C12B-AE7A-4219-9C3A-606BA707BD67}" name="Quantity"/>
    <tableColumn id="13" xr3:uid="{62DFA6BA-9878-4E8B-BAAE-917A84D50ECF}" name="Discount"/>
    <tableColumn id="14" xr3:uid="{6B7CEF3A-6AAD-4C99-9AAD-23D88A417C4D}" name="Total amount"/>
    <tableColumn id="15" xr3:uid="{F1971C2D-C0BB-414F-8C65-FD7E7DE40608}" name="Revenue"/>
    <tableColumn id="16" xr3:uid="{FE4CA48B-A00E-4C32-892A-AD4203A42A65}" name="ShipDate"/>
    <tableColumn id="17" xr3:uid="{507419C4-9AB5-459F-B8DE-A156031F1026}" name="PaymentMethod"/>
    <tableColumn id="18" xr3:uid="{8EE7B249-11DA-479B-BC2E-E9F696EBC4C4}" name="Data Issu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93290C-07F2-464F-B7B4-EA1183B8BD46}" name="Table4" displayName="Table4" ref="A1:R405" totalsRowShown="0">
  <autoFilter ref="A1:R405" xr:uid="{18E9616D-4161-434D-84C9-559025150150}"/>
  <tableColumns count="18">
    <tableColumn id="1" xr3:uid="{DFDEE692-BDA7-436F-9E69-BB290483F88D}" name="OrderID"/>
    <tableColumn id="2" xr3:uid="{60734F83-9285-4351-A6E5-39A8EA5F6E01}" name="OrderDate" dataDxfId="12"/>
    <tableColumn id="3" xr3:uid="{990CEB3B-CABD-4F9D-B494-8F71248AEEBF}" name="CustomerID"/>
    <tableColumn id="4" xr3:uid="{AB836A72-B7A8-40D4-ACC7-69BEB3542CEE}" name="Customer Name"/>
    <tableColumn id="5" xr3:uid="{D3EA0354-BA7E-471A-9984-259B9A04273A}" name="ProductID"/>
    <tableColumn id="6" xr3:uid="{6148B6AB-744C-4AC1-9BB0-06C8D0483439}" name="Product Name"/>
    <tableColumn id="7" xr3:uid="{A394BAA5-D71B-4375-936F-4B1052E5A2BA}" name="EmployeeID"/>
    <tableColumn id="8" xr3:uid="{2B2E3D21-B840-45DC-9C62-E906B27F36EF}" name="Employee Name"/>
    <tableColumn id="9" xr3:uid="{AE25ADEF-3CAE-4F7E-94FD-A01F3460C189}" name="Category"/>
    <tableColumn id="10" xr3:uid="{7CF4F326-CC3A-40D9-9056-11C8F75D9181}" name="Region"/>
    <tableColumn id="11" xr3:uid="{895F0F87-B081-4FC7-84CE-0B872CAAD638}" name="Selling Price"/>
    <tableColumn id="12" xr3:uid="{618A7D4C-4579-4311-BC58-B718BC79CA51}" name="Quantity"/>
    <tableColumn id="13" xr3:uid="{2ECED194-8E65-4A0C-8D33-C5C942FDEA75}" name="Discount"/>
    <tableColumn id="14" xr3:uid="{1B7535AE-1A66-41B2-88DD-D967001F9DFE}" name="Total amount"/>
    <tableColumn id="15" xr3:uid="{12C3CBE3-4DA2-4976-A4CF-4E14FF93D2DE}" name="Revenue"/>
    <tableColumn id="16" xr3:uid="{FA506396-BEDC-41BF-9984-22D23E4D5D2F}" name="ShipDate"/>
    <tableColumn id="17" xr3:uid="{2D73155F-F85E-4A29-BC71-E6F5AD05F4E8}" name="PaymentMethod"/>
    <tableColumn id="18" xr3:uid="{786FBE2A-37D1-4435-9239-8719EAE2CE44}" name="Data Iss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06"/>
  <sheetViews>
    <sheetView tabSelected="1" zoomScale="119" workbookViewId="0">
      <pane ySplit="1" topLeftCell="A14" activePane="bottomLeft" state="frozen"/>
      <selection pane="bottomLeft" activeCell="C27" sqref="C27"/>
    </sheetView>
  </sheetViews>
  <sheetFormatPr defaultRowHeight="14.4" x14ac:dyDescent="0.3"/>
  <cols>
    <col min="1" max="1" width="13" bestFit="1" customWidth="1"/>
    <col min="2" max="2" width="15.44140625" bestFit="1" customWidth="1"/>
    <col min="3" max="3" width="17" bestFit="1" customWidth="1"/>
    <col min="4" max="4" width="18.6640625" customWidth="1"/>
    <col min="5" max="5" width="15" bestFit="1" customWidth="1"/>
    <col min="6" max="6" width="17.6640625" customWidth="1"/>
    <col min="7" max="7" width="17.33203125" bestFit="1" customWidth="1"/>
    <col min="8" max="8" width="19" customWidth="1"/>
    <col min="9" max="9" width="17.33203125" customWidth="1"/>
    <col min="10" max="10" width="12.33203125" bestFit="1" customWidth="1"/>
    <col min="11" max="11" width="15.77734375" customWidth="1"/>
    <col min="12" max="12" width="13.6640625" bestFit="1" customWidth="1"/>
    <col min="13" max="13" width="14" bestFit="1" customWidth="1"/>
    <col min="14" max="14" width="15.5546875" customWidth="1"/>
    <col min="15" max="15" width="14" customWidth="1"/>
    <col min="16" max="16" width="14.21875" bestFit="1" customWidth="1"/>
    <col min="17" max="17" width="21.44140625" bestFit="1" customWidth="1"/>
    <col min="18" max="18" width="13" customWidth="1"/>
  </cols>
  <sheetData>
    <row r="1" spans="1:18" x14ac:dyDescent="0.3">
      <c r="A1" s="1" t="s">
        <v>0</v>
      </c>
      <c r="B1" s="1" t="s">
        <v>1</v>
      </c>
      <c r="C1" s="1" t="s">
        <v>2</v>
      </c>
      <c r="D1" s="1" t="s">
        <v>1101</v>
      </c>
      <c r="E1" s="1" t="s">
        <v>3</v>
      </c>
      <c r="F1" s="1" t="s">
        <v>1100</v>
      </c>
      <c r="G1" s="1" t="s">
        <v>4</v>
      </c>
      <c r="H1" s="1" t="s">
        <v>1102</v>
      </c>
      <c r="I1" s="1" t="s">
        <v>877</v>
      </c>
      <c r="J1" s="1" t="s">
        <v>5</v>
      </c>
      <c r="K1" s="1" t="s">
        <v>1143</v>
      </c>
      <c r="L1" s="1" t="s">
        <v>6</v>
      </c>
      <c r="M1" s="1" t="s">
        <v>7</v>
      </c>
      <c r="N1" s="1" t="s">
        <v>1144</v>
      </c>
      <c r="O1" s="1" t="s">
        <v>1145</v>
      </c>
      <c r="P1" s="1" t="s">
        <v>8</v>
      </c>
      <c r="Q1" s="1" t="s">
        <v>9</v>
      </c>
      <c r="R1" s="1" t="s">
        <v>1146</v>
      </c>
    </row>
    <row r="2" spans="1:18" x14ac:dyDescent="0.3">
      <c r="A2" s="2" t="s">
        <v>10</v>
      </c>
      <c r="B2" s="5">
        <v>45738</v>
      </c>
      <c r="C2" s="2" t="s">
        <v>12</v>
      </c>
      <c r="D2" s="2" t="s">
        <v>1103</v>
      </c>
      <c r="E2" s="2" t="s">
        <v>13</v>
      </c>
      <c r="F2" s="2" t="str">
        <f>VLOOKUP(Orders!E2,Products!A:F,2,FALSE)</f>
        <v>Football</v>
      </c>
      <c r="G2" s="2" t="s">
        <v>14</v>
      </c>
      <c r="H2" s="2" t="str">
        <f>VLOOKUP(G2,Employees!A:E,2,FALSE)</f>
        <v>Fatima Sheikh</v>
      </c>
      <c r="I2" s="2" t="str">
        <f>VLOOKUP(E2,Products!A:F,3,FALSE)</f>
        <v>Sports</v>
      </c>
      <c r="J2" s="2" t="s">
        <v>15</v>
      </c>
      <c r="K2" s="2">
        <f>VLOOKUP(E2,Products!A:F,5,FALSE)</f>
        <v>3493.54</v>
      </c>
      <c r="L2" s="2">
        <v>1</v>
      </c>
      <c r="M2" s="2">
        <v>0.1</v>
      </c>
      <c r="N2" s="2">
        <f t="shared" ref="N2:N65" si="0">K2*L2</f>
        <v>3493.54</v>
      </c>
      <c r="O2" s="2">
        <f t="shared" ref="O2:O65" si="1">N2*(1-M2)</f>
        <v>3144.1860000000001</v>
      </c>
      <c r="P2" s="2" t="s">
        <v>16</v>
      </c>
      <c r="Q2" s="2" t="s">
        <v>17</v>
      </c>
      <c r="R2" t="str">
        <f t="shared" ref="R2:R65" si="2">IF(L2=0,"Missing Quantity","")</f>
        <v/>
      </c>
    </row>
    <row r="3" spans="1:18" x14ac:dyDescent="0.3">
      <c r="A3" s="2" t="s">
        <v>18</v>
      </c>
      <c r="B3" s="5">
        <v>45733</v>
      </c>
      <c r="C3" s="2" t="s">
        <v>19</v>
      </c>
      <c r="D3" s="2" t="s">
        <v>1104</v>
      </c>
      <c r="E3" s="2" t="s">
        <v>20</v>
      </c>
      <c r="F3" s="2" t="str">
        <f>VLOOKUP(Orders!E3,Products!A:F,2,FALSE)</f>
        <v>LED Lamp</v>
      </c>
      <c r="G3" s="2" t="s">
        <v>21</v>
      </c>
      <c r="H3" s="2" t="str">
        <f>VLOOKUP(G3,Employees!A:E,2,FALSE)</f>
        <v>Karan Mehta</v>
      </c>
      <c r="I3" s="2" t="str">
        <f>VLOOKUP(E3,Products!A:F,3,FALSE)</f>
        <v>Home &amp; Kitchen</v>
      </c>
      <c r="J3" s="2" t="s">
        <v>22</v>
      </c>
      <c r="K3" s="2">
        <f>VLOOKUP(E3,Products!A:F,5,FALSE)</f>
        <v>3772.12</v>
      </c>
      <c r="L3" s="2">
        <v>2</v>
      </c>
      <c r="M3" s="2">
        <v>0.15</v>
      </c>
      <c r="N3" s="2">
        <f t="shared" si="0"/>
        <v>7544.24</v>
      </c>
      <c r="O3" s="2">
        <f t="shared" si="1"/>
        <v>6412.6039999999994</v>
      </c>
      <c r="P3" s="2" t="s">
        <v>23</v>
      </c>
      <c r="Q3" s="2" t="s">
        <v>24</v>
      </c>
      <c r="R3" t="str">
        <f t="shared" si="2"/>
        <v/>
      </c>
    </row>
    <row r="4" spans="1:18" x14ac:dyDescent="0.3">
      <c r="A4" s="2" t="s">
        <v>25</v>
      </c>
      <c r="B4" s="5">
        <v>45599</v>
      </c>
      <c r="C4" s="2" t="s">
        <v>27</v>
      </c>
      <c r="D4" s="2" t="s">
        <v>1105</v>
      </c>
      <c r="E4" s="2" t="s">
        <v>28</v>
      </c>
      <c r="F4" s="2" t="str">
        <f>VLOOKUP(Orders!E4,Products!A:F,2,FALSE)</f>
        <v>Blender</v>
      </c>
      <c r="G4" s="2" t="s">
        <v>14</v>
      </c>
      <c r="H4" s="2" t="str">
        <f>VLOOKUP(G4,Employees!A:E,2,FALSE)</f>
        <v>Fatima Sheikh</v>
      </c>
      <c r="I4" s="2" t="str">
        <f>VLOOKUP(E4,Products!A:F,3,FALSE)</f>
        <v>Home &amp; Kitchen</v>
      </c>
      <c r="J4" s="2" t="s">
        <v>22</v>
      </c>
      <c r="K4" s="2">
        <f>VLOOKUP(E4,Products!A:F,5,FALSE)</f>
        <v>733.33</v>
      </c>
      <c r="L4" s="2">
        <v>9</v>
      </c>
      <c r="M4" s="2">
        <v>0</v>
      </c>
      <c r="N4" s="2">
        <f t="shared" si="0"/>
        <v>6599.97</v>
      </c>
      <c r="O4" s="2">
        <f t="shared" si="1"/>
        <v>6599.97</v>
      </c>
      <c r="P4" s="2" t="s">
        <v>29</v>
      </c>
      <c r="Q4" s="2" t="s">
        <v>30</v>
      </c>
      <c r="R4" t="str">
        <f t="shared" si="2"/>
        <v/>
      </c>
    </row>
    <row r="5" spans="1:18" x14ac:dyDescent="0.3">
      <c r="A5" s="2" t="s">
        <v>31</v>
      </c>
      <c r="B5" s="5">
        <v>45594</v>
      </c>
      <c r="C5" s="2" t="s">
        <v>32</v>
      </c>
      <c r="D5" s="2" t="s">
        <v>1106</v>
      </c>
      <c r="E5" s="2" t="s">
        <v>33</v>
      </c>
      <c r="F5" s="2" t="str">
        <f>VLOOKUP(Orders!E5,Products!A:F,2,FALSE)</f>
        <v>Cooking Oil 1L</v>
      </c>
      <c r="G5" s="2" t="s">
        <v>34</v>
      </c>
      <c r="H5" s="2" t="str">
        <f>VLOOKUP(G5,Employees!A:E,2,FALSE)</f>
        <v>Rohit Sinha</v>
      </c>
      <c r="I5" s="2" t="str">
        <f>VLOOKUP(E5,Products!A:F,3,FALSE)</f>
        <v>Grocery</v>
      </c>
      <c r="J5" s="2" t="s">
        <v>35</v>
      </c>
      <c r="K5" s="2">
        <f>VLOOKUP(E5,Products!A:F,5,FALSE)</f>
        <v>620.89</v>
      </c>
      <c r="L5" s="2">
        <v>9</v>
      </c>
      <c r="M5" s="2">
        <v>0</v>
      </c>
      <c r="N5" s="2">
        <f t="shared" si="0"/>
        <v>5588.01</v>
      </c>
      <c r="O5" s="2">
        <f t="shared" si="1"/>
        <v>5588.01</v>
      </c>
      <c r="P5" s="2" t="s">
        <v>36</v>
      </c>
      <c r="Q5" s="2" t="s">
        <v>30</v>
      </c>
      <c r="R5" t="str">
        <f t="shared" si="2"/>
        <v/>
      </c>
    </row>
    <row r="6" spans="1:18" x14ac:dyDescent="0.3">
      <c r="A6" s="2" t="s">
        <v>37</v>
      </c>
      <c r="B6" s="5">
        <v>45470</v>
      </c>
      <c r="C6" s="2" t="s">
        <v>39</v>
      </c>
      <c r="D6" s="2" t="s">
        <v>990</v>
      </c>
      <c r="E6" s="2" t="s">
        <v>40</v>
      </c>
      <c r="F6" s="2" t="str">
        <f>VLOOKUP(Orders!E6,Products!A:F,2,FALSE)</f>
        <v>Board Game</v>
      </c>
      <c r="G6" s="2" t="s">
        <v>34</v>
      </c>
      <c r="H6" s="2" t="str">
        <f>VLOOKUP(G6,Employees!A:E,2,FALSE)</f>
        <v>Rohit Sinha</v>
      </c>
      <c r="I6" s="2" t="str">
        <f>VLOOKUP(E6,Products!A:F,3,FALSE)</f>
        <v>Toys</v>
      </c>
      <c r="J6" s="2" t="s">
        <v>35</v>
      </c>
      <c r="K6" s="2">
        <f>VLOOKUP(E6,Products!A:F,5,FALSE)</f>
        <v>136.91</v>
      </c>
      <c r="L6" s="2">
        <v>10</v>
      </c>
      <c r="M6" s="2">
        <v>0.1</v>
      </c>
      <c r="N6" s="2">
        <f t="shared" si="0"/>
        <v>1369.1</v>
      </c>
      <c r="O6" s="2">
        <f t="shared" si="1"/>
        <v>1232.19</v>
      </c>
      <c r="P6" s="2" t="s">
        <v>41</v>
      </c>
      <c r="Q6" s="2" t="s">
        <v>42</v>
      </c>
      <c r="R6" t="str">
        <f t="shared" si="2"/>
        <v/>
      </c>
    </row>
    <row r="7" spans="1:18" x14ac:dyDescent="0.3">
      <c r="A7" s="2" t="s">
        <v>43</v>
      </c>
      <c r="B7" s="5">
        <v>45292</v>
      </c>
      <c r="C7" s="2" t="s">
        <v>39</v>
      </c>
      <c r="D7" s="2" t="s">
        <v>990</v>
      </c>
      <c r="E7" s="2" t="s">
        <v>44</v>
      </c>
      <c r="F7" s="2" t="str">
        <f>VLOOKUP(Orders!E7,Products!A:F,2,FALSE)</f>
        <v>Dumbbell Set</v>
      </c>
      <c r="G7" s="2" t="s">
        <v>45</v>
      </c>
      <c r="H7" s="2" t="str">
        <f>VLOOKUP(G7,Employees!A:E,2,FALSE)</f>
        <v>Rajesh Iyer</v>
      </c>
      <c r="I7" s="2" t="str">
        <f>VLOOKUP(E7,Products!A:F,3,FALSE)</f>
        <v>Sports</v>
      </c>
      <c r="J7" s="2" t="s">
        <v>35</v>
      </c>
      <c r="K7" s="2">
        <f>VLOOKUP(E7,Products!A:F,5,FALSE)</f>
        <v>973.21</v>
      </c>
      <c r="L7" s="2">
        <v>5</v>
      </c>
      <c r="M7" s="2">
        <v>0</v>
      </c>
      <c r="N7" s="2">
        <f t="shared" si="0"/>
        <v>4866.05</v>
      </c>
      <c r="O7" s="2">
        <f t="shared" si="1"/>
        <v>4866.05</v>
      </c>
      <c r="P7" s="2" t="s">
        <v>46</v>
      </c>
      <c r="Q7" s="2" t="s">
        <v>42</v>
      </c>
      <c r="R7" t="str">
        <f t="shared" si="2"/>
        <v/>
      </c>
    </row>
    <row r="8" spans="1:18" x14ac:dyDescent="0.3">
      <c r="A8" s="2" t="s">
        <v>47</v>
      </c>
      <c r="B8" s="5">
        <v>45621</v>
      </c>
      <c r="C8" s="2" t="s">
        <v>49</v>
      </c>
      <c r="D8" s="2" t="s">
        <v>1107</v>
      </c>
      <c r="E8" s="2" t="s">
        <v>50</v>
      </c>
      <c r="F8" s="2" t="str">
        <f>VLOOKUP(Orders!E8,Products!A:F,2,FALSE)</f>
        <v>Spice Combo</v>
      </c>
      <c r="G8" s="2" t="s">
        <v>14</v>
      </c>
      <c r="H8" s="2" t="str">
        <f>VLOOKUP(G8,Employees!A:E,2,FALSE)</f>
        <v>Fatima Sheikh</v>
      </c>
      <c r="I8" s="2" t="str">
        <f>VLOOKUP(E8,Products!A:F,3,FALSE)</f>
        <v>Grocery</v>
      </c>
      <c r="J8" s="2" t="s">
        <v>15</v>
      </c>
      <c r="K8" s="2">
        <f>VLOOKUP(E8,Products!A:F,5,FALSE)</f>
        <v>2041.83</v>
      </c>
      <c r="L8" s="2">
        <v>8</v>
      </c>
      <c r="M8" s="2">
        <v>0.05</v>
      </c>
      <c r="N8" s="2">
        <f t="shared" si="0"/>
        <v>16334.64</v>
      </c>
      <c r="O8" s="2">
        <f t="shared" si="1"/>
        <v>15517.907999999999</v>
      </c>
      <c r="P8" s="2" t="s">
        <v>51</v>
      </c>
      <c r="Q8" s="2" t="s">
        <v>42</v>
      </c>
      <c r="R8" t="str">
        <f t="shared" si="2"/>
        <v/>
      </c>
    </row>
    <row r="9" spans="1:18" x14ac:dyDescent="0.3">
      <c r="A9" s="2" t="s">
        <v>52</v>
      </c>
      <c r="B9" s="5">
        <v>45776</v>
      </c>
      <c r="C9" s="2" t="s">
        <v>53</v>
      </c>
      <c r="D9" s="2" t="s">
        <v>1047</v>
      </c>
      <c r="E9" s="2" t="s">
        <v>54</v>
      </c>
      <c r="F9" s="2" t="str">
        <f>VLOOKUP(Orders!E9,Products!A:F,2,FALSE)</f>
        <v>Hoodie</v>
      </c>
      <c r="G9" s="2" t="s">
        <v>34</v>
      </c>
      <c r="H9" s="2" t="str">
        <f>VLOOKUP(G9,Employees!A:E,2,FALSE)</f>
        <v>Rohit Sinha</v>
      </c>
      <c r="I9" s="2" t="str">
        <f>VLOOKUP(E9,Products!A:F,3,FALSE)</f>
        <v>Clothing</v>
      </c>
      <c r="J9" s="2" t="s">
        <v>22</v>
      </c>
      <c r="K9" s="2">
        <f>VLOOKUP(E9,Products!A:F,5,FALSE)</f>
        <v>3929.31</v>
      </c>
      <c r="L9" s="2">
        <v>3</v>
      </c>
      <c r="M9" s="2">
        <v>0.15</v>
      </c>
      <c r="N9" s="2">
        <f t="shared" si="0"/>
        <v>11787.93</v>
      </c>
      <c r="O9" s="2">
        <f t="shared" si="1"/>
        <v>10019.7405</v>
      </c>
      <c r="P9" s="2" t="s">
        <v>55</v>
      </c>
      <c r="Q9" s="2" t="s">
        <v>42</v>
      </c>
      <c r="R9" t="str">
        <f t="shared" si="2"/>
        <v/>
      </c>
    </row>
    <row r="10" spans="1:18" x14ac:dyDescent="0.3">
      <c r="A10" s="2" t="s">
        <v>56</v>
      </c>
      <c r="B10" s="5">
        <v>45635</v>
      </c>
      <c r="C10" s="2" t="s">
        <v>58</v>
      </c>
      <c r="D10" s="2" t="s">
        <v>1014</v>
      </c>
      <c r="E10" s="2" t="s">
        <v>20</v>
      </c>
      <c r="F10" s="2" t="str">
        <f>VLOOKUP(Orders!E10,Products!A:F,2,FALSE)</f>
        <v>LED Lamp</v>
      </c>
      <c r="G10" s="2" t="s">
        <v>14</v>
      </c>
      <c r="H10" s="2" t="str">
        <f>VLOOKUP(G10,Employees!A:E,2,FALSE)</f>
        <v>Fatima Sheikh</v>
      </c>
      <c r="I10" s="2" t="str">
        <f>VLOOKUP(E10,Products!A:F,3,FALSE)</f>
        <v>Home &amp; Kitchen</v>
      </c>
      <c r="J10" s="2" t="s">
        <v>22</v>
      </c>
      <c r="K10" s="2">
        <f>VLOOKUP(E10,Products!A:F,5,FALSE)</f>
        <v>3772.12</v>
      </c>
      <c r="L10" s="2">
        <v>2</v>
      </c>
      <c r="M10" s="2">
        <v>0.2</v>
      </c>
      <c r="N10" s="2">
        <f t="shared" si="0"/>
        <v>7544.24</v>
      </c>
      <c r="O10" s="2">
        <f t="shared" si="1"/>
        <v>6035.3919999999998</v>
      </c>
      <c r="P10" s="2" t="s">
        <v>59</v>
      </c>
      <c r="Q10" s="2" t="s">
        <v>60</v>
      </c>
      <c r="R10" t="str">
        <f t="shared" si="2"/>
        <v/>
      </c>
    </row>
    <row r="11" spans="1:18" x14ac:dyDescent="0.3">
      <c r="A11" s="2" t="s">
        <v>61</v>
      </c>
      <c r="B11" s="5">
        <v>45495</v>
      </c>
      <c r="C11" s="2" t="s">
        <v>27</v>
      </c>
      <c r="D11" s="2" t="s">
        <v>1105</v>
      </c>
      <c r="E11" s="2" t="s">
        <v>13</v>
      </c>
      <c r="F11" s="2" t="str">
        <f>VLOOKUP(Orders!E11,Products!A:F,2,FALSE)</f>
        <v>Football</v>
      </c>
      <c r="G11" s="2" t="s">
        <v>14</v>
      </c>
      <c r="H11" s="2" t="str">
        <f>VLOOKUP(G11,Employees!A:E,2,FALSE)</f>
        <v>Fatima Sheikh</v>
      </c>
      <c r="I11" s="2" t="str">
        <f>VLOOKUP(E11,Products!A:F,3,FALSE)</f>
        <v>Sports</v>
      </c>
      <c r="J11" s="2" t="s">
        <v>15</v>
      </c>
      <c r="K11" s="2">
        <f>VLOOKUP(E11,Products!A:F,5,FALSE)</f>
        <v>3493.54</v>
      </c>
      <c r="L11" s="2">
        <v>3</v>
      </c>
      <c r="M11" s="2">
        <v>0</v>
      </c>
      <c r="N11" s="2">
        <f t="shared" si="0"/>
        <v>10480.619999999999</v>
      </c>
      <c r="O11" s="2">
        <f t="shared" si="1"/>
        <v>10480.619999999999</v>
      </c>
      <c r="P11" s="2" t="s">
        <v>63</v>
      </c>
      <c r="Q11" s="2" t="s">
        <v>30</v>
      </c>
      <c r="R11" t="str">
        <f t="shared" si="2"/>
        <v/>
      </c>
    </row>
    <row r="12" spans="1:18" x14ac:dyDescent="0.3">
      <c r="A12" s="2" t="s">
        <v>64</v>
      </c>
      <c r="B12" s="5">
        <v>45366</v>
      </c>
      <c r="C12" s="2" t="s">
        <v>66</v>
      </c>
      <c r="D12" s="2" t="s">
        <v>1108</v>
      </c>
      <c r="E12" s="2" t="s">
        <v>67</v>
      </c>
      <c r="F12" s="2" t="str">
        <f>VLOOKUP(Orders!E12,Products!A:F,2,FALSE)</f>
        <v>Remote Car</v>
      </c>
      <c r="G12" s="2" t="s">
        <v>14</v>
      </c>
      <c r="H12" s="2" t="str">
        <f>VLOOKUP(G12,Employees!A:E,2,FALSE)</f>
        <v>Fatima Sheikh</v>
      </c>
      <c r="I12" s="2" t="str">
        <f>VLOOKUP(E12,Products!A:F,3,FALSE)</f>
        <v>Toys</v>
      </c>
      <c r="J12" s="2" t="s">
        <v>15</v>
      </c>
      <c r="K12" s="2">
        <f>VLOOKUP(E12,Products!A:F,5,FALSE)</f>
        <v>3205.14</v>
      </c>
      <c r="L12" s="2">
        <v>8</v>
      </c>
      <c r="M12" s="2">
        <v>0.05</v>
      </c>
      <c r="N12" s="2">
        <f t="shared" si="0"/>
        <v>25641.119999999999</v>
      </c>
      <c r="O12" s="2">
        <f t="shared" si="1"/>
        <v>24359.063999999998</v>
      </c>
      <c r="P12" s="2" t="s">
        <v>68</v>
      </c>
      <c r="Q12" s="2" t="s">
        <v>30</v>
      </c>
      <c r="R12" t="str">
        <f t="shared" si="2"/>
        <v/>
      </c>
    </row>
    <row r="13" spans="1:18" x14ac:dyDescent="0.3">
      <c r="A13" s="2" t="s">
        <v>69</v>
      </c>
      <c r="B13" s="5">
        <v>45798</v>
      </c>
      <c r="C13" s="2" t="s">
        <v>71</v>
      </c>
      <c r="D13" s="2" t="s">
        <v>980</v>
      </c>
      <c r="E13" s="2" t="s">
        <v>72</v>
      </c>
      <c r="F13" s="2" t="str">
        <f>VLOOKUP(Orders!E13,Products!A:F,2,FALSE)</f>
        <v>Cookbook</v>
      </c>
      <c r="G13" s="2" t="s">
        <v>14</v>
      </c>
      <c r="H13" s="2" t="str">
        <f>VLOOKUP(G13,Employees!A:E,2,FALSE)</f>
        <v>Fatima Sheikh</v>
      </c>
      <c r="I13" s="2" t="str">
        <f>VLOOKUP(E13,Products!A:F,3,FALSE)</f>
        <v>Books</v>
      </c>
      <c r="J13" s="2" t="s">
        <v>73</v>
      </c>
      <c r="K13" s="2">
        <f>VLOOKUP(E13,Products!A:F,5,FALSE)</f>
        <v>2316.1999999999998</v>
      </c>
      <c r="L13" s="2">
        <v>7</v>
      </c>
      <c r="M13" s="2">
        <v>0</v>
      </c>
      <c r="N13" s="2">
        <f t="shared" si="0"/>
        <v>16213.399999999998</v>
      </c>
      <c r="O13" s="2">
        <f t="shared" si="1"/>
        <v>16213.399999999998</v>
      </c>
      <c r="P13" s="2" t="s">
        <v>74</v>
      </c>
      <c r="Q13" s="2" t="s">
        <v>24</v>
      </c>
      <c r="R13" t="str">
        <f t="shared" si="2"/>
        <v/>
      </c>
    </row>
    <row r="14" spans="1:18" x14ac:dyDescent="0.3">
      <c r="A14" s="2" t="s">
        <v>75</v>
      </c>
      <c r="B14" s="5">
        <v>45727</v>
      </c>
      <c r="C14" s="2" t="s">
        <v>27</v>
      </c>
      <c r="D14" s="2" t="s">
        <v>1105</v>
      </c>
      <c r="E14" s="2" t="s">
        <v>77</v>
      </c>
      <c r="F14" s="2" t="str">
        <f>VLOOKUP(Orders!E14,Products!A:F,2,FALSE)</f>
        <v>USB-C Charger</v>
      </c>
      <c r="G14" s="2" t="s">
        <v>21</v>
      </c>
      <c r="H14" s="2" t="str">
        <f>VLOOKUP(G14,Employees!A:E,2,FALSE)</f>
        <v>Karan Mehta</v>
      </c>
      <c r="I14" s="2" t="str">
        <f>VLOOKUP(E14,Products!A:F,3,FALSE)</f>
        <v>Electronics</v>
      </c>
      <c r="J14" s="2" t="s">
        <v>35</v>
      </c>
      <c r="K14" s="2">
        <f>VLOOKUP(E14,Products!A:F,5,FALSE)</f>
        <v>3550.89</v>
      </c>
      <c r="L14" s="2">
        <v>4</v>
      </c>
      <c r="M14" s="2">
        <v>0</v>
      </c>
      <c r="N14" s="2">
        <f t="shared" si="0"/>
        <v>14203.56</v>
      </c>
      <c r="O14" s="2">
        <f t="shared" si="1"/>
        <v>14203.56</v>
      </c>
      <c r="P14" s="2" t="s">
        <v>78</v>
      </c>
      <c r="Q14" s="2" t="s">
        <v>24</v>
      </c>
      <c r="R14" t="str">
        <f t="shared" si="2"/>
        <v/>
      </c>
    </row>
    <row r="15" spans="1:18" x14ac:dyDescent="0.3">
      <c r="A15" s="2" t="s">
        <v>79</v>
      </c>
      <c r="B15" s="5">
        <v>45547</v>
      </c>
      <c r="C15" s="2" t="s">
        <v>80</v>
      </c>
      <c r="D15" s="2" t="s">
        <v>1109</v>
      </c>
      <c r="E15" s="2" t="s">
        <v>81</v>
      </c>
      <c r="F15" s="2" t="str">
        <f>VLOOKUP(Orders!E15,Products!A:F,2,FALSE)</f>
        <v>Earbuds</v>
      </c>
      <c r="G15" s="2" t="s">
        <v>82</v>
      </c>
      <c r="H15" s="2" t="str">
        <f>VLOOKUP(G15,Employees!A:E,2,FALSE)</f>
        <v>Priya Nair</v>
      </c>
      <c r="I15" s="2" t="str">
        <f>VLOOKUP(E15,Products!A:F,3,FALSE)</f>
        <v>Electronics</v>
      </c>
      <c r="J15" s="2" t="s">
        <v>35</v>
      </c>
      <c r="K15" s="2">
        <f>VLOOKUP(E15,Products!A:F,5,FALSE)</f>
        <v>1044.7</v>
      </c>
      <c r="L15" s="2">
        <v>2</v>
      </c>
      <c r="M15" s="2">
        <v>0.05</v>
      </c>
      <c r="N15" s="2">
        <f t="shared" si="0"/>
        <v>2089.4</v>
      </c>
      <c r="O15" s="2">
        <f t="shared" si="1"/>
        <v>1984.93</v>
      </c>
      <c r="P15" s="2" t="s">
        <v>83</v>
      </c>
      <c r="Q15" s="2" t="s">
        <v>42</v>
      </c>
      <c r="R15" t="str">
        <f t="shared" si="2"/>
        <v/>
      </c>
    </row>
    <row r="16" spans="1:18" x14ac:dyDescent="0.3">
      <c r="A16" s="2" t="s">
        <v>84</v>
      </c>
      <c r="B16" s="5">
        <v>45616</v>
      </c>
      <c r="C16" s="2" t="s">
        <v>39</v>
      </c>
      <c r="D16" s="2" t="s">
        <v>990</v>
      </c>
      <c r="E16" s="2" t="s">
        <v>85</v>
      </c>
      <c r="F16" s="2" t="str">
        <f>VLOOKUP(Orders!E16,Products!A:F,2,FALSE)</f>
        <v>Almonds 500g</v>
      </c>
      <c r="G16" s="2" t="s">
        <v>82</v>
      </c>
      <c r="H16" s="2" t="str">
        <f>VLOOKUP(G16,Employees!A:E,2,FALSE)</f>
        <v>Priya Nair</v>
      </c>
      <c r="I16" s="2" t="str">
        <f>VLOOKUP(E16,Products!A:F,3,FALSE)</f>
        <v>Grocery</v>
      </c>
      <c r="J16" s="2" t="s">
        <v>35</v>
      </c>
      <c r="K16" s="2">
        <f>VLOOKUP(E16,Products!A:F,5,FALSE)</f>
        <v>3457.28</v>
      </c>
      <c r="L16" s="2">
        <v>8</v>
      </c>
      <c r="M16" s="2">
        <v>0.1</v>
      </c>
      <c r="N16" s="2">
        <f t="shared" si="0"/>
        <v>27658.240000000002</v>
      </c>
      <c r="O16" s="2">
        <f t="shared" si="1"/>
        <v>24892.416000000001</v>
      </c>
      <c r="P16" s="2" t="s">
        <v>86</v>
      </c>
      <c r="Q16" s="2" t="s">
        <v>42</v>
      </c>
      <c r="R16" t="str">
        <f t="shared" si="2"/>
        <v/>
      </c>
    </row>
    <row r="17" spans="1:18" x14ac:dyDescent="0.3">
      <c r="A17" s="2" t="s">
        <v>87</v>
      </c>
      <c r="B17" s="5">
        <v>45748</v>
      </c>
      <c r="C17" s="2" t="s">
        <v>89</v>
      </c>
      <c r="D17" s="2" t="s">
        <v>1059</v>
      </c>
      <c r="E17" s="2" t="s">
        <v>90</v>
      </c>
      <c r="F17" s="2" t="str">
        <f>VLOOKUP(Orders!E17,Products!A:F,2,FALSE)</f>
        <v>Face Wash</v>
      </c>
      <c r="G17" s="2" t="s">
        <v>82</v>
      </c>
      <c r="H17" s="2" t="str">
        <f>VLOOKUP(G17,Employees!A:E,2,FALSE)</f>
        <v>Priya Nair</v>
      </c>
      <c r="I17" s="2" t="str">
        <f>VLOOKUP(E17,Products!A:F,3,FALSE)</f>
        <v>Beauty</v>
      </c>
      <c r="J17" s="2" t="s">
        <v>35</v>
      </c>
      <c r="K17" s="2">
        <f>VLOOKUP(E17,Products!A:F,5,FALSE)</f>
        <v>928.72</v>
      </c>
      <c r="L17" s="2">
        <v>3</v>
      </c>
      <c r="M17" s="2">
        <v>0.15</v>
      </c>
      <c r="N17" s="2">
        <f t="shared" si="0"/>
        <v>2786.16</v>
      </c>
      <c r="O17" s="2">
        <f t="shared" si="1"/>
        <v>2368.2359999999999</v>
      </c>
      <c r="P17" s="2" t="s">
        <v>91</v>
      </c>
      <c r="Q17" s="2" t="s">
        <v>17</v>
      </c>
      <c r="R17" t="str">
        <f t="shared" si="2"/>
        <v/>
      </c>
    </row>
    <row r="18" spans="1:18" x14ac:dyDescent="0.3">
      <c r="A18" s="2" t="s">
        <v>92</v>
      </c>
      <c r="B18" s="5">
        <v>45545</v>
      </c>
      <c r="C18" s="2" t="s">
        <v>19</v>
      </c>
      <c r="D18" s="2" t="s">
        <v>1104</v>
      </c>
      <c r="E18" s="2" t="s">
        <v>94</v>
      </c>
      <c r="F18" s="2" t="str">
        <f>VLOOKUP(Orders!E18,Products!A:F,2,FALSE)</f>
        <v>Honey Jar</v>
      </c>
      <c r="G18" s="2" t="s">
        <v>14</v>
      </c>
      <c r="H18" s="2" t="str">
        <f>VLOOKUP(G18,Employees!A:E,2,FALSE)</f>
        <v>Fatima Sheikh</v>
      </c>
      <c r="I18" s="2" t="str">
        <f>VLOOKUP(E18,Products!A:F,3,FALSE)</f>
        <v>Grocery</v>
      </c>
      <c r="J18" s="2" t="s">
        <v>35</v>
      </c>
      <c r="K18" s="2">
        <f>VLOOKUP(E18,Products!A:F,5,FALSE)</f>
        <v>3610.44</v>
      </c>
      <c r="L18" s="2">
        <v>5</v>
      </c>
      <c r="M18" s="2">
        <v>0.2</v>
      </c>
      <c r="N18" s="2">
        <f t="shared" si="0"/>
        <v>18052.2</v>
      </c>
      <c r="O18" s="2">
        <f t="shared" si="1"/>
        <v>14441.760000000002</v>
      </c>
      <c r="P18" s="2" t="s">
        <v>95</v>
      </c>
      <c r="Q18" s="2" t="s">
        <v>60</v>
      </c>
      <c r="R18" t="str">
        <f t="shared" si="2"/>
        <v/>
      </c>
    </row>
    <row r="19" spans="1:18" x14ac:dyDescent="0.3">
      <c r="A19" s="2" t="s">
        <v>96</v>
      </c>
      <c r="B19" s="5">
        <v>45573</v>
      </c>
      <c r="C19" s="2" t="s">
        <v>98</v>
      </c>
      <c r="D19" s="2" t="s">
        <v>1110</v>
      </c>
      <c r="E19" s="2" t="s">
        <v>99</v>
      </c>
      <c r="F19" s="2" t="str">
        <f>VLOOKUP(Orders!E19,Products!A:F,2,FALSE)</f>
        <v>Wireless Mouse</v>
      </c>
      <c r="G19" s="2" t="s">
        <v>45</v>
      </c>
      <c r="H19" s="2" t="str">
        <f>VLOOKUP(G19,Employees!A:E,2,FALSE)</f>
        <v>Rajesh Iyer</v>
      </c>
      <c r="I19" s="2" t="str">
        <f>VLOOKUP(E19,Products!A:F,3,FALSE)</f>
        <v>Electronics</v>
      </c>
      <c r="J19" s="2" t="s">
        <v>15</v>
      </c>
      <c r="K19" s="2">
        <f>VLOOKUP(E19,Products!A:F,5,FALSE)</f>
        <v>2352.63</v>
      </c>
      <c r="L19" s="2">
        <v>8</v>
      </c>
      <c r="M19" s="2">
        <v>0</v>
      </c>
      <c r="N19" s="2">
        <f t="shared" si="0"/>
        <v>18821.04</v>
      </c>
      <c r="O19" s="2">
        <f t="shared" si="1"/>
        <v>18821.04</v>
      </c>
      <c r="P19" s="2" t="s">
        <v>100</v>
      </c>
      <c r="Q19" s="2" t="s">
        <v>17</v>
      </c>
      <c r="R19" t="str">
        <f t="shared" si="2"/>
        <v/>
      </c>
    </row>
    <row r="20" spans="1:18" x14ac:dyDescent="0.3">
      <c r="A20" s="2" t="s">
        <v>101</v>
      </c>
      <c r="B20" s="5">
        <v>45635</v>
      </c>
      <c r="C20" s="2" t="s">
        <v>102</v>
      </c>
      <c r="D20" s="2" t="s">
        <v>1111</v>
      </c>
      <c r="E20" s="2" t="s">
        <v>33</v>
      </c>
      <c r="F20" s="2" t="str">
        <f>VLOOKUP(Orders!E20,Products!A:F,2,FALSE)</f>
        <v>Cooking Oil 1L</v>
      </c>
      <c r="G20" s="2" t="s">
        <v>14</v>
      </c>
      <c r="H20" s="2" t="str">
        <f>VLOOKUP(G20,Employees!A:E,2,FALSE)</f>
        <v>Fatima Sheikh</v>
      </c>
      <c r="I20" s="2" t="str">
        <f>VLOOKUP(E20,Products!A:F,3,FALSE)</f>
        <v>Grocery</v>
      </c>
      <c r="J20" s="2" t="s">
        <v>15</v>
      </c>
      <c r="K20" s="2">
        <f>VLOOKUP(E20,Products!A:F,5,FALSE)</f>
        <v>620.89</v>
      </c>
      <c r="L20" s="2">
        <v>6</v>
      </c>
      <c r="M20" s="2">
        <v>0.1</v>
      </c>
      <c r="N20" s="2">
        <f t="shared" si="0"/>
        <v>3725.34</v>
      </c>
      <c r="O20" s="2">
        <f t="shared" si="1"/>
        <v>3352.806</v>
      </c>
      <c r="P20" s="2" t="s">
        <v>103</v>
      </c>
      <c r="Q20" s="2" t="s">
        <v>60</v>
      </c>
      <c r="R20" t="str">
        <f t="shared" si="2"/>
        <v/>
      </c>
    </row>
    <row r="21" spans="1:18" x14ac:dyDescent="0.3">
      <c r="A21" s="2" t="s">
        <v>104</v>
      </c>
      <c r="B21" s="5">
        <v>45528</v>
      </c>
      <c r="C21" s="2" t="s">
        <v>105</v>
      </c>
      <c r="D21" s="2" t="s">
        <v>941</v>
      </c>
      <c r="E21" s="2" t="s">
        <v>106</v>
      </c>
      <c r="F21" s="2" t="str">
        <f>VLOOKUP(Orders!E21,Products!A:F,2,FALSE)</f>
        <v>Winter Scarf</v>
      </c>
      <c r="G21" s="2" t="s">
        <v>34</v>
      </c>
      <c r="H21" s="2" t="str">
        <f>VLOOKUP(G21,Employees!A:E,2,FALSE)</f>
        <v>Rohit Sinha</v>
      </c>
      <c r="I21" s="2" t="str">
        <f>VLOOKUP(E21,Products!A:F,3,FALSE)</f>
        <v>Clothing</v>
      </c>
      <c r="J21" s="2" t="s">
        <v>15</v>
      </c>
      <c r="K21" s="2">
        <f>VLOOKUP(E21,Products!A:F,5,FALSE)</f>
        <v>1559.65</v>
      </c>
      <c r="L21" s="2">
        <v>7</v>
      </c>
      <c r="M21" s="2">
        <v>0.15</v>
      </c>
      <c r="N21" s="2">
        <f t="shared" si="0"/>
        <v>10917.550000000001</v>
      </c>
      <c r="O21" s="2">
        <f t="shared" si="1"/>
        <v>9279.9175000000014</v>
      </c>
      <c r="P21" s="2" t="s">
        <v>107</v>
      </c>
      <c r="Q21" s="2" t="s">
        <v>24</v>
      </c>
      <c r="R21" t="str">
        <f t="shared" si="2"/>
        <v/>
      </c>
    </row>
    <row r="22" spans="1:18" x14ac:dyDescent="0.3">
      <c r="A22" s="2" t="s">
        <v>108</v>
      </c>
      <c r="B22" s="5">
        <v>45716</v>
      </c>
      <c r="C22" s="2" t="s">
        <v>110</v>
      </c>
      <c r="D22" s="2" t="s">
        <v>983</v>
      </c>
      <c r="E22" s="2" t="s">
        <v>111</v>
      </c>
      <c r="F22" s="2" t="str">
        <f>VLOOKUP(Orders!E22,Products!A:F,2,FALSE)</f>
        <v>Action Figure</v>
      </c>
      <c r="G22" s="2" t="s">
        <v>45</v>
      </c>
      <c r="H22" s="2" t="str">
        <f>VLOOKUP(G22,Employees!A:E,2,FALSE)</f>
        <v>Rajesh Iyer</v>
      </c>
      <c r="I22" s="2" t="str">
        <f>VLOOKUP(E22,Products!A:F,3,FALSE)</f>
        <v>Toys</v>
      </c>
      <c r="J22" s="2" t="s">
        <v>35</v>
      </c>
      <c r="K22" s="2">
        <f>VLOOKUP(E22,Products!A:F,5,FALSE)</f>
        <v>4390.62</v>
      </c>
      <c r="L22" s="2">
        <v>7</v>
      </c>
      <c r="M22" s="2">
        <v>0</v>
      </c>
      <c r="N22" s="2">
        <f t="shared" si="0"/>
        <v>30734.34</v>
      </c>
      <c r="O22" s="2">
        <f t="shared" si="1"/>
        <v>30734.34</v>
      </c>
      <c r="P22" s="2" t="s">
        <v>112</v>
      </c>
      <c r="Q22" s="2" t="s">
        <v>30</v>
      </c>
      <c r="R22" t="str">
        <f t="shared" si="2"/>
        <v/>
      </c>
    </row>
    <row r="23" spans="1:18" x14ac:dyDescent="0.3">
      <c r="A23" s="2" t="s">
        <v>113</v>
      </c>
      <c r="B23" s="5">
        <v>45355</v>
      </c>
      <c r="C23" s="2" t="s">
        <v>115</v>
      </c>
      <c r="D23" s="2" t="s">
        <v>996</v>
      </c>
      <c r="E23" s="2" t="s">
        <v>116</v>
      </c>
      <c r="F23" s="2" t="str">
        <f>VLOOKUP(Orders!E23,Products!A:F,2,FALSE)</f>
        <v>Formal Shirt</v>
      </c>
      <c r="G23" s="2" t="s">
        <v>45</v>
      </c>
      <c r="H23" s="2" t="str">
        <f>VLOOKUP(G23,Employees!A:E,2,FALSE)</f>
        <v>Rajesh Iyer</v>
      </c>
      <c r="I23" s="2" t="str">
        <f>VLOOKUP(E23,Products!A:F,3,FALSE)</f>
        <v>Clothing</v>
      </c>
      <c r="J23" s="2" t="s">
        <v>35</v>
      </c>
      <c r="K23" s="2">
        <f>VLOOKUP(E23,Products!A:F,5,FALSE)</f>
        <v>1156.02</v>
      </c>
      <c r="L23" s="2">
        <v>4</v>
      </c>
      <c r="M23" s="2">
        <v>0.2</v>
      </c>
      <c r="N23" s="2">
        <f t="shared" si="0"/>
        <v>4624.08</v>
      </c>
      <c r="O23" s="2">
        <f t="shared" si="1"/>
        <v>3699.2640000000001</v>
      </c>
      <c r="P23" s="2" t="s">
        <v>117</v>
      </c>
      <c r="Q23" s="2" t="s">
        <v>42</v>
      </c>
      <c r="R23" t="str">
        <f t="shared" si="2"/>
        <v/>
      </c>
    </row>
    <row r="24" spans="1:18" x14ac:dyDescent="0.3">
      <c r="A24" s="2" t="s">
        <v>118</v>
      </c>
      <c r="B24" s="5">
        <v>45312</v>
      </c>
      <c r="C24" s="2" t="s">
        <v>120</v>
      </c>
      <c r="D24" s="2" t="s">
        <v>993</v>
      </c>
      <c r="E24" s="2" t="s">
        <v>121</v>
      </c>
      <c r="F24" s="2" t="str">
        <f>VLOOKUP(Orders!E24,Products!A:F,2,FALSE)</f>
        <v>Hair Serum</v>
      </c>
      <c r="G24" s="2" t="s">
        <v>14</v>
      </c>
      <c r="H24" s="2" t="str">
        <f>VLOOKUP(G24,Employees!A:E,2,FALSE)</f>
        <v>Fatima Sheikh</v>
      </c>
      <c r="I24" s="2" t="str">
        <f>VLOOKUP(E24,Products!A:F,3,FALSE)</f>
        <v>Beauty</v>
      </c>
      <c r="J24" s="2" t="s">
        <v>73</v>
      </c>
      <c r="K24" s="2">
        <f>VLOOKUP(E24,Products!A:F,5,FALSE)</f>
        <v>3414.07</v>
      </c>
      <c r="L24" s="2">
        <v>10</v>
      </c>
      <c r="M24" s="2">
        <v>0.05</v>
      </c>
      <c r="N24" s="2">
        <f t="shared" si="0"/>
        <v>34140.700000000004</v>
      </c>
      <c r="O24" s="2">
        <f t="shared" si="1"/>
        <v>32433.665000000001</v>
      </c>
      <c r="P24" s="2" t="s">
        <v>122</v>
      </c>
      <c r="Q24" s="2" t="s">
        <v>17</v>
      </c>
      <c r="R24" t="str">
        <f t="shared" si="2"/>
        <v/>
      </c>
    </row>
    <row r="25" spans="1:18" x14ac:dyDescent="0.3">
      <c r="A25" s="2" t="s">
        <v>123</v>
      </c>
      <c r="B25" s="5">
        <v>45597</v>
      </c>
      <c r="C25" s="2" t="s">
        <v>124</v>
      </c>
      <c r="D25" s="2" t="s">
        <v>1112</v>
      </c>
      <c r="E25" s="2" t="s">
        <v>125</v>
      </c>
      <c r="F25" s="2" t="str">
        <f>VLOOKUP(Orders!E25,Products!A:F,2,FALSE)</f>
        <v>Basmati Rice 5kg</v>
      </c>
      <c r="G25" s="2" t="s">
        <v>82</v>
      </c>
      <c r="H25" s="2" t="str">
        <f>VLOOKUP(G25,Employees!A:E,2,FALSE)</f>
        <v>Priya Nair</v>
      </c>
      <c r="I25" s="2" t="str">
        <f>VLOOKUP(E25,Products!A:F,3,FALSE)</f>
        <v>Grocery</v>
      </c>
      <c r="J25" s="2" t="s">
        <v>15</v>
      </c>
      <c r="K25" s="2">
        <f>VLOOKUP(E25,Products!A:F,5,FALSE)</f>
        <v>2458.91</v>
      </c>
      <c r="L25" s="2">
        <v>7</v>
      </c>
      <c r="M25" s="2">
        <v>0.2</v>
      </c>
      <c r="N25" s="2">
        <f t="shared" si="0"/>
        <v>17212.37</v>
      </c>
      <c r="O25" s="2">
        <f t="shared" si="1"/>
        <v>13769.896000000001</v>
      </c>
      <c r="P25" s="2" t="s">
        <v>126</v>
      </c>
      <c r="Q25" s="2" t="s">
        <v>30</v>
      </c>
      <c r="R25" t="str">
        <f t="shared" si="2"/>
        <v/>
      </c>
    </row>
    <row r="26" spans="1:18" x14ac:dyDescent="0.3">
      <c r="A26" s="2" t="s">
        <v>127</v>
      </c>
      <c r="B26" s="5">
        <v>45516</v>
      </c>
      <c r="C26" s="2" t="s">
        <v>129</v>
      </c>
      <c r="D26" s="2" t="s">
        <v>1113</v>
      </c>
      <c r="E26" s="2" t="s">
        <v>130</v>
      </c>
      <c r="F26" s="2" t="str">
        <f>VLOOKUP(Orders!E26,Products!A:F,2,FALSE)</f>
        <v>Cricket Bat</v>
      </c>
      <c r="G26" s="2" t="s">
        <v>21</v>
      </c>
      <c r="H26" s="2" t="str">
        <f>VLOOKUP(G26,Employees!A:E,2,FALSE)</f>
        <v>Karan Mehta</v>
      </c>
      <c r="I26" s="2" t="str">
        <f>VLOOKUP(E26,Products!A:F,3,FALSE)</f>
        <v>Sports</v>
      </c>
      <c r="J26" s="2" t="s">
        <v>73</v>
      </c>
      <c r="K26" s="2">
        <f>VLOOKUP(E26,Products!A:F,5,FALSE)</f>
        <v>3128.51</v>
      </c>
      <c r="L26" s="2">
        <v>5</v>
      </c>
      <c r="M26" s="2">
        <v>0.05</v>
      </c>
      <c r="N26" s="2">
        <f t="shared" si="0"/>
        <v>15642.550000000001</v>
      </c>
      <c r="O26" s="2">
        <f t="shared" si="1"/>
        <v>14860.422500000001</v>
      </c>
      <c r="P26" s="2" t="s">
        <v>131</v>
      </c>
      <c r="Q26" s="2" t="s">
        <v>30</v>
      </c>
      <c r="R26" t="str">
        <f t="shared" si="2"/>
        <v/>
      </c>
    </row>
    <row r="27" spans="1:18" x14ac:dyDescent="0.3">
      <c r="A27" s="2" t="s">
        <v>132</v>
      </c>
      <c r="B27" s="5">
        <v>45636</v>
      </c>
      <c r="C27" s="2" t="s">
        <v>134</v>
      </c>
      <c r="D27" s="2" t="s">
        <v>1047</v>
      </c>
      <c r="E27" s="2" t="s">
        <v>13</v>
      </c>
      <c r="F27" s="2" t="str">
        <f>VLOOKUP(Orders!E27,Products!A:F,2,FALSE)</f>
        <v>Football</v>
      </c>
      <c r="G27" s="2" t="s">
        <v>45</v>
      </c>
      <c r="H27" s="2" t="str">
        <f>VLOOKUP(G27,Employees!A:E,2,FALSE)</f>
        <v>Rajesh Iyer</v>
      </c>
      <c r="I27" s="2" t="str">
        <f>VLOOKUP(E27,Products!A:F,3,FALSE)</f>
        <v>Sports</v>
      </c>
      <c r="J27" s="2" t="s">
        <v>35</v>
      </c>
      <c r="K27" s="2">
        <f>VLOOKUP(E27,Products!A:F,5,FALSE)</f>
        <v>3493.54</v>
      </c>
      <c r="L27" s="2">
        <v>7</v>
      </c>
      <c r="M27" s="2">
        <v>0.15</v>
      </c>
      <c r="N27" s="2">
        <f t="shared" si="0"/>
        <v>24454.78</v>
      </c>
      <c r="O27" s="2">
        <f t="shared" si="1"/>
        <v>20786.562999999998</v>
      </c>
      <c r="P27" s="2" t="s">
        <v>59</v>
      </c>
      <c r="Q27" s="2" t="s">
        <v>60</v>
      </c>
      <c r="R27" t="str">
        <f t="shared" si="2"/>
        <v/>
      </c>
    </row>
    <row r="28" spans="1:18" x14ac:dyDescent="0.3">
      <c r="A28" s="2" t="s">
        <v>135</v>
      </c>
      <c r="B28" s="5">
        <v>45319</v>
      </c>
      <c r="C28" s="2" t="s">
        <v>137</v>
      </c>
      <c r="D28" s="2" t="s">
        <v>1114</v>
      </c>
      <c r="E28" s="2" t="s">
        <v>106</v>
      </c>
      <c r="F28" s="2" t="str">
        <f>VLOOKUP(Orders!E28,Products!A:F,2,FALSE)</f>
        <v>Winter Scarf</v>
      </c>
      <c r="G28" s="2" t="s">
        <v>34</v>
      </c>
      <c r="H28" s="2" t="str">
        <f>VLOOKUP(G28,Employees!A:E,2,FALSE)</f>
        <v>Rohit Sinha</v>
      </c>
      <c r="I28" s="2" t="str">
        <f>VLOOKUP(E28,Products!A:F,3,FALSE)</f>
        <v>Clothing</v>
      </c>
      <c r="J28" s="2" t="s">
        <v>73</v>
      </c>
      <c r="K28" s="2">
        <f>VLOOKUP(E28,Products!A:F,5,FALSE)</f>
        <v>1559.65</v>
      </c>
      <c r="L28" s="2">
        <v>7</v>
      </c>
      <c r="M28" s="2">
        <v>0.1</v>
      </c>
      <c r="N28" s="2">
        <f t="shared" si="0"/>
        <v>10917.550000000001</v>
      </c>
      <c r="O28" s="2">
        <f t="shared" si="1"/>
        <v>9825.7950000000019</v>
      </c>
      <c r="P28" s="2" t="s">
        <v>138</v>
      </c>
      <c r="Q28" s="2" t="s">
        <v>24</v>
      </c>
      <c r="R28" t="str">
        <f t="shared" si="2"/>
        <v/>
      </c>
    </row>
    <row r="29" spans="1:18" x14ac:dyDescent="0.3">
      <c r="A29" s="2" t="s">
        <v>139</v>
      </c>
      <c r="B29" s="5">
        <v>45730</v>
      </c>
      <c r="C29" s="2" t="s">
        <v>141</v>
      </c>
      <c r="D29" s="2" t="s">
        <v>1115</v>
      </c>
      <c r="E29" s="2" t="s">
        <v>33</v>
      </c>
      <c r="F29" s="2" t="str">
        <f>VLOOKUP(Orders!E29,Products!A:F,2,FALSE)</f>
        <v>Cooking Oil 1L</v>
      </c>
      <c r="G29" s="2" t="s">
        <v>45</v>
      </c>
      <c r="H29" s="2" t="str">
        <f>VLOOKUP(G29,Employees!A:E,2,FALSE)</f>
        <v>Rajesh Iyer</v>
      </c>
      <c r="I29" s="2" t="str">
        <f>VLOOKUP(E29,Products!A:F,3,FALSE)</f>
        <v>Grocery</v>
      </c>
      <c r="J29" s="2" t="s">
        <v>15</v>
      </c>
      <c r="K29" s="2">
        <f>VLOOKUP(E29,Products!A:F,5,FALSE)</f>
        <v>620.89</v>
      </c>
      <c r="L29" s="2">
        <v>3</v>
      </c>
      <c r="M29" s="2">
        <v>0.2</v>
      </c>
      <c r="N29" s="2">
        <f t="shared" si="0"/>
        <v>1862.67</v>
      </c>
      <c r="O29" s="2">
        <f t="shared" si="1"/>
        <v>1490.1360000000002</v>
      </c>
      <c r="P29" s="2" t="s">
        <v>11</v>
      </c>
      <c r="Q29" s="2" t="s">
        <v>24</v>
      </c>
      <c r="R29" t="str">
        <f t="shared" si="2"/>
        <v/>
      </c>
    </row>
    <row r="30" spans="1:18" x14ac:dyDescent="0.3">
      <c r="A30" s="2" t="s">
        <v>142</v>
      </c>
      <c r="B30" s="5">
        <v>45558</v>
      </c>
      <c r="C30" s="2" t="s">
        <v>144</v>
      </c>
      <c r="D30" s="2" t="s">
        <v>1116</v>
      </c>
      <c r="E30" s="2" t="s">
        <v>145</v>
      </c>
      <c r="F30" s="2" t="str">
        <f>VLOOKUP(Orders!E30,Products!A:F,2,FALSE)</f>
        <v>Storage Box</v>
      </c>
      <c r="G30" s="2" t="s">
        <v>45</v>
      </c>
      <c r="H30" s="2" t="str">
        <f>VLOOKUP(G30,Employees!A:E,2,FALSE)</f>
        <v>Rajesh Iyer</v>
      </c>
      <c r="I30" s="2" t="str">
        <f>VLOOKUP(E30,Products!A:F,3,FALSE)</f>
        <v>Home &amp; Kitchen</v>
      </c>
      <c r="J30" s="2" t="s">
        <v>35</v>
      </c>
      <c r="K30" s="2">
        <f>VLOOKUP(E30,Products!A:F,5,FALSE)</f>
        <v>2612.71</v>
      </c>
      <c r="L30" s="2">
        <v>7</v>
      </c>
      <c r="M30" s="2">
        <v>0</v>
      </c>
      <c r="N30" s="2">
        <f t="shared" si="0"/>
        <v>18288.97</v>
      </c>
      <c r="O30" s="2">
        <f t="shared" si="1"/>
        <v>18288.97</v>
      </c>
      <c r="P30" s="2" t="s">
        <v>146</v>
      </c>
      <c r="Q30" s="2" t="s">
        <v>17</v>
      </c>
      <c r="R30" t="str">
        <f t="shared" si="2"/>
        <v/>
      </c>
    </row>
    <row r="31" spans="1:18" x14ac:dyDescent="0.3">
      <c r="A31" s="2" t="s">
        <v>147</v>
      </c>
      <c r="B31" s="5">
        <v>45637</v>
      </c>
      <c r="C31" s="2" t="s">
        <v>124</v>
      </c>
      <c r="D31" s="2" t="s">
        <v>1112</v>
      </c>
      <c r="E31" s="2" t="s">
        <v>148</v>
      </c>
      <c r="F31" s="2" t="str">
        <f>VLOOKUP(Orders!E31,Products!A:F,2,FALSE)</f>
        <v>Green Tea Pack</v>
      </c>
      <c r="G31" s="2" t="s">
        <v>82</v>
      </c>
      <c r="H31" s="2" t="str">
        <f>VLOOKUP(G31,Employees!A:E,2,FALSE)</f>
        <v>Priya Nair</v>
      </c>
      <c r="I31" s="2" t="str">
        <f>VLOOKUP(E31,Products!A:F,3,FALSE)</f>
        <v>Grocery</v>
      </c>
      <c r="J31" s="2" t="s">
        <v>22</v>
      </c>
      <c r="K31" s="2">
        <f>VLOOKUP(E31,Products!A:F,5,FALSE)</f>
        <v>3576.75</v>
      </c>
      <c r="L31" s="2">
        <v>7</v>
      </c>
      <c r="M31" s="2">
        <v>0</v>
      </c>
      <c r="N31" s="2">
        <f t="shared" si="0"/>
        <v>25037.25</v>
      </c>
      <c r="O31" s="2">
        <f t="shared" si="1"/>
        <v>25037.25</v>
      </c>
      <c r="P31" s="2" t="s">
        <v>149</v>
      </c>
      <c r="Q31" s="2" t="s">
        <v>24</v>
      </c>
      <c r="R31" t="str">
        <f t="shared" si="2"/>
        <v/>
      </c>
    </row>
    <row r="32" spans="1:18" x14ac:dyDescent="0.3">
      <c r="A32" s="2" t="s">
        <v>150</v>
      </c>
      <c r="B32" s="5">
        <v>45773</v>
      </c>
      <c r="C32" s="2" t="s">
        <v>152</v>
      </c>
      <c r="D32" s="2" t="s">
        <v>944</v>
      </c>
      <c r="E32" s="2" t="s">
        <v>153</v>
      </c>
      <c r="F32" s="2" t="str">
        <f>VLOOKUP(Orders!E32,Products!A:F,2,FALSE)</f>
        <v>Novel - Fiction</v>
      </c>
      <c r="G32" s="2" t="s">
        <v>21</v>
      </c>
      <c r="H32" s="2" t="str">
        <f>VLOOKUP(G32,Employees!A:E,2,FALSE)</f>
        <v>Karan Mehta</v>
      </c>
      <c r="I32" s="2" t="str">
        <f>VLOOKUP(E32,Products!A:F,3,FALSE)</f>
        <v>Books</v>
      </c>
      <c r="J32" s="2" t="s">
        <v>73</v>
      </c>
      <c r="K32" s="2">
        <f>VLOOKUP(E32,Products!A:F,5,FALSE)</f>
        <v>2128.4</v>
      </c>
      <c r="L32" s="2">
        <v>1</v>
      </c>
      <c r="M32" s="2">
        <v>0.15</v>
      </c>
      <c r="N32" s="2">
        <f t="shared" si="0"/>
        <v>2128.4</v>
      </c>
      <c r="O32" s="2">
        <f t="shared" si="1"/>
        <v>1809.14</v>
      </c>
      <c r="P32" s="2" t="s">
        <v>154</v>
      </c>
      <c r="Q32" s="2" t="s">
        <v>17</v>
      </c>
      <c r="R32" t="str">
        <f t="shared" si="2"/>
        <v/>
      </c>
    </row>
    <row r="33" spans="1:18" x14ac:dyDescent="0.3">
      <c r="A33" s="2" t="s">
        <v>155</v>
      </c>
      <c r="B33" s="5">
        <v>45521</v>
      </c>
      <c r="C33" s="2" t="s">
        <v>157</v>
      </c>
      <c r="D33" s="2" t="s">
        <v>1117</v>
      </c>
      <c r="E33" s="2" t="s">
        <v>40</v>
      </c>
      <c r="F33" s="2" t="str">
        <f>VLOOKUP(Orders!E33,Products!A:F,2,FALSE)</f>
        <v>Board Game</v>
      </c>
      <c r="G33" s="2" t="s">
        <v>14</v>
      </c>
      <c r="H33" s="2" t="str">
        <f>VLOOKUP(G33,Employees!A:E,2,FALSE)</f>
        <v>Fatima Sheikh</v>
      </c>
      <c r="I33" s="2" t="str">
        <f>VLOOKUP(E33,Products!A:F,3,FALSE)</f>
        <v>Toys</v>
      </c>
      <c r="J33" s="2" t="s">
        <v>73</v>
      </c>
      <c r="K33" s="2">
        <f>VLOOKUP(E33,Products!A:F,5,FALSE)</f>
        <v>136.91</v>
      </c>
      <c r="L33" s="2">
        <v>2</v>
      </c>
      <c r="M33" s="2">
        <v>0.2</v>
      </c>
      <c r="N33" s="2">
        <f t="shared" si="0"/>
        <v>273.82</v>
      </c>
      <c r="O33" s="2">
        <f t="shared" si="1"/>
        <v>219.05600000000001</v>
      </c>
      <c r="P33" s="2" t="s">
        <v>158</v>
      </c>
      <c r="Q33" s="2" t="s">
        <v>60</v>
      </c>
      <c r="R33" t="str">
        <f t="shared" si="2"/>
        <v/>
      </c>
    </row>
    <row r="34" spans="1:18" x14ac:dyDescent="0.3">
      <c r="A34" s="2" t="s">
        <v>159</v>
      </c>
      <c r="B34" s="5">
        <v>45496</v>
      </c>
      <c r="C34" s="2" t="s">
        <v>160</v>
      </c>
      <c r="D34" s="2" t="s">
        <v>1118</v>
      </c>
      <c r="E34" s="2" t="s">
        <v>161</v>
      </c>
      <c r="F34" s="2" t="str">
        <f>VLOOKUP(Orders!E34,Products!A:F,2,FALSE)</f>
        <v>Lipstick</v>
      </c>
      <c r="G34" s="2" t="s">
        <v>34</v>
      </c>
      <c r="H34" s="2" t="str">
        <f>VLOOKUP(G34,Employees!A:E,2,FALSE)</f>
        <v>Rohit Sinha</v>
      </c>
      <c r="I34" s="2" t="str">
        <f>VLOOKUP(E34,Products!A:F,3,FALSE)</f>
        <v>Beauty</v>
      </c>
      <c r="J34" s="2" t="s">
        <v>15</v>
      </c>
      <c r="K34" s="2">
        <f>VLOOKUP(E34,Products!A:F,5,FALSE)</f>
        <v>1513.99</v>
      </c>
      <c r="L34" s="2">
        <v>1</v>
      </c>
      <c r="M34" s="2">
        <v>0.1</v>
      </c>
      <c r="N34" s="2">
        <f t="shared" si="0"/>
        <v>1513.99</v>
      </c>
      <c r="O34" s="2">
        <f t="shared" si="1"/>
        <v>1362.5910000000001</v>
      </c>
      <c r="P34" s="2" t="s">
        <v>162</v>
      </c>
      <c r="Q34" s="2" t="s">
        <v>60</v>
      </c>
      <c r="R34" t="str">
        <f t="shared" si="2"/>
        <v/>
      </c>
    </row>
    <row r="35" spans="1:18" x14ac:dyDescent="0.3">
      <c r="A35" s="2" t="s">
        <v>163</v>
      </c>
      <c r="B35" s="5">
        <v>45776</v>
      </c>
      <c r="C35" s="2" t="s">
        <v>134</v>
      </c>
      <c r="D35" s="2" t="s">
        <v>1047</v>
      </c>
      <c r="E35" s="2" t="s">
        <v>164</v>
      </c>
      <c r="F35" s="2" t="str">
        <f>VLOOKUP(Orders!E35,Products!A:F,2,FALSE)</f>
        <v>Biography</v>
      </c>
      <c r="G35" s="2" t="s">
        <v>14</v>
      </c>
      <c r="H35" s="2" t="str">
        <f>VLOOKUP(G35,Employees!A:E,2,FALSE)</f>
        <v>Fatima Sheikh</v>
      </c>
      <c r="I35" s="2" t="str">
        <f>VLOOKUP(E35,Products!A:F,3,FALSE)</f>
        <v>Books</v>
      </c>
      <c r="J35" s="2" t="s">
        <v>35</v>
      </c>
      <c r="K35" s="2">
        <f>VLOOKUP(E35,Products!A:F,5,FALSE)</f>
        <v>2489.91</v>
      </c>
      <c r="L35" s="2">
        <v>2</v>
      </c>
      <c r="M35" s="2">
        <v>0.1</v>
      </c>
      <c r="N35" s="2">
        <f t="shared" si="0"/>
        <v>4979.82</v>
      </c>
      <c r="O35" s="2">
        <f t="shared" si="1"/>
        <v>4481.8379999999997</v>
      </c>
      <c r="P35" s="2" t="s">
        <v>165</v>
      </c>
      <c r="Q35" s="2" t="s">
        <v>17</v>
      </c>
      <c r="R35" t="str">
        <f t="shared" si="2"/>
        <v/>
      </c>
    </row>
    <row r="36" spans="1:18" x14ac:dyDescent="0.3">
      <c r="A36" s="2" t="s">
        <v>166</v>
      </c>
      <c r="B36" s="5">
        <v>45669</v>
      </c>
      <c r="C36" s="2" t="s">
        <v>168</v>
      </c>
      <c r="D36" s="2" t="s">
        <v>1119</v>
      </c>
      <c r="E36" s="2" t="s">
        <v>77</v>
      </c>
      <c r="F36" s="2" t="str">
        <f>VLOOKUP(Orders!E36,Products!A:F,2,FALSE)</f>
        <v>USB-C Charger</v>
      </c>
      <c r="G36" s="2" t="s">
        <v>21</v>
      </c>
      <c r="H36" s="2" t="str">
        <f>VLOOKUP(G36,Employees!A:E,2,FALSE)</f>
        <v>Karan Mehta</v>
      </c>
      <c r="I36" s="2" t="str">
        <f>VLOOKUP(E36,Products!A:F,3,FALSE)</f>
        <v>Electronics</v>
      </c>
      <c r="J36" s="2" t="s">
        <v>73</v>
      </c>
      <c r="K36" s="2">
        <f>VLOOKUP(E36,Products!A:F,5,FALSE)</f>
        <v>3550.89</v>
      </c>
      <c r="L36" s="2">
        <v>3</v>
      </c>
      <c r="M36" s="2">
        <v>0.1</v>
      </c>
      <c r="N36" s="2">
        <f t="shared" si="0"/>
        <v>10652.67</v>
      </c>
      <c r="O36" s="2">
        <f t="shared" si="1"/>
        <v>9587.4030000000002</v>
      </c>
      <c r="P36" s="2" t="s">
        <v>169</v>
      </c>
      <c r="Q36" s="2" t="s">
        <v>60</v>
      </c>
      <c r="R36" t="str">
        <f t="shared" si="2"/>
        <v/>
      </c>
    </row>
    <row r="37" spans="1:18" x14ac:dyDescent="0.3">
      <c r="A37" s="2" t="s">
        <v>170</v>
      </c>
      <c r="B37" s="5">
        <v>45610</v>
      </c>
      <c r="C37" s="2" t="s">
        <v>171</v>
      </c>
      <c r="D37" s="2" t="s">
        <v>1010</v>
      </c>
      <c r="E37" s="2" t="s">
        <v>172</v>
      </c>
      <c r="F37" s="2" t="str">
        <f>VLOOKUP(Orders!E37,Products!A:F,2,FALSE)</f>
        <v>Ceramic Mug Set</v>
      </c>
      <c r="G37" s="2" t="s">
        <v>45</v>
      </c>
      <c r="H37" s="2" t="str">
        <f>VLOOKUP(G37,Employees!A:E,2,FALSE)</f>
        <v>Rajesh Iyer</v>
      </c>
      <c r="I37" s="2" t="str">
        <f>VLOOKUP(E37,Products!A:F,3,FALSE)</f>
        <v>Home &amp; Kitchen</v>
      </c>
      <c r="J37" s="2" t="s">
        <v>22</v>
      </c>
      <c r="K37" s="2">
        <f>VLOOKUP(E37,Products!A:F,5,FALSE)</f>
        <v>2849.53</v>
      </c>
      <c r="L37" s="2">
        <v>2</v>
      </c>
      <c r="M37" s="2">
        <v>0.1</v>
      </c>
      <c r="N37" s="2">
        <f t="shared" si="0"/>
        <v>5699.06</v>
      </c>
      <c r="O37" s="2">
        <f t="shared" si="1"/>
        <v>5129.1540000000005</v>
      </c>
      <c r="P37" s="2" t="s">
        <v>173</v>
      </c>
      <c r="Q37" s="2" t="s">
        <v>42</v>
      </c>
      <c r="R37" t="str">
        <f t="shared" si="2"/>
        <v/>
      </c>
    </row>
    <row r="38" spans="1:18" x14ac:dyDescent="0.3">
      <c r="A38" s="2" t="s">
        <v>174</v>
      </c>
      <c r="B38" s="5">
        <v>45676</v>
      </c>
      <c r="C38" s="2" t="s">
        <v>176</v>
      </c>
      <c r="D38" s="2" t="s">
        <v>1120</v>
      </c>
      <c r="E38" s="2" t="s">
        <v>161</v>
      </c>
      <c r="F38" s="2" t="str">
        <f>VLOOKUP(Orders!E38,Products!A:F,2,FALSE)</f>
        <v>Lipstick</v>
      </c>
      <c r="G38" s="2" t="s">
        <v>82</v>
      </c>
      <c r="H38" s="2" t="str">
        <f>VLOOKUP(G38,Employees!A:E,2,FALSE)</f>
        <v>Priya Nair</v>
      </c>
      <c r="I38" s="2" t="str">
        <f>VLOOKUP(E38,Products!A:F,3,FALSE)</f>
        <v>Beauty</v>
      </c>
      <c r="J38" s="2" t="s">
        <v>73</v>
      </c>
      <c r="K38" s="2">
        <f>VLOOKUP(E38,Products!A:F,5,FALSE)</f>
        <v>1513.99</v>
      </c>
      <c r="L38" s="2">
        <v>7</v>
      </c>
      <c r="M38" s="2">
        <v>0.15</v>
      </c>
      <c r="N38" s="2">
        <f t="shared" si="0"/>
        <v>10597.93</v>
      </c>
      <c r="O38" s="2">
        <f t="shared" si="1"/>
        <v>9008.2404999999999</v>
      </c>
      <c r="P38" s="2" t="s">
        <v>177</v>
      </c>
      <c r="Q38" s="2" t="s">
        <v>42</v>
      </c>
      <c r="R38" t="str">
        <f t="shared" si="2"/>
        <v/>
      </c>
    </row>
    <row r="39" spans="1:18" x14ac:dyDescent="0.3">
      <c r="A39" s="2" t="s">
        <v>178</v>
      </c>
      <c r="B39" s="5">
        <v>45540</v>
      </c>
      <c r="C39" s="2" t="s">
        <v>180</v>
      </c>
      <c r="D39" s="2" t="s">
        <v>1121</v>
      </c>
      <c r="E39" s="2" t="s">
        <v>148</v>
      </c>
      <c r="F39" s="2" t="str">
        <f>VLOOKUP(Orders!E39,Products!A:F,2,FALSE)</f>
        <v>Green Tea Pack</v>
      </c>
      <c r="G39" s="2" t="s">
        <v>82</v>
      </c>
      <c r="H39" s="2" t="str">
        <f>VLOOKUP(G39,Employees!A:E,2,FALSE)</f>
        <v>Priya Nair</v>
      </c>
      <c r="I39" s="2" t="str">
        <f>VLOOKUP(E39,Products!A:F,3,FALSE)</f>
        <v>Grocery</v>
      </c>
      <c r="J39" s="2" t="s">
        <v>73</v>
      </c>
      <c r="K39" s="2">
        <f>VLOOKUP(E39,Products!A:F,5,FALSE)</f>
        <v>3576.75</v>
      </c>
      <c r="L39" s="2">
        <v>2</v>
      </c>
      <c r="M39" s="2">
        <v>0.15</v>
      </c>
      <c r="N39" s="2">
        <f t="shared" si="0"/>
        <v>7153.5</v>
      </c>
      <c r="O39" s="2">
        <f t="shared" si="1"/>
        <v>6080.4749999999995</v>
      </c>
      <c r="P39" s="2" t="s">
        <v>93</v>
      </c>
      <c r="Q39" s="2" t="s">
        <v>42</v>
      </c>
      <c r="R39" t="str">
        <f t="shared" si="2"/>
        <v/>
      </c>
    </row>
    <row r="40" spans="1:18" x14ac:dyDescent="0.3">
      <c r="A40" s="2" t="s">
        <v>181</v>
      </c>
      <c r="B40" s="5">
        <v>45334</v>
      </c>
      <c r="C40" s="2" t="s">
        <v>160</v>
      </c>
      <c r="D40" s="2" t="s">
        <v>1118</v>
      </c>
      <c r="E40" s="2" t="s">
        <v>164</v>
      </c>
      <c r="F40" s="2" t="str">
        <f>VLOOKUP(Orders!E40,Products!A:F,2,FALSE)</f>
        <v>Biography</v>
      </c>
      <c r="G40" s="2" t="s">
        <v>21</v>
      </c>
      <c r="H40" s="2" t="str">
        <f>VLOOKUP(G40,Employees!A:E,2,FALSE)</f>
        <v>Karan Mehta</v>
      </c>
      <c r="I40" s="2" t="str">
        <f>VLOOKUP(E40,Products!A:F,3,FALSE)</f>
        <v>Books</v>
      </c>
      <c r="J40" s="2" t="s">
        <v>22</v>
      </c>
      <c r="K40" s="2">
        <f>VLOOKUP(E40,Products!A:F,5,FALSE)</f>
        <v>2489.91</v>
      </c>
      <c r="L40" s="2">
        <v>6</v>
      </c>
      <c r="M40" s="2">
        <v>0.1</v>
      </c>
      <c r="N40" s="2">
        <f t="shared" si="0"/>
        <v>14939.46</v>
      </c>
      <c r="O40" s="2">
        <f t="shared" si="1"/>
        <v>13445.513999999999</v>
      </c>
      <c r="P40" s="2" t="s">
        <v>182</v>
      </c>
      <c r="Q40" s="2" t="s">
        <v>24</v>
      </c>
      <c r="R40" t="str">
        <f t="shared" si="2"/>
        <v/>
      </c>
    </row>
    <row r="41" spans="1:18" x14ac:dyDescent="0.3">
      <c r="A41" s="2" t="s">
        <v>183</v>
      </c>
      <c r="B41" s="5">
        <v>45810</v>
      </c>
      <c r="C41" s="2" t="s">
        <v>39</v>
      </c>
      <c r="D41" s="2" t="s">
        <v>990</v>
      </c>
      <c r="E41" s="2" t="s">
        <v>33</v>
      </c>
      <c r="F41" s="2" t="str">
        <f>VLOOKUP(Orders!E41,Products!A:F,2,FALSE)</f>
        <v>Cooking Oil 1L</v>
      </c>
      <c r="G41" s="2" t="s">
        <v>14</v>
      </c>
      <c r="H41" s="2" t="str">
        <f>VLOOKUP(G41,Employees!A:E,2,FALSE)</f>
        <v>Fatima Sheikh</v>
      </c>
      <c r="I41" s="2" t="str">
        <f>VLOOKUP(E41,Products!A:F,3,FALSE)</f>
        <v>Grocery</v>
      </c>
      <c r="J41" s="2" t="s">
        <v>35</v>
      </c>
      <c r="K41" s="2">
        <f>VLOOKUP(E41,Products!A:F,5,FALSE)</f>
        <v>620.89</v>
      </c>
      <c r="L41" s="2">
        <v>6</v>
      </c>
      <c r="M41" s="2">
        <v>0</v>
      </c>
      <c r="N41" s="2">
        <f t="shared" si="0"/>
        <v>3725.34</v>
      </c>
      <c r="O41" s="2">
        <f t="shared" si="1"/>
        <v>3725.34</v>
      </c>
      <c r="P41" s="2" t="s">
        <v>184</v>
      </c>
      <c r="Q41" s="2" t="s">
        <v>24</v>
      </c>
      <c r="R41" t="str">
        <f t="shared" si="2"/>
        <v/>
      </c>
    </row>
    <row r="42" spans="1:18" x14ac:dyDescent="0.3">
      <c r="A42" s="2" t="s">
        <v>185</v>
      </c>
      <c r="B42" s="5">
        <v>45735</v>
      </c>
      <c r="C42" s="2" t="s">
        <v>187</v>
      </c>
      <c r="D42" s="2" t="s">
        <v>1122</v>
      </c>
      <c r="E42" s="2" t="s">
        <v>130</v>
      </c>
      <c r="F42" s="2" t="str">
        <f>VLOOKUP(Orders!E42,Products!A:F,2,FALSE)</f>
        <v>Cricket Bat</v>
      </c>
      <c r="G42" s="2" t="s">
        <v>34</v>
      </c>
      <c r="H42" s="2" t="str">
        <f>VLOOKUP(G42,Employees!A:E,2,FALSE)</f>
        <v>Rohit Sinha</v>
      </c>
      <c r="I42" s="2" t="str">
        <f>VLOOKUP(E42,Products!A:F,3,FALSE)</f>
        <v>Sports</v>
      </c>
      <c r="J42" s="2" t="s">
        <v>15</v>
      </c>
      <c r="K42" s="2">
        <f>VLOOKUP(E42,Products!A:F,5,FALSE)</f>
        <v>3128.51</v>
      </c>
      <c r="L42" s="2">
        <v>6</v>
      </c>
      <c r="M42" s="2">
        <v>0.15</v>
      </c>
      <c r="N42" s="2">
        <f t="shared" si="0"/>
        <v>18771.060000000001</v>
      </c>
      <c r="O42" s="2">
        <f t="shared" si="1"/>
        <v>15955.401</v>
      </c>
      <c r="P42" s="2" t="s">
        <v>188</v>
      </c>
      <c r="Q42" s="2" t="s">
        <v>30</v>
      </c>
      <c r="R42" t="str">
        <f t="shared" si="2"/>
        <v/>
      </c>
    </row>
    <row r="43" spans="1:18" x14ac:dyDescent="0.3">
      <c r="A43" s="2" t="s">
        <v>189</v>
      </c>
      <c r="B43" s="5">
        <v>45472</v>
      </c>
      <c r="C43" s="2" t="s">
        <v>190</v>
      </c>
      <c r="D43" s="2" t="s">
        <v>1119</v>
      </c>
      <c r="E43" s="2" t="s">
        <v>164</v>
      </c>
      <c r="F43" s="2" t="str">
        <f>VLOOKUP(Orders!E43,Products!A:F,2,FALSE)</f>
        <v>Biography</v>
      </c>
      <c r="G43" s="2" t="s">
        <v>14</v>
      </c>
      <c r="H43" s="2" t="str">
        <f>VLOOKUP(G43,Employees!A:E,2,FALSE)</f>
        <v>Fatima Sheikh</v>
      </c>
      <c r="I43" s="2" t="str">
        <f>VLOOKUP(E43,Products!A:F,3,FALSE)</f>
        <v>Books</v>
      </c>
      <c r="J43" s="2" t="s">
        <v>35</v>
      </c>
      <c r="K43" s="2">
        <f>VLOOKUP(E43,Products!A:F,5,FALSE)</f>
        <v>2489.91</v>
      </c>
      <c r="L43" s="2">
        <v>9</v>
      </c>
      <c r="M43" s="2">
        <v>0.15</v>
      </c>
      <c r="N43" s="2">
        <f t="shared" si="0"/>
        <v>22409.19</v>
      </c>
      <c r="O43" s="2">
        <f t="shared" si="1"/>
        <v>19047.8115</v>
      </c>
      <c r="P43" s="2" t="s">
        <v>191</v>
      </c>
      <c r="Q43" s="2" t="s">
        <v>30</v>
      </c>
      <c r="R43" t="str">
        <f t="shared" si="2"/>
        <v/>
      </c>
    </row>
    <row r="44" spans="1:18" x14ac:dyDescent="0.3">
      <c r="A44" s="2" t="s">
        <v>192</v>
      </c>
      <c r="B44" s="5">
        <v>45738</v>
      </c>
      <c r="C44" s="2" t="s">
        <v>187</v>
      </c>
      <c r="D44" s="2" t="s">
        <v>1122</v>
      </c>
      <c r="E44" s="2" t="s">
        <v>172</v>
      </c>
      <c r="F44" s="2" t="str">
        <f>VLOOKUP(Orders!E44,Products!A:F,2,FALSE)</f>
        <v>Ceramic Mug Set</v>
      </c>
      <c r="G44" s="2" t="s">
        <v>34</v>
      </c>
      <c r="H44" s="2" t="str">
        <f>VLOOKUP(G44,Employees!A:E,2,FALSE)</f>
        <v>Rohit Sinha</v>
      </c>
      <c r="I44" s="2" t="str">
        <f>VLOOKUP(E44,Products!A:F,3,FALSE)</f>
        <v>Home &amp; Kitchen</v>
      </c>
      <c r="J44" s="2" t="s">
        <v>15</v>
      </c>
      <c r="K44" s="2">
        <f>VLOOKUP(E44,Products!A:F,5,FALSE)</f>
        <v>2849.53</v>
      </c>
      <c r="L44" s="2">
        <v>10</v>
      </c>
      <c r="M44" s="2">
        <v>0</v>
      </c>
      <c r="N44" s="2">
        <f t="shared" si="0"/>
        <v>28495.300000000003</v>
      </c>
      <c r="O44" s="2">
        <f t="shared" si="1"/>
        <v>28495.300000000003</v>
      </c>
      <c r="P44" s="2" t="s">
        <v>193</v>
      </c>
      <c r="Q44" s="2" t="s">
        <v>24</v>
      </c>
      <c r="R44" t="str">
        <f t="shared" si="2"/>
        <v/>
      </c>
    </row>
    <row r="45" spans="1:18" x14ac:dyDescent="0.3">
      <c r="A45" s="2" t="s">
        <v>194</v>
      </c>
      <c r="B45" s="5">
        <v>45577</v>
      </c>
      <c r="C45" s="2" t="s">
        <v>144</v>
      </c>
      <c r="D45" s="2" t="s">
        <v>1116</v>
      </c>
      <c r="E45" s="2" t="s">
        <v>196</v>
      </c>
      <c r="F45" s="2" t="str">
        <f>VLOOKUP(Orders!E45,Products!A:F,2,FALSE)</f>
        <v>Laptop Stand</v>
      </c>
      <c r="G45" s="2" t="s">
        <v>82</v>
      </c>
      <c r="H45" s="2" t="str">
        <f>VLOOKUP(G45,Employees!A:E,2,FALSE)</f>
        <v>Priya Nair</v>
      </c>
      <c r="I45" s="2" t="str">
        <f>VLOOKUP(E45,Products!A:F,3,FALSE)</f>
        <v>Electronics</v>
      </c>
      <c r="J45" s="2" t="s">
        <v>35</v>
      </c>
      <c r="K45" s="2">
        <f>VLOOKUP(E45,Products!A:F,5,FALSE)</f>
        <v>2184.5100000000002</v>
      </c>
      <c r="L45" s="2">
        <v>8</v>
      </c>
      <c r="M45" s="2">
        <v>0</v>
      </c>
      <c r="N45" s="2">
        <f t="shared" si="0"/>
        <v>17476.080000000002</v>
      </c>
      <c r="O45" s="2">
        <f t="shared" si="1"/>
        <v>17476.080000000002</v>
      </c>
      <c r="P45" s="2" t="s">
        <v>197</v>
      </c>
      <c r="Q45" s="2" t="s">
        <v>17</v>
      </c>
      <c r="R45" t="str">
        <f t="shared" si="2"/>
        <v/>
      </c>
    </row>
    <row r="46" spans="1:18" x14ac:dyDescent="0.3">
      <c r="A46" s="2" t="s">
        <v>198</v>
      </c>
      <c r="B46" s="5">
        <v>45321</v>
      </c>
      <c r="C46" s="2" t="s">
        <v>199</v>
      </c>
      <c r="D46" s="2" t="s">
        <v>1123</v>
      </c>
      <c r="E46" s="2" t="s">
        <v>81</v>
      </c>
      <c r="F46" s="2" t="str">
        <f>VLOOKUP(Orders!E46,Products!A:F,2,FALSE)</f>
        <v>Earbuds</v>
      </c>
      <c r="G46" s="2" t="s">
        <v>45</v>
      </c>
      <c r="H46" s="2" t="str">
        <f>VLOOKUP(G46,Employees!A:E,2,FALSE)</f>
        <v>Rajesh Iyer</v>
      </c>
      <c r="I46" s="2" t="str">
        <f>VLOOKUP(E46,Products!A:F,3,FALSE)</f>
        <v>Electronics</v>
      </c>
      <c r="J46" s="2" t="s">
        <v>15</v>
      </c>
      <c r="K46" s="2">
        <f>VLOOKUP(E46,Products!A:F,5,FALSE)</f>
        <v>1044.7</v>
      </c>
      <c r="L46" s="2">
        <v>8</v>
      </c>
      <c r="M46" s="2">
        <v>0.2</v>
      </c>
      <c r="N46" s="2">
        <f t="shared" si="0"/>
        <v>8357.6</v>
      </c>
      <c r="O46" s="2">
        <f t="shared" si="1"/>
        <v>6686.0800000000008</v>
      </c>
      <c r="P46" s="2" t="s">
        <v>200</v>
      </c>
      <c r="Q46" s="2" t="s">
        <v>30</v>
      </c>
      <c r="R46" t="str">
        <f t="shared" si="2"/>
        <v/>
      </c>
    </row>
    <row r="47" spans="1:18" x14ac:dyDescent="0.3">
      <c r="A47" s="2" t="s">
        <v>201</v>
      </c>
      <c r="B47" s="5">
        <v>45509</v>
      </c>
      <c r="C47" s="2" t="s">
        <v>202</v>
      </c>
      <c r="D47" s="2" t="s">
        <v>1124</v>
      </c>
      <c r="E47" s="2" t="s">
        <v>67</v>
      </c>
      <c r="F47" s="2" t="str">
        <f>VLOOKUP(Orders!E47,Products!A:F,2,FALSE)</f>
        <v>Remote Car</v>
      </c>
      <c r="G47" s="2" t="s">
        <v>34</v>
      </c>
      <c r="H47" s="2" t="str">
        <f>VLOOKUP(G47,Employees!A:E,2,FALSE)</f>
        <v>Rohit Sinha</v>
      </c>
      <c r="I47" s="2" t="str">
        <f>VLOOKUP(E47,Products!A:F,3,FALSE)</f>
        <v>Toys</v>
      </c>
      <c r="J47" s="2" t="s">
        <v>22</v>
      </c>
      <c r="K47" s="2">
        <f>VLOOKUP(E47,Products!A:F,5,FALSE)</f>
        <v>3205.14</v>
      </c>
      <c r="L47" s="2">
        <v>6</v>
      </c>
      <c r="M47" s="2">
        <v>0.2</v>
      </c>
      <c r="N47" s="2">
        <f t="shared" si="0"/>
        <v>19230.84</v>
      </c>
      <c r="O47" s="2">
        <f t="shared" si="1"/>
        <v>15384.672</v>
      </c>
      <c r="P47" s="2" t="s">
        <v>203</v>
      </c>
      <c r="Q47" s="2" t="s">
        <v>17</v>
      </c>
      <c r="R47" t="str">
        <f t="shared" si="2"/>
        <v/>
      </c>
    </row>
    <row r="48" spans="1:18" x14ac:dyDescent="0.3">
      <c r="A48" s="2" t="s">
        <v>204</v>
      </c>
      <c r="B48" s="5">
        <v>45574</v>
      </c>
      <c r="C48" s="2" t="s">
        <v>134</v>
      </c>
      <c r="D48" s="2" t="s">
        <v>1047</v>
      </c>
      <c r="E48" s="2" t="s">
        <v>206</v>
      </c>
      <c r="F48" s="2" t="str">
        <f>VLOOKUP(Orders!E48,Products!A:F,2,FALSE)</f>
        <v>Power Bank</v>
      </c>
      <c r="G48" s="2" t="s">
        <v>34</v>
      </c>
      <c r="H48" s="2" t="str">
        <f>VLOOKUP(G48,Employees!A:E,2,FALSE)</f>
        <v>Rohit Sinha</v>
      </c>
      <c r="I48" s="2" t="str">
        <f>VLOOKUP(E48,Products!A:F,3,FALSE)</f>
        <v>Electronics</v>
      </c>
      <c r="J48" s="2" t="s">
        <v>15</v>
      </c>
      <c r="K48" s="2">
        <f>VLOOKUP(E48,Products!A:F,5,FALSE)</f>
        <v>2779.58</v>
      </c>
      <c r="L48" s="2">
        <v>9</v>
      </c>
      <c r="M48" s="2">
        <v>0</v>
      </c>
      <c r="N48" s="2">
        <f t="shared" si="0"/>
        <v>25016.22</v>
      </c>
      <c r="O48" s="2">
        <f t="shared" si="1"/>
        <v>25016.22</v>
      </c>
      <c r="P48" s="2" t="s">
        <v>207</v>
      </c>
      <c r="Q48" s="2" t="s">
        <v>24</v>
      </c>
      <c r="R48" t="str">
        <f t="shared" si="2"/>
        <v/>
      </c>
    </row>
    <row r="49" spans="1:18" x14ac:dyDescent="0.3">
      <c r="A49" s="2" t="s">
        <v>208</v>
      </c>
      <c r="B49" s="5">
        <v>45539</v>
      </c>
      <c r="C49" s="2" t="s">
        <v>209</v>
      </c>
      <c r="D49" s="2" t="s">
        <v>966</v>
      </c>
      <c r="E49" s="2" t="s">
        <v>210</v>
      </c>
      <c r="F49" s="2" t="str">
        <f>VLOOKUP(Orders!E49,Products!A:F,2,FALSE)</f>
        <v>Skipping Rope</v>
      </c>
      <c r="G49" s="2" t="s">
        <v>45</v>
      </c>
      <c r="H49" s="2" t="str">
        <f>VLOOKUP(G49,Employees!A:E,2,FALSE)</f>
        <v>Rajesh Iyer</v>
      </c>
      <c r="I49" s="2" t="str">
        <f>VLOOKUP(E49,Products!A:F,3,FALSE)</f>
        <v>Sports</v>
      </c>
      <c r="J49" s="2" t="s">
        <v>15</v>
      </c>
      <c r="K49" s="2">
        <f>VLOOKUP(E49,Products!A:F,5,FALSE)</f>
        <v>1187.29</v>
      </c>
      <c r="L49" s="2">
        <v>7</v>
      </c>
      <c r="M49" s="2">
        <v>0.05</v>
      </c>
      <c r="N49" s="2">
        <f t="shared" si="0"/>
        <v>8311.0299999999988</v>
      </c>
      <c r="O49" s="2">
        <f t="shared" si="1"/>
        <v>7895.4784999999983</v>
      </c>
      <c r="P49" s="2" t="s">
        <v>211</v>
      </c>
      <c r="Q49" s="2" t="s">
        <v>30</v>
      </c>
      <c r="R49" t="str">
        <f t="shared" si="2"/>
        <v/>
      </c>
    </row>
    <row r="50" spans="1:18" x14ac:dyDescent="0.3">
      <c r="A50" s="2" t="s">
        <v>212</v>
      </c>
      <c r="B50" s="5">
        <v>45794</v>
      </c>
      <c r="C50" s="2" t="s">
        <v>214</v>
      </c>
      <c r="D50" s="2" t="s">
        <v>1125</v>
      </c>
      <c r="E50" s="2" t="s">
        <v>40</v>
      </c>
      <c r="F50" s="2" t="str">
        <f>VLOOKUP(Orders!E50,Products!A:F,2,FALSE)</f>
        <v>Board Game</v>
      </c>
      <c r="G50" s="2" t="s">
        <v>14</v>
      </c>
      <c r="H50" s="2" t="str">
        <f>VLOOKUP(G50,Employees!A:E,2,FALSE)</f>
        <v>Fatima Sheikh</v>
      </c>
      <c r="I50" s="2" t="str">
        <f>VLOOKUP(E50,Products!A:F,3,FALSE)</f>
        <v>Toys</v>
      </c>
      <c r="J50" s="2" t="s">
        <v>73</v>
      </c>
      <c r="K50" s="2">
        <f>VLOOKUP(E50,Products!A:F,5,FALSE)</f>
        <v>136.91</v>
      </c>
      <c r="L50" s="2">
        <v>8</v>
      </c>
      <c r="M50" s="2">
        <v>0.2</v>
      </c>
      <c r="N50" s="2">
        <f t="shared" si="0"/>
        <v>1095.28</v>
      </c>
      <c r="O50" s="2">
        <f t="shared" si="1"/>
        <v>876.22400000000005</v>
      </c>
      <c r="P50" s="2" t="s">
        <v>215</v>
      </c>
      <c r="Q50" s="2" t="s">
        <v>17</v>
      </c>
      <c r="R50" t="str">
        <f t="shared" si="2"/>
        <v/>
      </c>
    </row>
    <row r="51" spans="1:18" x14ac:dyDescent="0.3">
      <c r="A51" s="2" t="s">
        <v>216</v>
      </c>
      <c r="B51" s="5">
        <v>45518</v>
      </c>
      <c r="C51" s="2" t="s">
        <v>218</v>
      </c>
      <c r="D51" s="2" t="s">
        <v>1003</v>
      </c>
      <c r="E51" s="2" t="s">
        <v>94</v>
      </c>
      <c r="F51" s="2" t="str">
        <f>VLOOKUP(Orders!E51,Products!A:F,2,FALSE)</f>
        <v>Honey Jar</v>
      </c>
      <c r="G51" s="2" t="s">
        <v>82</v>
      </c>
      <c r="H51" s="2" t="str">
        <f>VLOOKUP(G51,Employees!A:E,2,FALSE)</f>
        <v>Priya Nair</v>
      </c>
      <c r="I51" s="2" t="str">
        <f>VLOOKUP(E51,Products!A:F,3,FALSE)</f>
        <v>Grocery</v>
      </c>
      <c r="J51" s="2" t="s">
        <v>22</v>
      </c>
      <c r="K51" s="2">
        <f>VLOOKUP(E51,Products!A:F,5,FALSE)</f>
        <v>3610.44</v>
      </c>
      <c r="L51" s="2">
        <v>7</v>
      </c>
      <c r="M51" s="2">
        <v>0.15</v>
      </c>
      <c r="N51" s="2">
        <f t="shared" si="0"/>
        <v>25273.08</v>
      </c>
      <c r="O51" s="2">
        <f t="shared" si="1"/>
        <v>21482.118000000002</v>
      </c>
      <c r="P51" s="2" t="s">
        <v>158</v>
      </c>
      <c r="Q51" s="2" t="s">
        <v>42</v>
      </c>
      <c r="R51" t="str">
        <f t="shared" si="2"/>
        <v/>
      </c>
    </row>
    <row r="52" spans="1:18" x14ac:dyDescent="0.3">
      <c r="A52" s="2" t="s">
        <v>219</v>
      </c>
      <c r="B52" s="5">
        <v>45669</v>
      </c>
      <c r="C52" s="2" t="s">
        <v>39</v>
      </c>
      <c r="D52" s="2" t="s">
        <v>990</v>
      </c>
      <c r="E52" s="2" t="s">
        <v>196</v>
      </c>
      <c r="F52" s="2" t="str">
        <f>VLOOKUP(Orders!E52,Products!A:F,2,FALSE)</f>
        <v>Laptop Stand</v>
      </c>
      <c r="G52" s="2" t="s">
        <v>14</v>
      </c>
      <c r="H52" s="2" t="str">
        <f>VLOOKUP(G52,Employees!A:E,2,FALSE)</f>
        <v>Fatima Sheikh</v>
      </c>
      <c r="I52" s="2" t="str">
        <f>VLOOKUP(E52,Products!A:F,3,FALSE)</f>
        <v>Electronics</v>
      </c>
      <c r="J52" s="2" t="s">
        <v>22</v>
      </c>
      <c r="K52" s="2">
        <f>VLOOKUP(E52,Products!A:F,5,FALSE)</f>
        <v>2184.5100000000002</v>
      </c>
      <c r="L52" s="2">
        <v>8</v>
      </c>
      <c r="M52" s="2">
        <v>0.1</v>
      </c>
      <c r="N52" s="2">
        <f t="shared" si="0"/>
        <v>17476.080000000002</v>
      </c>
      <c r="O52" s="2">
        <f t="shared" si="1"/>
        <v>15728.472000000002</v>
      </c>
      <c r="P52" s="2" t="s">
        <v>220</v>
      </c>
      <c r="Q52" s="2" t="s">
        <v>30</v>
      </c>
      <c r="R52" t="str">
        <f t="shared" si="2"/>
        <v/>
      </c>
    </row>
    <row r="53" spans="1:18" x14ac:dyDescent="0.3">
      <c r="A53" s="2" t="s">
        <v>221</v>
      </c>
      <c r="B53" s="5">
        <v>45630</v>
      </c>
      <c r="C53" s="2" t="s">
        <v>160</v>
      </c>
      <c r="D53" s="2" t="s">
        <v>1118</v>
      </c>
      <c r="E53" s="2" t="s">
        <v>99</v>
      </c>
      <c r="F53" s="2" t="str">
        <f>VLOOKUP(Orders!E53,Products!A:F,2,FALSE)</f>
        <v>Wireless Mouse</v>
      </c>
      <c r="G53" s="2" t="s">
        <v>21</v>
      </c>
      <c r="H53" s="2" t="str">
        <f>VLOOKUP(G53,Employees!A:E,2,FALSE)</f>
        <v>Karan Mehta</v>
      </c>
      <c r="I53" s="2" t="str">
        <f>VLOOKUP(E53,Products!A:F,3,FALSE)</f>
        <v>Electronics</v>
      </c>
      <c r="J53" s="2" t="s">
        <v>22</v>
      </c>
      <c r="K53" s="2">
        <f>VLOOKUP(E53,Products!A:F,5,FALSE)</f>
        <v>2352.63</v>
      </c>
      <c r="L53" s="2">
        <v>6</v>
      </c>
      <c r="M53" s="2">
        <v>0.15</v>
      </c>
      <c r="N53" s="2">
        <f t="shared" si="0"/>
        <v>14115.78</v>
      </c>
      <c r="O53" s="2">
        <f t="shared" si="1"/>
        <v>11998.413</v>
      </c>
      <c r="P53" s="2" t="s">
        <v>223</v>
      </c>
      <c r="Q53" s="2" t="s">
        <v>17</v>
      </c>
      <c r="R53" t="str">
        <f t="shared" si="2"/>
        <v/>
      </c>
    </row>
    <row r="54" spans="1:18" x14ac:dyDescent="0.3">
      <c r="A54" s="2" t="s">
        <v>224</v>
      </c>
      <c r="B54" s="5">
        <v>45549</v>
      </c>
      <c r="C54" s="2" t="s">
        <v>129</v>
      </c>
      <c r="D54" s="2" t="s">
        <v>1113</v>
      </c>
      <c r="E54" s="2" t="s">
        <v>226</v>
      </c>
      <c r="F54" s="2" t="str">
        <f>VLOOKUP(Orders!E54,Products!A:F,2,FALSE)</f>
        <v>Moisturizer</v>
      </c>
      <c r="G54" s="2" t="s">
        <v>21</v>
      </c>
      <c r="H54" s="2" t="str">
        <f>VLOOKUP(G54,Employees!A:E,2,FALSE)</f>
        <v>Karan Mehta</v>
      </c>
      <c r="I54" s="2" t="str">
        <f>VLOOKUP(E54,Products!A:F,3,FALSE)</f>
        <v>Beauty</v>
      </c>
      <c r="J54" s="2" t="s">
        <v>22</v>
      </c>
      <c r="K54" s="2">
        <f>VLOOKUP(E54,Products!A:F,5,FALSE)</f>
        <v>2359.5</v>
      </c>
      <c r="L54" s="2">
        <v>4</v>
      </c>
      <c r="M54" s="2">
        <v>0</v>
      </c>
      <c r="N54" s="2">
        <f t="shared" si="0"/>
        <v>9438</v>
      </c>
      <c r="O54" s="2">
        <f t="shared" si="1"/>
        <v>9438</v>
      </c>
      <c r="P54" s="2" t="s">
        <v>227</v>
      </c>
      <c r="Q54" s="2" t="s">
        <v>24</v>
      </c>
      <c r="R54" t="str">
        <f t="shared" si="2"/>
        <v/>
      </c>
    </row>
    <row r="55" spans="1:18" x14ac:dyDescent="0.3">
      <c r="A55" s="2" t="s">
        <v>228</v>
      </c>
      <c r="B55" s="5">
        <v>45481</v>
      </c>
      <c r="C55" s="2" t="s">
        <v>229</v>
      </c>
      <c r="D55" s="2" t="s">
        <v>1126</v>
      </c>
      <c r="E55" s="2" t="s">
        <v>111</v>
      </c>
      <c r="F55" s="2" t="str">
        <f>VLOOKUP(Orders!E55,Products!A:F,2,FALSE)</f>
        <v>Action Figure</v>
      </c>
      <c r="G55" s="2" t="s">
        <v>14</v>
      </c>
      <c r="H55" s="2" t="str">
        <f>VLOOKUP(G55,Employees!A:E,2,FALSE)</f>
        <v>Fatima Sheikh</v>
      </c>
      <c r="I55" s="2" t="str">
        <f>VLOOKUP(E55,Products!A:F,3,FALSE)</f>
        <v>Toys</v>
      </c>
      <c r="J55" s="2" t="s">
        <v>22</v>
      </c>
      <c r="K55" s="2">
        <f>VLOOKUP(E55,Products!A:F,5,FALSE)</f>
        <v>4390.62</v>
      </c>
      <c r="L55" s="2">
        <v>4</v>
      </c>
      <c r="M55" s="2">
        <v>0</v>
      </c>
      <c r="N55" s="2">
        <f t="shared" si="0"/>
        <v>17562.48</v>
      </c>
      <c r="O55" s="2">
        <f t="shared" si="1"/>
        <v>17562.48</v>
      </c>
      <c r="P55" s="2" t="s">
        <v>230</v>
      </c>
      <c r="Q55" s="2" t="s">
        <v>42</v>
      </c>
      <c r="R55" t="str">
        <f t="shared" si="2"/>
        <v/>
      </c>
    </row>
    <row r="56" spans="1:18" x14ac:dyDescent="0.3">
      <c r="A56" s="2" t="s">
        <v>231</v>
      </c>
      <c r="B56" s="5">
        <v>45829</v>
      </c>
      <c r="C56" s="2" t="s">
        <v>115</v>
      </c>
      <c r="D56" s="2" t="s">
        <v>996</v>
      </c>
      <c r="E56" s="2" t="s">
        <v>77</v>
      </c>
      <c r="F56" s="2" t="str">
        <f>VLOOKUP(Orders!E56,Products!A:F,2,FALSE)</f>
        <v>USB-C Charger</v>
      </c>
      <c r="G56" s="2" t="s">
        <v>82</v>
      </c>
      <c r="H56" s="2" t="str">
        <f>VLOOKUP(G56,Employees!A:E,2,FALSE)</f>
        <v>Priya Nair</v>
      </c>
      <c r="I56" s="2" t="str">
        <f>VLOOKUP(E56,Products!A:F,3,FALSE)</f>
        <v>Electronics</v>
      </c>
      <c r="J56" s="2" t="s">
        <v>15</v>
      </c>
      <c r="K56" s="2">
        <f>VLOOKUP(E56,Products!A:F,5,FALSE)</f>
        <v>3550.89</v>
      </c>
      <c r="L56" s="2">
        <v>10</v>
      </c>
      <c r="M56" s="2">
        <v>0</v>
      </c>
      <c r="N56" s="2">
        <f t="shared" si="0"/>
        <v>35508.9</v>
      </c>
      <c r="O56" s="2">
        <f t="shared" si="1"/>
        <v>35508.9</v>
      </c>
      <c r="P56" s="2" t="s">
        <v>232</v>
      </c>
      <c r="Q56" s="2" t="s">
        <v>17</v>
      </c>
      <c r="R56" t="str">
        <f t="shared" si="2"/>
        <v/>
      </c>
    </row>
    <row r="57" spans="1:18" x14ac:dyDescent="0.3">
      <c r="A57" s="2" t="s">
        <v>233</v>
      </c>
      <c r="B57" s="5">
        <v>45524</v>
      </c>
      <c r="C57" s="2" t="s">
        <v>234</v>
      </c>
      <c r="D57" s="2" t="s">
        <v>1127</v>
      </c>
      <c r="E57" s="2" t="s">
        <v>121</v>
      </c>
      <c r="F57" s="2" t="str">
        <f>VLOOKUP(Orders!E57,Products!A:F,2,FALSE)</f>
        <v>Hair Serum</v>
      </c>
      <c r="G57" s="2" t="s">
        <v>82</v>
      </c>
      <c r="H57" s="2" t="str">
        <f>VLOOKUP(G57,Employees!A:E,2,FALSE)</f>
        <v>Priya Nair</v>
      </c>
      <c r="I57" s="2" t="str">
        <f>VLOOKUP(E57,Products!A:F,3,FALSE)</f>
        <v>Beauty</v>
      </c>
      <c r="J57" s="2" t="s">
        <v>73</v>
      </c>
      <c r="K57" s="2">
        <f>VLOOKUP(E57,Products!A:F,5,FALSE)</f>
        <v>3414.07</v>
      </c>
      <c r="L57" s="2">
        <v>6</v>
      </c>
      <c r="M57" s="2">
        <v>0</v>
      </c>
      <c r="N57" s="2">
        <f t="shared" si="0"/>
        <v>20484.420000000002</v>
      </c>
      <c r="O57" s="2">
        <f t="shared" si="1"/>
        <v>20484.420000000002</v>
      </c>
      <c r="P57" s="2" t="s">
        <v>235</v>
      </c>
      <c r="Q57" s="2" t="s">
        <v>42</v>
      </c>
      <c r="R57" t="str">
        <f t="shared" si="2"/>
        <v/>
      </c>
    </row>
    <row r="58" spans="1:18" x14ac:dyDescent="0.3">
      <c r="A58" s="2" t="s">
        <v>236</v>
      </c>
      <c r="B58" s="5">
        <v>45421</v>
      </c>
      <c r="C58" s="2" t="s">
        <v>120</v>
      </c>
      <c r="D58" s="2" t="s">
        <v>993</v>
      </c>
      <c r="E58" s="2" t="s">
        <v>106</v>
      </c>
      <c r="F58" s="2" t="str">
        <f>VLOOKUP(Orders!E58,Products!A:F,2,FALSE)</f>
        <v>Winter Scarf</v>
      </c>
      <c r="G58" s="2" t="s">
        <v>14</v>
      </c>
      <c r="H58" s="2" t="str">
        <f>VLOOKUP(G58,Employees!A:E,2,FALSE)</f>
        <v>Fatima Sheikh</v>
      </c>
      <c r="I58" s="2" t="str">
        <f>VLOOKUP(E58,Products!A:F,3,FALSE)</f>
        <v>Clothing</v>
      </c>
      <c r="J58" s="2" t="s">
        <v>22</v>
      </c>
      <c r="K58" s="2">
        <f>VLOOKUP(E58,Products!A:F,5,FALSE)</f>
        <v>1559.65</v>
      </c>
      <c r="L58" s="2">
        <v>5</v>
      </c>
      <c r="M58" s="2">
        <v>0</v>
      </c>
      <c r="N58" s="2">
        <f t="shared" si="0"/>
        <v>7798.25</v>
      </c>
      <c r="O58" s="2">
        <f t="shared" si="1"/>
        <v>7798.25</v>
      </c>
      <c r="P58" s="2" t="s">
        <v>238</v>
      </c>
      <c r="Q58" s="2" t="s">
        <v>60</v>
      </c>
      <c r="R58" t="str">
        <f t="shared" si="2"/>
        <v/>
      </c>
    </row>
    <row r="59" spans="1:18" x14ac:dyDescent="0.3">
      <c r="A59" s="2" t="s">
        <v>239</v>
      </c>
      <c r="B59" s="5">
        <v>45794</v>
      </c>
      <c r="C59" s="2" t="s">
        <v>102</v>
      </c>
      <c r="D59" s="2" t="s">
        <v>1111</v>
      </c>
      <c r="E59" s="2" t="s">
        <v>240</v>
      </c>
      <c r="F59" s="2" t="str">
        <f>VLOOKUP(Orders!E59,Products!A:F,2,FALSE)</f>
        <v>Notebook Set</v>
      </c>
      <c r="G59" s="2" t="s">
        <v>21</v>
      </c>
      <c r="H59" s="2" t="str">
        <f>VLOOKUP(G59,Employees!A:E,2,FALSE)</f>
        <v>Karan Mehta</v>
      </c>
      <c r="I59" s="2" t="str">
        <f>VLOOKUP(E59,Products!A:F,3,FALSE)</f>
        <v>Books</v>
      </c>
      <c r="J59" s="2" t="s">
        <v>22</v>
      </c>
      <c r="K59" s="2">
        <f>VLOOKUP(E59,Products!A:F,5,FALSE)</f>
        <v>2036.67</v>
      </c>
      <c r="L59" s="2">
        <v>2</v>
      </c>
      <c r="M59" s="2">
        <v>0.2</v>
      </c>
      <c r="N59" s="2">
        <f t="shared" si="0"/>
        <v>4073.34</v>
      </c>
      <c r="O59" s="2">
        <f t="shared" si="1"/>
        <v>3258.6720000000005</v>
      </c>
      <c r="P59" s="2" t="s">
        <v>215</v>
      </c>
      <c r="Q59" s="2" t="s">
        <v>30</v>
      </c>
      <c r="R59" t="str">
        <f t="shared" si="2"/>
        <v/>
      </c>
    </row>
    <row r="60" spans="1:18" x14ac:dyDescent="0.3">
      <c r="A60" s="2" t="s">
        <v>241</v>
      </c>
      <c r="B60" s="5">
        <v>45782</v>
      </c>
      <c r="C60" s="2" t="s">
        <v>98</v>
      </c>
      <c r="D60" s="2" t="s">
        <v>1110</v>
      </c>
      <c r="E60" s="2" t="s">
        <v>40</v>
      </c>
      <c r="F60" s="2" t="str">
        <f>VLOOKUP(Orders!E60,Products!A:F,2,FALSE)</f>
        <v>Board Game</v>
      </c>
      <c r="G60" s="2" t="s">
        <v>14</v>
      </c>
      <c r="H60" s="2" t="str">
        <f>VLOOKUP(G60,Employees!A:E,2,FALSE)</f>
        <v>Fatima Sheikh</v>
      </c>
      <c r="I60" s="2" t="str">
        <f>VLOOKUP(E60,Products!A:F,3,FALSE)</f>
        <v>Toys</v>
      </c>
      <c r="J60" s="2" t="s">
        <v>73</v>
      </c>
      <c r="K60" s="2">
        <f>VLOOKUP(E60,Products!A:F,5,FALSE)</f>
        <v>136.91</v>
      </c>
      <c r="L60" s="2">
        <v>8</v>
      </c>
      <c r="M60" s="2">
        <v>0</v>
      </c>
      <c r="N60" s="2">
        <f t="shared" si="0"/>
        <v>1095.28</v>
      </c>
      <c r="O60" s="2">
        <f t="shared" si="1"/>
        <v>1095.28</v>
      </c>
      <c r="P60" s="2" t="s">
        <v>242</v>
      </c>
      <c r="Q60" s="2" t="s">
        <v>17</v>
      </c>
      <c r="R60" t="str">
        <f t="shared" si="2"/>
        <v/>
      </c>
    </row>
    <row r="61" spans="1:18" x14ac:dyDescent="0.3">
      <c r="A61" s="2" t="s">
        <v>243</v>
      </c>
      <c r="B61" s="5">
        <v>45781</v>
      </c>
      <c r="C61" s="2" t="s">
        <v>245</v>
      </c>
      <c r="D61" s="2" t="s">
        <v>1128</v>
      </c>
      <c r="E61" s="2" t="s">
        <v>13</v>
      </c>
      <c r="F61" s="2" t="str">
        <f>VLOOKUP(Orders!E61,Products!A:F,2,FALSE)</f>
        <v>Football</v>
      </c>
      <c r="G61" s="2" t="s">
        <v>82</v>
      </c>
      <c r="H61" s="2" t="str">
        <f>VLOOKUP(G61,Employees!A:E,2,FALSE)</f>
        <v>Priya Nair</v>
      </c>
      <c r="I61" s="2" t="str">
        <f>VLOOKUP(E61,Products!A:F,3,FALSE)</f>
        <v>Sports</v>
      </c>
      <c r="J61" s="2" t="s">
        <v>35</v>
      </c>
      <c r="K61" s="2">
        <f>VLOOKUP(E61,Products!A:F,5,FALSE)</f>
        <v>3493.54</v>
      </c>
      <c r="L61" s="2">
        <v>2</v>
      </c>
      <c r="M61" s="2">
        <v>0.2</v>
      </c>
      <c r="N61" s="2">
        <f t="shared" si="0"/>
        <v>6987.08</v>
      </c>
      <c r="O61" s="2">
        <f t="shared" si="1"/>
        <v>5589.6640000000007</v>
      </c>
      <c r="P61" s="2" t="s">
        <v>246</v>
      </c>
      <c r="Q61" s="2" t="s">
        <v>30</v>
      </c>
      <c r="R61" t="str">
        <f t="shared" si="2"/>
        <v/>
      </c>
    </row>
    <row r="62" spans="1:18" x14ac:dyDescent="0.3">
      <c r="A62" s="2" t="s">
        <v>247</v>
      </c>
      <c r="B62" s="5">
        <v>45367</v>
      </c>
      <c r="C62" s="2" t="s">
        <v>58</v>
      </c>
      <c r="D62" s="2" t="s">
        <v>1014</v>
      </c>
      <c r="E62" s="2" t="s">
        <v>249</v>
      </c>
      <c r="F62" s="2" t="str">
        <f>VLOOKUP(Orders!E62,Products!A:F,2,FALSE)</f>
        <v>Sports Jacket</v>
      </c>
      <c r="G62" s="2" t="s">
        <v>21</v>
      </c>
      <c r="H62" s="2" t="str">
        <f>VLOOKUP(G62,Employees!A:E,2,FALSE)</f>
        <v>Karan Mehta</v>
      </c>
      <c r="I62" s="2" t="str">
        <f>VLOOKUP(E62,Products!A:F,3,FALSE)</f>
        <v>Clothing</v>
      </c>
      <c r="J62" s="2" t="s">
        <v>15</v>
      </c>
      <c r="K62" s="2">
        <f>VLOOKUP(E62,Products!A:F,5,FALSE)</f>
        <v>1309.58</v>
      </c>
      <c r="L62" s="2">
        <v>10</v>
      </c>
      <c r="M62" s="2">
        <v>0.15</v>
      </c>
      <c r="N62" s="2">
        <f t="shared" si="0"/>
        <v>13095.8</v>
      </c>
      <c r="O62" s="2">
        <f t="shared" si="1"/>
        <v>11131.429999999998</v>
      </c>
      <c r="P62" s="2" t="s">
        <v>250</v>
      </c>
      <c r="Q62" s="2" t="s">
        <v>60</v>
      </c>
      <c r="R62" t="str">
        <f t="shared" si="2"/>
        <v/>
      </c>
    </row>
    <row r="63" spans="1:18" x14ac:dyDescent="0.3">
      <c r="A63" s="2" t="s">
        <v>251</v>
      </c>
      <c r="B63" s="5">
        <v>45603</v>
      </c>
      <c r="C63" s="2" t="s">
        <v>253</v>
      </c>
      <c r="D63" s="2" t="s">
        <v>1044</v>
      </c>
      <c r="E63" s="2" t="s">
        <v>254</v>
      </c>
      <c r="F63" s="2" t="str">
        <f>VLOOKUP(Orders!E63,Products!A:F,2,FALSE)</f>
        <v>Self-Help Book</v>
      </c>
      <c r="G63" s="2" t="s">
        <v>21</v>
      </c>
      <c r="H63" s="2" t="str">
        <f>VLOOKUP(G63,Employees!A:E,2,FALSE)</f>
        <v>Karan Mehta</v>
      </c>
      <c r="I63" s="2" t="str">
        <f>VLOOKUP(E63,Products!A:F,3,FALSE)</f>
        <v>Books</v>
      </c>
      <c r="J63" s="2" t="s">
        <v>35</v>
      </c>
      <c r="K63" s="2">
        <f>VLOOKUP(E63,Products!A:F,5,FALSE)</f>
        <v>605.26</v>
      </c>
      <c r="L63" s="2">
        <v>2</v>
      </c>
      <c r="M63" s="2">
        <v>0</v>
      </c>
      <c r="N63" s="2">
        <f t="shared" si="0"/>
        <v>1210.52</v>
      </c>
      <c r="O63" s="2">
        <f t="shared" si="1"/>
        <v>1210.52</v>
      </c>
      <c r="P63" s="2" t="s">
        <v>255</v>
      </c>
      <c r="Q63" s="2" t="s">
        <v>42</v>
      </c>
      <c r="R63" t="str">
        <f t="shared" si="2"/>
        <v/>
      </c>
    </row>
    <row r="64" spans="1:18" x14ac:dyDescent="0.3">
      <c r="A64" s="2" t="s">
        <v>256</v>
      </c>
      <c r="B64" s="5">
        <v>45523</v>
      </c>
      <c r="C64" s="2" t="s">
        <v>245</v>
      </c>
      <c r="D64" s="2" t="s">
        <v>1128</v>
      </c>
      <c r="E64" s="2" t="s">
        <v>116</v>
      </c>
      <c r="F64" s="2" t="str">
        <f>VLOOKUP(Orders!E64,Products!A:F,2,FALSE)</f>
        <v>Formal Shirt</v>
      </c>
      <c r="G64" s="2" t="s">
        <v>21</v>
      </c>
      <c r="H64" s="2" t="str">
        <f>VLOOKUP(G64,Employees!A:E,2,FALSE)</f>
        <v>Karan Mehta</v>
      </c>
      <c r="I64" s="2" t="str">
        <f>VLOOKUP(E64,Products!A:F,3,FALSE)</f>
        <v>Clothing</v>
      </c>
      <c r="J64" s="2" t="s">
        <v>35</v>
      </c>
      <c r="K64" s="2">
        <f>VLOOKUP(E64,Products!A:F,5,FALSE)</f>
        <v>1156.02</v>
      </c>
      <c r="L64" s="2">
        <v>9</v>
      </c>
      <c r="M64" s="2">
        <v>0.05</v>
      </c>
      <c r="N64" s="2">
        <f t="shared" si="0"/>
        <v>10404.18</v>
      </c>
      <c r="O64" s="2">
        <f t="shared" si="1"/>
        <v>9883.9709999999995</v>
      </c>
      <c r="P64" s="2" t="s">
        <v>107</v>
      </c>
      <c r="Q64" s="2" t="s">
        <v>17</v>
      </c>
      <c r="R64" t="str">
        <f t="shared" si="2"/>
        <v/>
      </c>
    </row>
    <row r="65" spans="1:18" x14ac:dyDescent="0.3">
      <c r="A65" s="2" t="s">
        <v>258</v>
      </c>
      <c r="B65" s="5">
        <v>45731</v>
      </c>
      <c r="C65" s="2" t="s">
        <v>115</v>
      </c>
      <c r="D65" s="2" t="s">
        <v>996</v>
      </c>
      <c r="E65" s="2" t="s">
        <v>260</v>
      </c>
      <c r="F65" s="2" t="str">
        <f>VLOOKUP(Orders!E65,Products!A:F,2,FALSE)</f>
        <v>Non-stick Pan</v>
      </c>
      <c r="G65" s="2" t="s">
        <v>45</v>
      </c>
      <c r="H65" s="2" t="str">
        <f>VLOOKUP(G65,Employees!A:E,2,FALSE)</f>
        <v>Rajesh Iyer</v>
      </c>
      <c r="I65" s="2" t="str">
        <f>VLOOKUP(E65,Products!A:F,3,FALSE)</f>
        <v>Home &amp; Kitchen</v>
      </c>
      <c r="J65" s="2" t="s">
        <v>73</v>
      </c>
      <c r="K65" s="2">
        <f>VLOOKUP(E65,Products!A:F,5,FALSE)</f>
        <v>3981.64</v>
      </c>
      <c r="L65" s="2">
        <v>5</v>
      </c>
      <c r="M65" s="2">
        <v>0.1</v>
      </c>
      <c r="N65" s="2">
        <f t="shared" si="0"/>
        <v>19908.2</v>
      </c>
      <c r="O65" s="2">
        <f t="shared" si="1"/>
        <v>17917.38</v>
      </c>
      <c r="P65" s="2" t="s">
        <v>261</v>
      </c>
      <c r="Q65" s="2" t="s">
        <v>42</v>
      </c>
      <c r="R65" t="str">
        <f t="shared" si="2"/>
        <v/>
      </c>
    </row>
    <row r="66" spans="1:18" x14ac:dyDescent="0.3">
      <c r="A66" s="2" t="s">
        <v>262</v>
      </c>
      <c r="B66" s="5">
        <v>45393</v>
      </c>
      <c r="C66" s="2" t="s">
        <v>32</v>
      </c>
      <c r="D66" s="2" t="s">
        <v>1106</v>
      </c>
      <c r="E66" s="2" t="s">
        <v>121</v>
      </c>
      <c r="F66" s="2" t="str">
        <f>VLOOKUP(Orders!E66,Products!A:F,2,FALSE)</f>
        <v>Hair Serum</v>
      </c>
      <c r="G66" s="2" t="s">
        <v>14</v>
      </c>
      <c r="H66" s="2" t="str">
        <f>VLOOKUP(G66,Employees!A:E,2,FALSE)</f>
        <v>Fatima Sheikh</v>
      </c>
      <c r="I66" s="2" t="str">
        <f>VLOOKUP(E66,Products!A:F,3,FALSE)</f>
        <v>Beauty</v>
      </c>
      <c r="J66" s="2" t="s">
        <v>22</v>
      </c>
      <c r="K66" s="2">
        <f>VLOOKUP(E66,Products!A:F,5,FALSE)</f>
        <v>3414.07</v>
      </c>
      <c r="L66" s="2">
        <v>4</v>
      </c>
      <c r="M66" s="2">
        <v>0.15</v>
      </c>
      <c r="N66" s="2">
        <f t="shared" ref="N66:N129" si="3">K66*L66</f>
        <v>13656.28</v>
      </c>
      <c r="O66" s="2">
        <f t="shared" ref="O66:O129" si="4">N66*(1-M66)</f>
        <v>11607.838</v>
      </c>
      <c r="P66" s="2" t="s">
        <v>264</v>
      </c>
      <c r="Q66" s="2" t="s">
        <v>24</v>
      </c>
      <c r="R66" t="str">
        <f t="shared" ref="R66:R129" si="5">IF(L66=0,"Missing Quantity","")</f>
        <v/>
      </c>
    </row>
    <row r="67" spans="1:18" x14ac:dyDescent="0.3">
      <c r="A67" s="2" t="s">
        <v>265</v>
      </c>
      <c r="B67" s="5">
        <v>45452</v>
      </c>
      <c r="C67" s="2" t="s">
        <v>176</v>
      </c>
      <c r="D67" s="2" t="s">
        <v>1120</v>
      </c>
      <c r="E67" s="2" t="s">
        <v>267</v>
      </c>
      <c r="F67" s="2" t="str">
        <f>VLOOKUP(Orders!E67,Products!A:F,2,FALSE)</f>
        <v>Water Bottle</v>
      </c>
      <c r="G67" s="2" t="s">
        <v>45</v>
      </c>
      <c r="H67" s="2" t="str">
        <f>VLOOKUP(G67,Employees!A:E,2,FALSE)</f>
        <v>Rajesh Iyer</v>
      </c>
      <c r="I67" s="2" t="str">
        <f>VLOOKUP(E67,Products!A:F,3,FALSE)</f>
        <v>Sports</v>
      </c>
      <c r="J67" s="2" t="s">
        <v>73</v>
      </c>
      <c r="K67" s="2">
        <f>VLOOKUP(E67,Products!A:F,5,FALSE)</f>
        <v>2877.99</v>
      </c>
      <c r="L67" s="2">
        <v>4</v>
      </c>
      <c r="M67" s="2">
        <v>0</v>
      </c>
      <c r="N67" s="2">
        <f t="shared" si="3"/>
        <v>11511.96</v>
      </c>
      <c r="O67" s="2">
        <f t="shared" si="4"/>
        <v>11511.96</v>
      </c>
      <c r="P67" s="2" t="s">
        <v>268</v>
      </c>
      <c r="Q67" s="2" t="s">
        <v>60</v>
      </c>
      <c r="R67" t="str">
        <f t="shared" si="5"/>
        <v/>
      </c>
    </row>
    <row r="68" spans="1:18" x14ac:dyDescent="0.3">
      <c r="A68" s="2" t="s">
        <v>269</v>
      </c>
      <c r="B68" s="5">
        <v>45294</v>
      </c>
      <c r="C68" s="2" t="s">
        <v>176</v>
      </c>
      <c r="D68" s="2" t="s">
        <v>1120</v>
      </c>
      <c r="E68" s="2" t="s">
        <v>13</v>
      </c>
      <c r="F68" s="2" t="str">
        <f>VLOOKUP(Orders!E68,Products!A:F,2,FALSE)</f>
        <v>Football</v>
      </c>
      <c r="G68" s="2" t="s">
        <v>82</v>
      </c>
      <c r="H68" s="2" t="str">
        <f>VLOOKUP(G68,Employees!A:E,2,FALSE)</f>
        <v>Priya Nair</v>
      </c>
      <c r="I68" s="2" t="str">
        <f>VLOOKUP(E68,Products!A:F,3,FALSE)</f>
        <v>Sports</v>
      </c>
      <c r="J68" s="2" t="s">
        <v>35</v>
      </c>
      <c r="K68" s="2">
        <f>VLOOKUP(E68,Products!A:F,5,FALSE)</f>
        <v>3493.54</v>
      </c>
      <c r="L68" s="2">
        <v>7</v>
      </c>
      <c r="M68" s="2">
        <v>0.05</v>
      </c>
      <c r="N68" s="2">
        <f t="shared" si="3"/>
        <v>24454.78</v>
      </c>
      <c r="O68" s="2">
        <f t="shared" si="4"/>
        <v>23232.040999999997</v>
      </c>
      <c r="P68" s="2" t="s">
        <v>270</v>
      </c>
      <c r="Q68" s="2" t="s">
        <v>17</v>
      </c>
      <c r="R68" t="str">
        <f t="shared" si="5"/>
        <v/>
      </c>
    </row>
    <row r="69" spans="1:18" x14ac:dyDescent="0.3">
      <c r="A69" s="2" t="s">
        <v>271</v>
      </c>
      <c r="B69" s="5">
        <v>45325</v>
      </c>
      <c r="C69" s="2" t="s">
        <v>273</v>
      </c>
      <c r="D69" s="2" t="s">
        <v>1129</v>
      </c>
      <c r="E69" s="2" t="s">
        <v>125</v>
      </c>
      <c r="F69" s="2" t="str">
        <f>VLOOKUP(Orders!E69,Products!A:F,2,FALSE)</f>
        <v>Basmati Rice 5kg</v>
      </c>
      <c r="G69" s="2" t="s">
        <v>21</v>
      </c>
      <c r="H69" s="2" t="str">
        <f>VLOOKUP(G69,Employees!A:E,2,FALSE)</f>
        <v>Karan Mehta</v>
      </c>
      <c r="I69" s="2" t="str">
        <f>VLOOKUP(E69,Products!A:F,3,FALSE)</f>
        <v>Grocery</v>
      </c>
      <c r="J69" s="2" t="s">
        <v>35</v>
      </c>
      <c r="K69" s="2">
        <f>VLOOKUP(E69,Products!A:F,5,FALSE)</f>
        <v>2458.91</v>
      </c>
      <c r="L69" s="2">
        <v>4</v>
      </c>
      <c r="M69" s="2">
        <v>0</v>
      </c>
      <c r="N69" s="2">
        <f t="shared" si="3"/>
        <v>9835.64</v>
      </c>
      <c r="O69" s="2">
        <f t="shared" si="4"/>
        <v>9835.64</v>
      </c>
      <c r="P69" s="2" t="s">
        <v>274</v>
      </c>
      <c r="Q69" s="2" t="s">
        <v>24</v>
      </c>
      <c r="R69" t="str">
        <f t="shared" si="5"/>
        <v/>
      </c>
    </row>
    <row r="70" spans="1:18" x14ac:dyDescent="0.3">
      <c r="A70" s="2" t="s">
        <v>275</v>
      </c>
      <c r="B70" s="5">
        <v>45531</v>
      </c>
      <c r="C70" s="2" t="s">
        <v>160</v>
      </c>
      <c r="D70" s="2" t="s">
        <v>1118</v>
      </c>
      <c r="E70" s="2" t="s">
        <v>77</v>
      </c>
      <c r="F70" s="2" t="str">
        <f>VLOOKUP(Orders!E70,Products!A:F,2,FALSE)</f>
        <v>USB-C Charger</v>
      </c>
      <c r="G70" s="2" t="s">
        <v>21</v>
      </c>
      <c r="H70" s="2" t="str">
        <f>VLOOKUP(G70,Employees!A:E,2,FALSE)</f>
        <v>Karan Mehta</v>
      </c>
      <c r="I70" s="2" t="str">
        <f>VLOOKUP(E70,Products!A:F,3,FALSE)</f>
        <v>Electronics</v>
      </c>
      <c r="J70" s="2" t="s">
        <v>15</v>
      </c>
      <c r="K70" s="2">
        <f>VLOOKUP(E70,Products!A:F,5,FALSE)</f>
        <v>3550.89</v>
      </c>
      <c r="L70" s="2">
        <v>5</v>
      </c>
      <c r="M70" s="2">
        <v>0.2</v>
      </c>
      <c r="N70" s="2">
        <f t="shared" si="3"/>
        <v>17754.45</v>
      </c>
      <c r="O70" s="2">
        <f t="shared" si="4"/>
        <v>14203.560000000001</v>
      </c>
      <c r="P70" s="2" t="s">
        <v>276</v>
      </c>
      <c r="Q70" s="2" t="s">
        <v>30</v>
      </c>
      <c r="R70" t="str">
        <f t="shared" si="5"/>
        <v/>
      </c>
    </row>
    <row r="71" spans="1:18" x14ac:dyDescent="0.3">
      <c r="A71" s="2" t="s">
        <v>277</v>
      </c>
      <c r="B71" s="5">
        <v>45409</v>
      </c>
      <c r="C71" s="2" t="s">
        <v>279</v>
      </c>
      <c r="D71" s="2" t="s">
        <v>1130</v>
      </c>
      <c r="E71" s="2" t="s">
        <v>148</v>
      </c>
      <c r="F71" s="2" t="str">
        <f>VLOOKUP(Orders!E71,Products!A:F,2,FALSE)</f>
        <v>Green Tea Pack</v>
      </c>
      <c r="G71" s="2" t="s">
        <v>14</v>
      </c>
      <c r="H71" s="2" t="str">
        <f>VLOOKUP(G71,Employees!A:E,2,FALSE)</f>
        <v>Fatima Sheikh</v>
      </c>
      <c r="I71" s="2" t="str">
        <f>VLOOKUP(E71,Products!A:F,3,FALSE)</f>
        <v>Grocery</v>
      </c>
      <c r="J71" s="2" t="s">
        <v>22</v>
      </c>
      <c r="K71" s="2">
        <f>VLOOKUP(E71,Products!A:F,5,FALSE)</f>
        <v>3576.75</v>
      </c>
      <c r="L71" s="2">
        <v>9</v>
      </c>
      <c r="M71" s="2">
        <v>0</v>
      </c>
      <c r="N71" s="2">
        <f t="shared" si="3"/>
        <v>32190.75</v>
      </c>
      <c r="O71" s="2">
        <f t="shared" si="4"/>
        <v>32190.75</v>
      </c>
      <c r="P71" s="2" t="s">
        <v>280</v>
      </c>
      <c r="Q71" s="2" t="s">
        <v>60</v>
      </c>
      <c r="R71" t="str">
        <f t="shared" si="5"/>
        <v/>
      </c>
    </row>
    <row r="72" spans="1:18" x14ac:dyDescent="0.3">
      <c r="A72" s="2" t="s">
        <v>281</v>
      </c>
      <c r="B72" s="5">
        <v>45365</v>
      </c>
      <c r="C72" s="2" t="s">
        <v>53</v>
      </c>
      <c r="D72" s="2" t="s">
        <v>1047</v>
      </c>
      <c r="E72" s="2" t="s">
        <v>196</v>
      </c>
      <c r="F72" s="2" t="str">
        <f>VLOOKUP(Orders!E72,Products!A:F,2,FALSE)</f>
        <v>Laptop Stand</v>
      </c>
      <c r="G72" s="2" t="s">
        <v>82</v>
      </c>
      <c r="H72" s="2" t="str">
        <f>VLOOKUP(G72,Employees!A:E,2,FALSE)</f>
        <v>Priya Nair</v>
      </c>
      <c r="I72" s="2" t="str">
        <f>VLOOKUP(E72,Products!A:F,3,FALSE)</f>
        <v>Electronics</v>
      </c>
      <c r="J72" s="2" t="s">
        <v>22</v>
      </c>
      <c r="K72" s="2">
        <f>VLOOKUP(E72,Products!A:F,5,FALSE)</f>
        <v>2184.5100000000002</v>
      </c>
      <c r="L72" s="2">
        <v>1</v>
      </c>
      <c r="M72" s="2">
        <v>0</v>
      </c>
      <c r="N72" s="2">
        <f t="shared" si="3"/>
        <v>2184.5100000000002</v>
      </c>
      <c r="O72" s="2">
        <f t="shared" si="4"/>
        <v>2184.5100000000002</v>
      </c>
      <c r="P72" s="2" t="s">
        <v>282</v>
      </c>
      <c r="Q72" s="2" t="s">
        <v>30</v>
      </c>
      <c r="R72" t="str">
        <f t="shared" si="5"/>
        <v/>
      </c>
    </row>
    <row r="73" spans="1:18" x14ac:dyDescent="0.3">
      <c r="A73" s="2" t="s">
        <v>283</v>
      </c>
      <c r="B73" s="5">
        <v>45419</v>
      </c>
      <c r="C73" s="2" t="s">
        <v>12</v>
      </c>
      <c r="D73" s="2" t="s">
        <v>1103</v>
      </c>
      <c r="E73" s="2" t="s">
        <v>81</v>
      </c>
      <c r="F73" s="2" t="str">
        <f>VLOOKUP(Orders!E73,Products!A:F,2,FALSE)</f>
        <v>Earbuds</v>
      </c>
      <c r="G73" s="2" t="s">
        <v>82</v>
      </c>
      <c r="H73" s="2" t="str">
        <f>VLOOKUP(G73,Employees!A:E,2,FALSE)</f>
        <v>Priya Nair</v>
      </c>
      <c r="I73" s="2" t="str">
        <f>VLOOKUP(E73,Products!A:F,3,FALSE)</f>
        <v>Electronics</v>
      </c>
      <c r="J73" s="2" t="s">
        <v>35</v>
      </c>
      <c r="K73" s="2">
        <f>VLOOKUP(E73,Products!A:F,5,FALSE)</f>
        <v>1044.7</v>
      </c>
      <c r="L73" s="2">
        <v>8</v>
      </c>
      <c r="M73" s="2">
        <v>0.15</v>
      </c>
      <c r="N73" s="2">
        <f t="shared" si="3"/>
        <v>8357.6</v>
      </c>
      <c r="O73" s="2">
        <f t="shared" si="4"/>
        <v>7103.96</v>
      </c>
      <c r="P73" s="2" t="s">
        <v>285</v>
      </c>
      <c r="Q73" s="2" t="s">
        <v>17</v>
      </c>
      <c r="R73" t="str">
        <f t="shared" si="5"/>
        <v/>
      </c>
    </row>
    <row r="74" spans="1:18" x14ac:dyDescent="0.3">
      <c r="A74" s="2" t="s">
        <v>286</v>
      </c>
      <c r="B74" s="5">
        <v>45804</v>
      </c>
      <c r="C74" s="2" t="s">
        <v>89</v>
      </c>
      <c r="D74" s="2" t="s">
        <v>1059</v>
      </c>
      <c r="E74" s="2" t="s">
        <v>72</v>
      </c>
      <c r="F74" s="2" t="str">
        <f>VLOOKUP(Orders!E74,Products!A:F,2,FALSE)</f>
        <v>Cookbook</v>
      </c>
      <c r="G74" s="2" t="s">
        <v>21</v>
      </c>
      <c r="H74" s="2" t="str">
        <f>VLOOKUP(G74,Employees!A:E,2,FALSE)</f>
        <v>Karan Mehta</v>
      </c>
      <c r="I74" s="2" t="str">
        <f>VLOOKUP(E74,Products!A:F,3,FALSE)</f>
        <v>Books</v>
      </c>
      <c r="J74" s="2" t="s">
        <v>73</v>
      </c>
      <c r="K74" s="2">
        <f>VLOOKUP(E74,Products!A:F,5,FALSE)</f>
        <v>2316.1999999999998</v>
      </c>
      <c r="L74" s="2">
        <v>9</v>
      </c>
      <c r="M74" s="2">
        <v>0.05</v>
      </c>
      <c r="N74" s="2">
        <f t="shared" si="3"/>
        <v>20845.8</v>
      </c>
      <c r="O74" s="2">
        <f t="shared" si="4"/>
        <v>19803.509999999998</v>
      </c>
      <c r="P74" s="2" t="s">
        <v>288</v>
      </c>
      <c r="Q74" s="2" t="s">
        <v>42</v>
      </c>
      <c r="R74" t="str">
        <f t="shared" si="5"/>
        <v/>
      </c>
    </row>
    <row r="75" spans="1:18" x14ac:dyDescent="0.3">
      <c r="A75" s="2" t="s">
        <v>289</v>
      </c>
      <c r="B75" s="5">
        <v>45332</v>
      </c>
      <c r="C75" s="2" t="s">
        <v>291</v>
      </c>
      <c r="D75" s="2" t="s">
        <v>1131</v>
      </c>
      <c r="E75" s="2" t="s">
        <v>254</v>
      </c>
      <c r="F75" s="2" t="str">
        <f>VLOOKUP(Orders!E75,Products!A:F,2,FALSE)</f>
        <v>Self-Help Book</v>
      </c>
      <c r="G75" s="2" t="s">
        <v>34</v>
      </c>
      <c r="H75" s="2" t="str">
        <f>VLOOKUP(G75,Employees!A:E,2,FALSE)</f>
        <v>Rohit Sinha</v>
      </c>
      <c r="I75" s="2" t="str">
        <f>VLOOKUP(E75,Products!A:F,3,FALSE)</f>
        <v>Books</v>
      </c>
      <c r="J75" s="2" t="s">
        <v>22</v>
      </c>
      <c r="K75" s="2">
        <f>VLOOKUP(E75,Products!A:F,5,FALSE)</f>
        <v>605.26</v>
      </c>
      <c r="L75" s="2">
        <v>7</v>
      </c>
      <c r="M75" s="2">
        <v>0.15</v>
      </c>
      <c r="N75" s="2">
        <f t="shared" si="3"/>
        <v>4236.82</v>
      </c>
      <c r="O75" s="2">
        <f t="shared" si="4"/>
        <v>3601.2969999999996</v>
      </c>
      <c r="P75" s="2" t="s">
        <v>292</v>
      </c>
      <c r="Q75" s="2" t="s">
        <v>24</v>
      </c>
      <c r="R75" t="str">
        <f t="shared" si="5"/>
        <v/>
      </c>
    </row>
    <row r="76" spans="1:18" x14ac:dyDescent="0.3">
      <c r="A76" s="2" t="s">
        <v>293</v>
      </c>
      <c r="B76" s="5">
        <v>45385</v>
      </c>
      <c r="C76" s="2" t="s">
        <v>137</v>
      </c>
      <c r="D76" s="2" t="s">
        <v>1114</v>
      </c>
      <c r="E76" s="2" t="s">
        <v>210</v>
      </c>
      <c r="F76" s="2" t="str">
        <f>VLOOKUP(Orders!E76,Products!A:F,2,FALSE)</f>
        <v>Skipping Rope</v>
      </c>
      <c r="G76" s="2" t="s">
        <v>45</v>
      </c>
      <c r="H76" s="2" t="str">
        <f>VLOOKUP(G76,Employees!A:E,2,FALSE)</f>
        <v>Rajesh Iyer</v>
      </c>
      <c r="I76" s="2" t="str">
        <f>VLOOKUP(E76,Products!A:F,3,FALSE)</f>
        <v>Sports</v>
      </c>
      <c r="J76" s="2" t="s">
        <v>73</v>
      </c>
      <c r="K76" s="2">
        <f>VLOOKUP(E76,Products!A:F,5,FALSE)</f>
        <v>1187.29</v>
      </c>
      <c r="L76" s="2">
        <v>4</v>
      </c>
      <c r="M76" s="2">
        <v>0.15</v>
      </c>
      <c r="N76" s="2">
        <f t="shared" si="3"/>
        <v>4749.16</v>
      </c>
      <c r="O76" s="2">
        <f t="shared" si="4"/>
        <v>4036.7859999999996</v>
      </c>
      <c r="P76" s="2" t="s">
        <v>295</v>
      </c>
      <c r="Q76" s="2" t="s">
        <v>17</v>
      </c>
      <c r="R76" t="str">
        <f t="shared" si="5"/>
        <v/>
      </c>
    </row>
    <row r="77" spans="1:18" x14ac:dyDescent="0.3">
      <c r="A77" s="2" t="s">
        <v>296</v>
      </c>
      <c r="B77" s="5">
        <v>45333</v>
      </c>
      <c r="C77" s="2" t="s">
        <v>102</v>
      </c>
      <c r="D77" s="2" t="s">
        <v>1111</v>
      </c>
      <c r="E77" s="2" t="s">
        <v>81</v>
      </c>
      <c r="F77" s="2" t="str">
        <f>VLOOKUP(Orders!E77,Products!A:F,2,FALSE)</f>
        <v>Earbuds</v>
      </c>
      <c r="G77" s="2" t="s">
        <v>34</v>
      </c>
      <c r="H77" s="2" t="str">
        <f>VLOOKUP(G77,Employees!A:E,2,FALSE)</f>
        <v>Rohit Sinha</v>
      </c>
      <c r="I77" s="2" t="str">
        <f>VLOOKUP(E77,Products!A:F,3,FALSE)</f>
        <v>Electronics</v>
      </c>
      <c r="J77" s="2" t="s">
        <v>35</v>
      </c>
      <c r="K77" s="2">
        <f>VLOOKUP(E77,Products!A:F,5,FALSE)</f>
        <v>1044.7</v>
      </c>
      <c r="L77" s="2">
        <v>3</v>
      </c>
      <c r="M77" s="2">
        <v>0.05</v>
      </c>
      <c r="N77" s="2">
        <f t="shared" si="3"/>
        <v>3134.1000000000004</v>
      </c>
      <c r="O77" s="2">
        <f t="shared" si="4"/>
        <v>2977.395</v>
      </c>
      <c r="P77" s="2" t="s">
        <v>298</v>
      </c>
      <c r="Q77" s="2" t="s">
        <v>17</v>
      </c>
      <c r="R77" t="str">
        <f t="shared" si="5"/>
        <v/>
      </c>
    </row>
    <row r="78" spans="1:18" x14ac:dyDescent="0.3">
      <c r="A78" s="2" t="s">
        <v>299</v>
      </c>
      <c r="B78" s="5">
        <v>45477</v>
      </c>
      <c r="C78" s="2" t="s">
        <v>120</v>
      </c>
      <c r="D78" s="2" t="s">
        <v>993</v>
      </c>
      <c r="E78" s="2" t="s">
        <v>300</v>
      </c>
      <c r="F78" s="2" t="str">
        <f>VLOOKUP(Orders!E78,Products!A:F,2,FALSE)</f>
        <v>Cushion Cover</v>
      </c>
      <c r="G78" s="2" t="s">
        <v>34</v>
      </c>
      <c r="H78" s="2" t="str">
        <f>VLOOKUP(G78,Employees!A:E,2,FALSE)</f>
        <v>Rohit Sinha</v>
      </c>
      <c r="I78" s="2" t="str">
        <f>VLOOKUP(E78,Products!A:F,3,FALSE)</f>
        <v>Home &amp; Kitchen</v>
      </c>
      <c r="J78" s="2" t="s">
        <v>73</v>
      </c>
      <c r="K78" s="2">
        <f>VLOOKUP(E78,Products!A:F,5,FALSE)</f>
        <v>4174.32</v>
      </c>
      <c r="L78" s="2">
        <v>10</v>
      </c>
      <c r="M78" s="2">
        <v>0.05</v>
      </c>
      <c r="N78" s="2">
        <f t="shared" si="3"/>
        <v>41743.199999999997</v>
      </c>
      <c r="O78" s="2">
        <f t="shared" si="4"/>
        <v>39656.039999999994</v>
      </c>
      <c r="P78" s="2" t="s">
        <v>301</v>
      </c>
      <c r="Q78" s="2" t="s">
        <v>30</v>
      </c>
      <c r="R78" t="str">
        <f t="shared" si="5"/>
        <v/>
      </c>
    </row>
    <row r="79" spans="1:18" x14ac:dyDescent="0.3">
      <c r="A79" s="2" t="s">
        <v>302</v>
      </c>
      <c r="B79" s="5">
        <v>45648</v>
      </c>
      <c r="C79" s="2" t="s">
        <v>152</v>
      </c>
      <c r="D79" s="2" t="s">
        <v>944</v>
      </c>
      <c r="E79" s="2" t="s">
        <v>304</v>
      </c>
      <c r="F79" s="2" t="str">
        <f>VLOOKUP(Orders!E79,Products!A:F,2,FALSE)</f>
        <v>Denim Jeans</v>
      </c>
      <c r="G79" s="2" t="s">
        <v>45</v>
      </c>
      <c r="H79" s="2" t="str">
        <f>VLOOKUP(G79,Employees!A:E,2,FALSE)</f>
        <v>Rajesh Iyer</v>
      </c>
      <c r="I79" s="2" t="str">
        <f>VLOOKUP(E79,Products!A:F,3,FALSE)</f>
        <v>Clothing</v>
      </c>
      <c r="J79" s="2" t="s">
        <v>73</v>
      </c>
      <c r="K79" s="2">
        <f>VLOOKUP(E79,Products!A:F,5,FALSE)</f>
        <v>1498.91</v>
      </c>
      <c r="L79" s="2">
        <v>7</v>
      </c>
      <c r="M79" s="2">
        <v>0</v>
      </c>
      <c r="N79" s="2">
        <f t="shared" si="3"/>
        <v>10492.37</v>
      </c>
      <c r="O79" s="2">
        <f t="shared" si="4"/>
        <v>10492.37</v>
      </c>
      <c r="P79" s="2" t="s">
        <v>305</v>
      </c>
      <c r="Q79" s="2" t="s">
        <v>60</v>
      </c>
      <c r="R79" t="str">
        <f t="shared" si="5"/>
        <v/>
      </c>
    </row>
    <row r="80" spans="1:18" x14ac:dyDescent="0.3">
      <c r="A80" s="2" t="s">
        <v>306</v>
      </c>
      <c r="B80" s="5">
        <v>45629</v>
      </c>
      <c r="C80" s="2" t="s">
        <v>39</v>
      </c>
      <c r="D80" s="2" t="s">
        <v>990</v>
      </c>
      <c r="E80" s="2" t="s">
        <v>249</v>
      </c>
      <c r="F80" s="2" t="str">
        <f>VLOOKUP(Orders!E80,Products!A:F,2,FALSE)</f>
        <v>Sports Jacket</v>
      </c>
      <c r="G80" s="2" t="s">
        <v>14</v>
      </c>
      <c r="H80" s="2" t="str">
        <f>VLOOKUP(G80,Employees!A:E,2,FALSE)</f>
        <v>Fatima Sheikh</v>
      </c>
      <c r="I80" s="2" t="str">
        <f>VLOOKUP(E80,Products!A:F,3,FALSE)</f>
        <v>Clothing</v>
      </c>
      <c r="J80" s="2" t="s">
        <v>22</v>
      </c>
      <c r="K80" s="2">
        <f>VLOOKUP(E80,Products!A:F,5,FALSE)</f>
        <v>1309.58</v>
      </c>
      <c r="L80" s="2">
        <v>7</v>
      </c>
      <c r="M80" s="2">
        <v>0.15</v>
      </c>
      <c r="N80" s="2">
        <f t="shared" si="3"/>
        <v>9167.06</v>
      </c>
      <c r="O80" s="2">
        <f t="shared" si="4"/>
        <v>7792.0009999999993</v>
      </c>
      <c r="P80" s="2" t="s">
        <v>103</v>
      </c>
      <c r="Q80" s="2" t="s">
        <v>30</v>
      </c>
      <c r="R80" t="str">
        <f t="shared" si="5"/>
        <v/>
      </c>
    </row>
    <row r="81" spans="1:18" x14ac:dyDescent="0.3">
      <c r="A81" s="2" t="s">
        <v>307</v>
      </c>
      <c r="B81" s="5">
        <v>45329</v>
      </c>
      <c r="C81" s="2" t="s">
        <v>141</v>
      </c>
      <c r="D81" s="2" t="s">
        <v>1115</v>
      </c>
      <c r="E81" s="2" t="s">
        <v>20</v>
      </c>
      <c r="F81" s="2" t="str">
        <f>VLOOKUP(Orders!E81,Products!A:F,2,FALSE)</f>
        <v>LED Lamp</v>
      </c>
      <c r="G81" s="2" t="s">
        <v>14</v>
      </c>
      <c r="H81" s="2" t="str">
        <f>VLOOKUP(G81,Employees!A:E,2,FALSE)</f>
        <v>Fatima Sheikh</v>
      </c>
      <c r="I81" s="2" t="str">
        <f>VLOOKUP(E81,Products!A:F,3,FALSE)</f>
        <v>Home &amp; Kitchen</v>
      </c>
      <c r="J81" s="2" t="s">
        <v>22</v>
      </c>
      <c r="K81" s="2">
        <f>VLOOKUP(E81,Products!A:F,5,FALSE)</f>
        <v>3772.12</v>
      </c>
      <c r="L81" s="2">
        <v>8</v>
      </c>
      <c r="M81" s="2">
        <v>0</v>
      </c>
      <c r="N81" s="2">
        <f t="shared" si="3"/>
        <v>30176.959999999999</v>
      </c>
      <c r="O81" s="2">
        <f t="shared" si="4"/>
        <v>30176.959999999999</v>
      </c>
      <c r="P81" s="2" t="s">
        <v>308</v>
      </c>
      <c r="Q81" s="2" t="s">
        <v>17</v>
      </c>
      <c r="R81" t="str">
        <f t="shared" si="5"/>
        <v/>
      </c>
    </row>
    <row r="82" spans="1:18" x14ac:dyDescent="0.3">
      <c r="A82" s="2" t="s">
        <v>309</v>
      </c>
      <c r="B82" s="5">
        <v>45410</v>
      </c>
      <c r="C82" s="2" t="s">
        <v>311</v>
      </c>
      <c r="D82" s="2" t="s">
        <v>1132</v>
      </c>
      <c r="E82" s="2" t="s">
        <v>106</v>
      </c>
      <c r="F82" s="2" t="str">
        <f>VLOOKUP(Orders!E82,Products!A:F,2,FALSE)</f>
        <v>Winter Scarf</v>
      </c>
      <c r="G82" s="2" t="s">
        <v>45</v>
      </c>
      <c r="H82" s="2" t="str">
        <f>VLOOKUP(G82,Employees!A:E,2,FALSE)</f>
        <v>Rajesh Iyer</v>
      </c>
      <c r="I82" s="2" t="str">
        <f>VLOOKUP(E82,Products!A:F,3,FALSE)</f>
        <v>Clothing</v>
      </c>
      <c r="J82" s="2" t="s">
        <v>73</v>
      </c>
      <c r="K82" s="2">
        <f>VLOOKUP(E82,Products!A:F,5,FALSE)</f>
        <v>1559.65</v>
      </c>
      <c r="L82" s="2">
        <v>7</v>
      </c>
      <c r="M82" s="2">
        <v>0.2</v>
      </c>
      <c r="N82" s="2">
        <f t="shared" si="3"/>
        <v>10917.550000000001</v>
      </c>
      <c r="O82" s="2">
        <f t="shared" si="4"/>
        <v>8734.0400000000009</v>
      </c>
      <c r="P82" s="2" t="s">
        <v>284</v>
      </c>
      <c r="Q82" s="2" t="s">
        <v>42</v>
      </c>
      <c r="R82" t="str">
        <f t="shared" si="5"/>
        <v/>
      </c>
    </row>
    <row r="83" spans="1:18" x14ac:dyDescent="0.3">
      <c r="A83" s="2" t="s">
        <v>312</v>
      </c>
      <c r="B83" s="5">
        <v>45765</v>
      </c>
      <c r="C83" s="2" t="s">
        <v>144</v>
      </c>
      <c r="D83" s="2" t="s">
        <v>1116</v>
      </c>
      <c r="E83" s="2" t="s">
        <v>40</v>
      </c>
      <c r="F83" s="2" t="str">
        <f>VLOOKUP(Orders!E83,Products!A:F,2,FALSE)</f>
        <v>Board Game</v>
      </c>
      <c r="G83" s="2" t="s">
        <v>45</v>
      </c>
      <c r="H83" s="2" t="str">
        <f>VLOOKUP(G83,Employees!A:E,2,FALSE)</f>
        <v>Rajesh Iyer</v>
      </c>
      <c r="I83" s="2" t="str">
        <f>VLOOKUP(E83,Products!A:F,3,FALSE)</f>
        <v>Toys</v>
      </c>
      <c r="J83" s="2" t="s">
        <v>22</v>
      </c>
      <c r="K83" s="2">
        <f>VLOOKUP(E83,Products!A:F,5,FALSE)</f>
        <v>136.91</v>
      </c>
      <c r="L83" s="2">
        <v>7</v>
      </c>
      <c r="M83" s="2">
        <v>0</v>
      </c>
      <c r="N83" s="2">
        <f t="shared" si="3"/>
        <v>958.37</v>
      </c>
      <c r="O83" s="2">
        <f t="shared" si="4"/>
        <v>958.37</v>
      </c>
      <c r="P83" s="2" t="s">
        <v>314</v>
      </c>
      <c r="Q83" s="2" t="s">
        <v>42</v>
      </c>
      <c r="R83" t="str">
        <f t="shared" si="5"/>
        <v/>
      </c>
    </row>
    <row r="84" spans="1:18" x14ac:dyDescent="0.3">
      <c r="A84" s="2" t="s">
        <v>315</v>
      </c>
      <c r="B84" s="5">
        <v>45802</v>
      </c>
      <c r="C84" s="2" t="s">
        <v>199</v>
      </c>
      <c r="D84" s="2" t="s">
        <v>1123</v>
      </c>
      <c r="E84" s="2" t="s">
        <v>316</v>
      </c>
      <c r="F84" s="2" t="str">
        <f>VLOOKUP(Orders!E84,Products!A:F,2,FALSE)</f>
        <v>Sunscreen</v>
      </c>
      <c r="G84" s="2" t="s">
        <v>82</v>
      </c>
      <c r="H84" s="2" t="str">
        <f>VLOOKUP(G84,Employees!A:E,2,FALSE)</f>
        <v>Priya Nair</v>
      </c>
      <c r="I84" s="2" t="str">
        <f>VLOOKUP(E84,Products!A:F,3,FALSE)</f>
        <v>Beauty</v>
      </c>
      <c r="J84" s="2" t="s">
        <v>15</v>
      </c>
      <c r="K84" s="2">
        <f>VLOOKUP(E84,Products!A:F,5,FALSE)</f>
        <v>2405.98</v>
      </c>
      <c r="L84" s="2">
        <v>8</v>
      </c>
      <c r="M84" s="2">
        <v>0.2</v>
      </c>
      <c r="N84" s="2">
        <f t="shared" si="3"/>
        <v>19247.84</v>
      </c>
      <c r="O84" s="2">
        <f t="shared" si="4"/>
        <v>15398.272000000001</v>
      </c>
      <c r="P84" s="2" t="s">
        <v>317</v>
      </c>
      <c r="Q84" s="2" t="s">
        <v>17</v>
      </c>
      <c r="R84" t="str">
        <f t="shared" si="5"/>
        <v/>
      </c>
    </row>
    <row r="85" spans="1:18" x14ac:dyDescent="0.3">
      <c r="A85" s="2" t="s">
        <v>318</v>
      </c>
      <c r="B85" s="5">
        <v>45426</v>
      </c>
      <c r="C85" s="2" t="s">
        <v>32</v>
      </c>
      <c r="D85" s="2" t="s">
        <v>1106</v>
      </c>
      <c r="E85" s="2" t="s">
        <v>40</v>
      </c>
      <c r="F85" s="2" t="str">
        <f>VLOOKUP(Orders!E85,Products!A:F,2,FALSE)</f>
        <v>Board Game</v>
      </c>
      <c r="G85" s="2" t="s">
        <v>45</v>
      </c>
      <c r="H85" s="2" t="str">
        <f>VLOOKUP(G85,Employees!A:E,2,FALSE)</f>
        <v>Rajesh Iyer</v>
      </c>
      <c r="I85" s="2" t="str">
        <f>VLOOKUP(E85,Products!A:F,3,FALSE)</f>
        <v>Toys</v>
      </c>
      <c r="J85" s="2" t="s">
        <v>73</v>
      </c>
      <c r="K85" s="2">
        <f>VLOOKUP(E85,Products!A:F,5,FALSE)</f>
        <v>136.91</v>
      </c>
      <c r="L85" s="2">
        <v>5</v>
      </c>
      <c r="M85" s="2">
        <v>0.05</v>
      </c>
      <c r="N85" s="2">
        <f t="shared" si="3"/>
        <v>684.55</v>
      </c>
      <c r="O85" s="2">
        <f t="shared" si="4"/>
        <v>650.32249999999988</v>
      </c>
      <c r="P85" s="2" t="s">
        <v>320</v>
      </c>
      <c r="Q85" s="2" t="s">
        <v>24</v>
      </c>
      <c r="R85" t="str">
        <f t="shared" si="5"/>
        <v/>
      </c>
    </row>
    <row r="86" spans="1:18" x14ac:dyDescent="0.3">
      <c r="A86" s="2" t="s">
        <v>321</v>
      </c>
      <c r="B86" s="5">
        <v>45537</v>
      </c>
      <c r="C86" s="2" t="s">
        <v>80</v>
      </c>
      <c r="D86" s="2" t="s">
        <v>1109</v>
      </c>
      <c r="E86" s="2" t="s">
        <v>50</v>
      </c>
      <c r="F86" s="2" t="str">
        <f>VLOOKUP(Orders!E86,Products!A:F,2,FALSE)</f>
        <v>Spice Combo</v>
      </c>
      <c r="G86" s="2" t="s">
        <v>21</v>
      </c>
      <c r="H86" s="2" t="str">
        <f>VLOOKUP(G86,Employees!A:E,2,FALSE)</f>
        <v>Karan Mehta</v>
      </c>
      <c r="I86" s="2" t="str">
        <f>VLOOKUP(E86,Products!A:F,3,FALSE)</f>
        <v>Grocery</v>
      </c>
      <c r="J86" s="2" t="s">
        <v>73</v>
      </c>
      <c r="K86" s="2">
        <f>VLOOKUP(E86,Products!A:F,5,FALSE)</f>
        <v>2041.83</v>
      </c>
      <c r="L86" s="2">
        <v>3</v>
      </c>
      <c r="M86" s="2">
        <v>0</v>
      </c>
      <c r="N86" s="2">
        <f t="shared" si="3"/>
        <v>6125.49</v>
      </c>
      <c r="O86" s="2">
        <f t="shared" si="4"/>
        <v>6125.49</v>
      </c>
      <c r="P86" s="2" t="s">
        <v>323</v>
      </c>
      <c r="Q86" s="2" t="s">
        <v>42</v>
      </c>
      <c r="R86" t="str">
        <f t="shared" si="5"/>
        <v/>
      </c>
    </row>
    <row r="87" spans="1:18" x14ac:dyDescent="0.3">
      <c r="A87" s="2" t="s">
        <v>324</v>
      </c>
      <c r="B87" s="5">
        <v>45709</v>
      </c>
      <c r="C87" s="2" t="s">
        <v>98</v>
      </c>
      <c r="D87" s="2" t="s">
        <v>1110</v>
      </c>
      <c r="E87" s="2" t="s">
        <v>111</v>
      </c>
      <c r="F87" s="2" t="str">
        <f>VLOOKUP(Orders!E87,Products!A:F,2,FALSE)</f>
        <v>Action Figure</v>
      </c>
      <c r="G87" s="2" t="s">
        <v>45</v>
      </c>
      <c r="H87" s="2" t="str">
        <f>VLOOKUP(G87,Employees!A:E,2,FALSE)</f>
        <v>Rajesh Iyer</v>
      </c>
      <c r="I87" s="2" t="str">
        <f>VLOOKUP(E87,Products!A:F,3,FALSE)</f>
        <v>Toys</v>
      </c>
      <c r="J87" s="2" t="s">
        <v>35</v>
      </c>
      <c r="K87" s="2">
        <f>VLOOKUP(E87,Products!A:F,5,FALSE)</f>
        <v>4390.62</v>
      </c>
      <c r="L87" s="2">
        <v>2</v>
      </c>
      <c r="M87" s="2">
        <v>0</v>
      </c>
      <c r="N87" s="2">
        <f t="shared" si="3"/>
        <v>8781.24</v>
      </c>
      <c r="O87" s="2">
        <f t="shared" si="4"/>
        <v>8781.24</v>
      </c>
      <c r="P87" s="2" t="s">
        <v>325</v>
      </c>
      <c r="Q87" s="2" t="s">
        <v>24</v>
      </c>
      <c r="R87" t="str">
        <f t="shared" si="5"/>
        <v/>
      </c>
    </row>
    <row r="88" spans="1:18" x14ac:dyDescent="0.3">
      <c r="A88" s="2" t="s">
        <v>326</v>
      </c>
      <c r="B88" s="5">
        <v>45449</v>
      </c>
      <c r="C88" s="2" t="s">
        <v>98</v>
      </c>
      <c r="D88" s="2" t="s">
        <v>1110</v>
      </c>
      <c r="E88" s="2" t="s">
        <v>206</v>
      </c>
      <c r="F88" s="2" t="str">
        <f>VLOOKUP(Orders!E88,Products!A:F,2,FALSE)</f>
        <v>Power Bank</v>
      </c>
      <c r="G88" s="2" t="s">
        <v>14</v>
      </c>
      <c r="H88" s="2" t="str">
        <f>VLOOKUP(G88,Employees!A:E,2,FALSE)</f>
        <v>Fatima Sheikh</v>
      </c>
      <c r="I88" s="2" t="str">
        <f>VLOOKUP(E88,Products!A:F,3,FALSE)</f>
        <v>Electronics</v>
      </c>
      <c r="J88" s="2" t="s">
        <v>22</v>
      </c>
      <c r="K88" s="2">
        <f>VLOOKUP(E88,Products!A:F,5,FALSE)</f>
        <v>2779.58</v>
      </c>
      <c r="L88" s="2">
        <v>8</v>
      </c>
      <c r="M88" s="2">
        <v>0.15</v>
      </c>
      <c r="N88" s="2">
        <f t="shared" si="3"/>
        <v>22236.639999999999</v>
      </c>
      <c r="O88" s="2">
        <f t="shared" si="4"/>
        <v>18901.144</v>
      </c>
      <c r="P88" s="2" t="s">
        <v>327</v>
      </c>
      <c r="Q88" s="2" t="s">
        <v>30</v>
      </c>
      <c r="R88" t="str">
        <f t="shared" si="5"/>
        <v/>
      </c>
    </row>
    <row r="89" spans="1:18" x14ac:dyDescent="0.3">
      <c r="A89" s="2" t="s">
        <v>328</v>
      </c>
      <c r="B89" s="5">
        <v>45786</v>
      </c>
      <c r="C89" s="2" t="s">
        <v>311</v>
      </c>
      <c r="D89" s="2" t="s">
        <v>1132</v>
      </c>
      <c r="E89" s="2" t="s">
        <v>240</v>
      </c>
      <c r="F89" s="2" t="str">
        <f>VLOOKUP(Orders!E89,Products!A:F,2,FALSE)</f>
        <v>Notebook Set</v>
      </c>
      <c r="G89" s="2" t="s">
        <v>14</v>
      </c>
      <c r="H89" s="2" t="str">
        <f>VLOOKUP(G89,Employees!A:E,2,FALSE)</f>
        <v>Fatima Sheikh</v>
      </c>
      <c r="I89" s="2" t="str">
        <f>VLOOKUP(E89,Products!A:F,3,FALSE)</f>
        <v>Books</v>
      </c>
      <c r="J89" s="2" t="s">
        <v>15</v>
      </c>
      <c r="K89" s="2">
        <f>VLOOKUP(E89,Products!A:F,5,FALSE)</f>
        <v>2036.67</v>
      </c>
      <c r="L89" s="2">
        <v>8</v>
      </c>
      <c r="M89" s="2">
        <v>0</v>
      </c>
      <c r="N89" s="2">
        <f t="shared" si="3"/>
        <v>16293.36</v>
      </c>
      <c r="O89" s="2">
        <f t="shared" si="4"/>
        <v>16293.36</v>
      </c>
      <c r="P89" s="2" t="s">
        <v>213</v>
      </c>
      <c r="Q89" s="2" t="s">
        <v>30</v>
      </c>
      <c r="R89" t="str">
        <f t="shared" si="5"/>
        <v/>
      </c>
    </row>
    <row r="90" spans="1:18" x14ac:dyDescent="0.3">
      <c r="A90" s="2" t="s">
        <v>329</v>
      </c>
      <c r="B90" s="5">
        <v>45487</v>
      </c>
      <c r="C90" s="2" t="s">
        <v>331</v>
      </c>
      <c r="D90" s="2" t="s">
        <v>1006</v>
      </c>
      <c r="E90" s="2" t="s">
        <v>20</v>
      </c>
      <c r="F90" s="2" t="str">
        <f>VLOOKUP(Orders!E90,Products!A:F,2,FALSE)</f>
        <v>LED Lamp</v>
      </c>
      <c r="G90" s="2" t="s">
        <v>34</v>
      </c>
      <c r="H90" s="2" t="str">
        <f>VLOOKUP(G90,Employees!A:E,2,FALSE)</f>
        <v>Rohit Sinha</v>
      </c>
      <c r="I90" s="2" t="str">
        <f>VLOOKUP(E90,Products!A:F,3,FALSE)</f>
        <v>Home &amp; Kitchen</v>
      </c>
      <c r="J90" s="2" t="s">
        <v>73</v>
      </c>
      <c r="K90" s="2">
        <f>VLOOKUP(E90,Products!A:F,5,FALSE)</f>
        <v>3772.12</v>
      </c>
      <c r="L90" s="2">
        <v>10</v>
      </c>
      <c r="M90" s="2">
        <v>0.1</v>
      </c>
      <c r="N90" s="2">
        <f t="shared" si="3"/>
        <v>37721.199999999997</v>
      </c>
      <c r="O90" s="2">
        <f t="shared" si="4"/>
        <v>33949.08</v>
      </c>
      <c r="P90" s="2" t="s">
        <v>332</v>
      </c>
      <c r="Q90" s="2" t="s">
        <v>17</v>
      </c>
      <c r="R90" t="str">
        <f t="shared" si="5"/>
        <v/>
      </c>
    </row>
    <row r="91" spans="1:18" x14ac:dyDescent="0.3">
      <c r="A91" s="2" t="s">
        <v>333</v>
      </c>
      <c r="B91" s="5">
        <v>45716</v>
      </c>
      <c r="C91" s="2" t="s">
        <v>229</v>
      </c>
      <c r="D91" s="2" t="s">
        <v>1126</v>
      </c>
      <c r="E91" s="2" t="s">
        <v>161</v>
      </c>
      <c r="F91" s="2" t="str">
        <f>VLOOKUP(Orders!E91,Products!A:F,2,FALSE)</f>
        <v>Lipstick</v>
      </c>
      <c r="G91" s="2" t="s">
        <v>82</v>
      </c>
      <c r="H91" s="2" t="str">
        <f>VLOOKUP(G91,Employees!A:E,2,FALSE)</f>
        <v>Priya Nair</v>
      </c>
      <c r="I91" s="2" t="str">
        <f>VLOOKUP(E91,Products!A:F,3,FALSE)</f>
        <v>Beauty</v>
      </c>
      <c r="J91" s="2" t="s">
        <v>22</v>
      </c>
      <c r="K91" s="2">
        <f>VLOOKUP(E91,Products!A:F,5,FALSE)</f>
        <v>1513.99</v>
      </c>
      <c r="L91" s="2">
        <v>6</v>
      </c>
      <c r="M91" s="2">
        <v>0.2</v>
      </c>
      <c r="N91" s="2">
        <f t="shared" si="3"/>
        <v>9083.94</v>
      </c>
      <c r="O91" s="2">
        <f t="shared" si="4"/>
        <v>7267.152000000001</v>
      </c>
      <c r="P91" s="2" t="s">
        <v>112</v>
      </c>
      <c r="Q91" s="2" t="s">
        <v>24</v>
      </c>
      <c r="R91" t="str">
        <f t="shared" si="5"/>
        <v/>
      </c>
    </row>
    <row r="92" spans="1:18" x14ac:dyDescent="0.3">
      <c r="A92" s="2" t="s">
        <v>334</v>
      </c>
      <c r="B92" s="5">
        <v>45581</v>
      </c>
      <c r="C92" s="2" t="s">
        <v>273</v>
      </c>
      <c r="D92" s="2" t="s">
        <v>1129</v>
      </c>
      <c r="E92" s="2" t="s">
        <v>94</v>
      </c>
      <c r="F92" s="2" t="str">
        <f>VLOOKUP(Orders!E92,Products!A:F,2,FALSE)</f>
        <v>Honey Jar</v>
      </c>
      <c r="G92" s="2" t="s">
        <v>82</v>
      </c>
      <c r="H92" s="2" t="str">
        <f>VLOOKUP(G92,Employees!A:E,2,FALSE)</f>
        <v>Priya Nair</v>
      </c>
      <c r="I92" s="2" t="str">
        <f>VLOOKUP(E92,Products!A:F,3,FALSE)</f>
        <v>Grocery</v>
      </c>
      <c r="J92" s="2" t="s">
        <v>35</v>
      </c>
      <c r="K92" s="2">
        <f>VLOOKUP(E92,Products!A:F,5,FALSE)</f>
        <v>3610.44</v>
      </c>
      <c r="L92" s="2">
        <v>5</v>
      </c>
      <c r="M92" s="2">
        <v>0.2</v>
      </c>
      <c r="N92" s="2">
        <f t="shared" si="3"/>
        <v>18052.2</v>
      </c>
      <c r="O92" s="2">
        <f t="shared" si="4"/>
        <v>14441.760000000002</v>
      </c>
      <c r="P92" s="2" t="s">
        <v>335</v>
      </c>
      <c r="Q92" s="2" t="s">
        <v>60</v>
      </c>
      <c r="R92" t="str">
        <f t="shared" si="5"/>
        <v/>
      </c>
    </row>
    <row r="93" spans="1:18" x14ac:dyDescent="0.3">
      <c r="A93" s="2" t="s">
        <v>336</v>
      </c>
      <c r="B93" s="5">
        <v>45749</v>
      </c>
      <c r="C93" s="2" t="s">
        <v>229</v>
      </c>
      <c r="D93" s="2" t="s">
        <v>1126</v>
      </c>
      <c r="E93" s="2" t="s">
        <v>40</v>
      </c>
      <c r="F93" s="2" t="str">
        <f>VLOOKUP(Orders!E93,Products!A:F,2,FALSE)</f>
        <v>Board Game</v>
      </c>
      <c r="G93" s="2" t="s">
        <v>82</v>
      </c>
      <c r="H93" s="2" t="str">
        <f>VLOOKUP(G93,Employees!A:E,2,FALSE)</f>
        <v>Priya Nair</v>
      </c>
      <c r="I93" s="2" t="str">
        <f>VLOOKUP(E93,Products!A:F,3,FALSE)</f>
        <v>Toys</v>
      </c>
      <c r="J93" s="2" t="s">
        <v>22</v>
      </c>
      <c r="K93" s="2">
        <f>VLOOKUP(E93,Products!A:F,5,FALSE)</f>
        <v>136.91</v>
      </c>
      <c r="L93" s="2">
        <v>9</v>
      </c>
      <c r="M93" s="2">
        <v>0.05</v>
      </c>
      <c r="N93" s="2">
        <f t="shared" si="3"/>
        <v>1232.19</v>
      </c>
      <c r="O93" s="2">
        <f t="shared" si="4"/>
        <v>1170.5805</v>
      </c>
      <c r="P93" s="2" t="s">
        <v>338</v>
      </c>
      <c r="Q93" s="2" t="s">
        <v>42</v>
      </c>
      <c r="R93" t="str">
        <f t="shared" si="5"/>
        <v/>
      </c>
    </row>
    <row r="94" spans="1:18" x14ac:dyDescent="0.3">
      <c r="A94" s="2" t="s">
        <v>339</v>
      </c>
      <c r="B94" s="5">
        <v>45678</v>
      </c>
      <c r="C94" s="2" t="s">
        <v>202</v>
      </c>
      <c r="D94" s="2" t="s">
        <v>1124</v>
      </c>
      <c r="E94" s="2" t="s">
        <v>161</v>
      </c>
      <c r="F94" s="2" t="str">
        <f>VLOOKUP(Orders!E94,Products!A:F,2,FALSE)</f>
        <v>Lipstick</v>
      </c>
      <c r="G94" s="2" t="s">
        <v>82</v>
      </c>
      <c r="H94" s="2" t="str">
        <f>VLOOKUP(G94,Employees!A:E,2,FALSE)</f>
        <v>Priya Nair</v>
      </c>
      <c r="I94" s="2" t="str">
        <f>VLOOKUP(E94,Products!A:F,3,FALSE)</f>
        <v>Beauty</v>
      </c>
      <c r="J94" s="2" t="s">
        <v>15</v>
      </c>
      <c r="K94" s="2">
        <f>VLOOKUP(E94,Products!A:F,5,FALSE)</f>
        <v>1513.99</v>
      </c>
      <c r="L94" s="2">
        <v>8</v>
      </c>
      <c r="M94" s="2">
        <v>0</v>
      </c>
      <c r="N94" s="2">
        <f t="shared" si="3"/>
        <v>12111.92</v>
      </c>
      <c r="O94" s="2">
        <f t="shared" si="4"/>
        <v>12111.92</v>
      </c>
      <c r="P94" s="2" t="s">
        <v>340</v>
      </c>
      <c r="Q94" s="2" t="s">
        <v>42</v>
      </c>
      <c r="R94" t="str">
        <f t="shared" si="5"/>
        <v/>
      </c>
    </row>
    <row r="95" spans="1:18" x14ac:dyDescent="0.3">
      <c r="A95" s="2" t="s">
        <v>341</v>
      </c>
      <c r="B95" s="5">
        <v>45684</v>
      </c>
      <c r="C95" s="2" t="s">
        <v>98</v>
      </c>
      <c r="D95" s="2" t="s">
        <v>1110</v>
      </c>
      <c r="E95" s="2" t="s">
        <v>50</v>
      </c>
      <c r="F95" s="2" t="str">
        <f>VLOOKUP(Orders!E95,Products!A:F,2,FALSE)</f>
        <v>Spice Combo</v>
      </c>
      <c r="G95" s="2" t="s">
        <v>34</v>
      </c>
      <c r="H95" s="2" t="str">
        <f>VLOOKUP(G95,Employees!A:E,2,FALSE)</f>
        <v>Rohit Sinha</v>
      </c>
      <c r="I95" s="2" t="str">
        <f>VLOOKUP(E95,Products!A:F,3,FALSE)</f>
        <v>Grocery</v>
      </c>
      <c r="J95" s="2" t="s">
        <v>73</v>
      </c>
      <c r="K95" s="2">
        <f>VLOOKUP(E95,Products!A:F,5,FALSE)</f>
        <v>2041.83</v>
      </c>
      <c r="L95" s="2">
        <v>4</v>
      </c>
      <c r="M95" s="2">
        <v>0.2</v>
      </c>
      <c r="N95" s="2">
        <f t="shared" si="3"/>
        <v>8167.32</v>
      </c>
      <c r="O95" s="2">
        <f t="shared" si="4"/>
        <v>6533.8559999999998</v>
      </c>
      <c r="P95" s="2" t="s">
        <v>343</v>
      </c>
      <c r="Q95" s="2" t="s">
        <v>17</v>
      </c>
      <c r="R95" t="str">
        <f t="shared" si="5"/>
        <v/>
      </c>
    </row>
    <row r="96" spans="1:18" x14ac:dyDescent="0.3">
      <c r="A96" s="2" t="s">
        <v>344</v>
      </c>
      <c r="B96" s="5">
        <v>45776</v>
      </c>
      <c r="C96" s="2" t="s">
        <v>176</v>
      </c>
      <c r="D96" s="2" t="s">
        <v>1120</v>
      </c>
      <c r="E96" s="2" t="s">
        <v>345</v>
      </c>
      <c r="F96" s="2" t="str">
        <f>VLOOKUP(Orders!E96,Products!A:F,2,FALSE)</f>
        <v>Soft Toy</v>
      </c>
      <c r="G96" s="2" t="s">
        <v>45</v>
      </c>
      <c r="H96" s="2" t="str">
        <f>VLOOKUP(G96,Employees!A:E,2,FALSE)</f>
        <v>Rajesh Iyer</v>
      </c>
      <c r="I96" s="2" t="str">
        <f>VLOOKUP(E96,Products!A:F,3,FALSE)</f>
        <v>Toys</v>
      </c>
      <c r="J96" s="2" t="s">
        <v>35</v>
      </c>
      <c r="K96" s="2">
        <f>VLOOKUP(E96,Products!A:F,5,FALSE)</f>
        <v>1212.79</v>
      </c>
      <c r="L96" s="2">
        <v>7</v>
      </c>
      <c r="M96" s="2">
        <v>0.05</v>
      </c>
      <c r="N96" s="2">
        <f t="shared" si="3"/>
        <v>8489.5299999999988</v>
      </c>
      <c r="O96" s="2">
        <f t="shared" si="4"/>
        <v>8065.0534999999982</v>
      </c>
      <c r="P96" s="2" t="s">
        <v>346</v>
      </c>
      <c r="Q96" s="2" t="s">
        <v>24</v>
      </c>
      <c r="R96" t="str">
        <f t="shared" si="5"/>
        <v/>
      </c>
    </row>
    <row r="97" spans="1:18" x14ac:dyDescent="0.3">
      <c r="A97" s="2" t="s">
        <v>347</v>
      </c>
      <c r="B97" s="5">
        <v>45421</v>
      </c>
      <c r="C97" s="2" t="s">
        <v>39</v>
      </c>
      <c r="D97" s="2" t="s">
        <v>990</v>
      </c>
      <c r="E97" s="2" t="s">
        <v>81</v>
      </c>
      <c r="F97" s="2" t="str">
        <f>VLOOKUP(Orders!E97,Products!A:F,2,FALSE)</f>
        <v>Earbuds</v>
      </c>
      <c r="G97" s="2" t="s">
        <v>82</v>
      </c>
      <c r="H97" s="2" t="str">
        <f>VLOOKUP(G97,Employees!A:E,2,FALSE)</f>
        <v>Priya Nair</v>
      </c>
      <c r="I97" s="2" t="str">
        <f>VLOOKUP(E97,Products!A:F,3,FALSE)</f>
        <v>Electronics</v>
      </c>
      <c r="J97" s="2" t="s">
        <v>73</v>
      </c>
      <c r="K97" s="2">
        <f>VLOOKUP(E97,Products!A:F,5,FALSE)</f>
        <v>1044.7</v>
      </c>
      <c r="L97" s="2">
        <v>9</v>
      </c>
      <c r="M97" s="2">
        <v>0.1</v>
      </c>
      <c r="N97" s="2">
        <f t="shared" si="3"/>
        <v>9402.3000000000011</v>
      </c>
      <c r="O97" s="2">
        <f t="shared" si="4"/>
        <v>8462.0700000000015</v>
      </c>
      <c r="P97" s="2" t="s">
        <v>348</v>
      </c>
      <c r="Q97" s="2" t="s">
        <v>30</v>
      </c>
      <c r="R97" t="str">
        <f t="shared" si="5"/>
        <v/>
      </c>
    </row>
    <row r="98" spans="1:18" x14ac:dyDescent="0.3">
      <c r="A98" s="2" t="s">
        <v>349</v>
      </c>
      <c r="B98" s="5">
        <v>45394</v>
      </c>
      <c r="C98" s="2" t="s">
        <v>291</v>
      </c>
      <c r="D98" s="2" t="s">
        <v>1131</v>
      </c>
      <c r="E98" s="2" t="s">
        <v>260</v>
      </c>
      <c r="F98" s="2" t="str">
        <f>VLOOKUP(Orders!E98,Products!A:F,2,FALSE)</f>
        <v>Non-stick Pan</v>
      </c>
      <c r="G98" s="2" t="s">
        <v>34</v>
      </c>
      <c r="H98" s="2" t="str">
        <f>VLOOKUP(G98,Employees!A:E,2,FALSE)</f>
        <v>Rohit Sinha</v>
      </c>
      <c r="I98" s="2" t="str">
        <f>VLOOKUP(E98,Products!A:F,3,FALSE)</f>
        <v>Home &amp; Kitchen</v>
      </c>
      <c r="J98" s="2" t="s">
        <v>15</v>
      </c>
      <c r="K98" s="2">
        <f>VLOOKUP(E98,Products!A:F,5,FALSE)</f>
        <v>3981.64</v>
      </c>
      <c r="L98" s="2">
        <v>9</v>
      </c>
      <c r="M98" s="2">
        <v>0.05</v>
      </c>
      <c r="N98" s="2">
        <f t="shared" si="3"/>
        <v>35834.76</v>
      </c>
      <c r="O98" s="2">
        <f t="shared" si="4"/>
        <v>34043.021999999997</v>
      </c>
      <c r="P98" s="2" t="s">
        <v>295</v>
      </c>
      <c r="Q98" s="2" t="s">
        <v>30</v>
      </c>
      <c r="R98" t="str">
        <f t="shared" si="5"/>
        <v/>
      </c>
    </row>
    <row r="99" spans="1:18" x14ac:dyDescent="0.3">
      <c r="A99" s="2" t="s">
        <v>351</v>
      </c>
      <c r="B99" s="5">
        <v>45450</v>
      </c>
      <c r="C99" s="2" t="s">
        <v>202</v>
      </c>
      <c r="D99" s="2" t="s">
        <v>1124</v>
      </c>
      <c r="E99" s="2" t="s">
        <v>304</v>
      </c>
      <c r="F99" s="2" t="str">
        <f>VLOOKUP(Orders!E99,Products!A:F,2,FALSE)</f>
        <v>Denim Jeans</v>
      </c>
      <c r="G99" s="2" t="s">
        <v>14</v>
      </c>
      <c r="H99" s="2" t="str">
        <f>VLOOKUP(G99,Employees!A:E,2,FALSE)</f>
        <v>Fatima Sheikh</v>
      </c>
      <c r="I99" s="2" t="str">
        <f>VLOOKUP(E99,Products!A:F,3,FALSE)</f>
        <v>Clothing</v>
      </c>
      <c r="J99" s="2" t="s">
        <v>22</v>
      </c>
      <c r="K99" s="2">
        <f>VLOOKUP(E99,Products!A:F,5,FALSE)</f>
        <v>1498.91</v>
      </c>
      <c r="L99" s="2">
        <v>2</v>
      </c>
      <c r="M99" s="2">
        <v>0.05</v>
      </c>
      <c r="N99" s="2">
        <f t="shared" si="3"/>
        <v>2997.82</v>
      </c>
      <c r="O99" s="2">
        <f t="shared" si="4"/>
        <v>2847.9290000000001</v>
      </c>
      <c r="P99" s="2" t="s">
        <v>353</v>
      </c>
      <c r="Q99" s="2" t="s">
        <v>42</v>
      </c>
      <c r="R99" t="str">
        <f t="shared" si="5"/>
        <v/>
      </c>
    </row>
    <row r="100" spans="1:18" x14ac:dyDescent="0.3">
      <c r="A100" s="2" t="s">
        <v>354</v>
      </c>
      <c r="B100" s="5">
        <v>45699</v>
      </c>
      <c r="C100" s="2" t="s">
        <v>356</v>
      </c>
      <c r="D100" s="2" t="s">
        <v>1133</v>
      </c>
      <c r="E100" s="2" t="s">
        <v>304</v>
      </c>
      <c r="F100" s="2" t="str">
        <f>VLOOKUP(Orders!E100,Products!A:F,2,FALSE)</f>
        <v>Denim Jeans</v>
      </c>
      <c r="G100" s="2" t="s">
        <v>45</v>
      </c>
      <c r="H100" s="2" t="str">
        <f>VLOOKUP(G100,Employees!A:E,2,FALSE)</f>
        <v>Rajesh Iyer</v>
      </c>
      <c r="I100" s="2" t="str">
        <f>VLOOKUP(E100,Products!A:F,3,FALSE)</f>
        <v>Clothing</v>
      </c>
      <c r="J100" s="2" t="s">
        <v>35</v>
      </c>
      <c r="K100" s="2">
        <f>VLOOKUP(E100,Products!A:F,5,FALSE)</f>
        <v>1498.91</v>
      </c>
      <c r="L100" s="2">
        <v>2</v>
      </c>
      <c r="M100" s="2">
        <v>0.2</v>
      </c>
      <c r="N100" s="2">
        <f t="shared" si="3"/>
        <v>2997.82</v>
      </c>
      <c r="O100" s="2">
        <f t="shared" si="4"/>
        <v>2398.2560000000003</v>
      </c>
      <c r="P100" s="2" t="s">
        <v>357</v>
      </c>
      <c r="Q100" s="2" t="s">
        <v>17</v>
      </c>
      <c r="R100" t="str">
        <f t="shared" si="5"/>
        <v/>
      </c>
    </row>
    <row r="101" spans="1:18" x14ac:dyDescent="0.3">
      <c r="A101" s="2" t="s">
        <v>358</v>
      </c>
      <c r="B101" s="5">
        <v>45791</v>
      </c>
      <c r="C101" s="2" t="s">
        <v>124</v>
      </c>
      <c r="D101" s="2" t="s">
        <v>1112</v>
      </c>
      <c r="E101" s="2" t="s">
        <v>316</v>
      </c>
      <c r="F101" s="2" t="str">
        <f>VLOOKUP(Orders!E101,Products!A:F,2,FALSE)</f>
        <v>Sunscreen</v>
      </c>
      <c r="G101" s="2" t="s">
        <v>14</v>
      </c>
      <c r="H101" s="2" t="str">
        <f>VLOOKUP(G101,Employees!A:E,2,FALSE)</f>
        <v>Fatima Sheikh</v>
      </c>
      <c r="I101" s="2" t="str">
        <f>VLOOKUP(E101,Products!A:F,3,FALSE)</f>
        <v>Beauty</v>
      </c>
      <c r="J101" s="2" t="s">
        <v>73</v>
      </c>
      <c r="K101" s="2">
        <f>VLOOKUP(E101,Products!A:F,5,FALSE)</f>
        <v>2405.98</v>
      </c>
      <c r="L101" s="2">
        <v>9</v>
      </c>
      <c r="M101" s="2">
        <v>0</v>
      </c>
      <c r="N101" s="2">
        <f t="shared" si="3"/>
        <v>21653.82</v>
      </c>
      <c r="O101" s="2">
        <f t="shared" si="4"/>
        <v>21653.82</v>
      </c>
      <c r="P101" s="2" t="s">
        <v>74</v>
      </c>
      <c r="Q101" s="2" t="s">
        <v>60</v>
      </c>
      <c r="R101" t="str">
        <f t="shared" si="5"/>
        <v/>
      </c>
    </row>
    <row r="102" spans="1:18" x14ac:dyDescent="0.3">
      <c r="A102" s="2" t="s">
        <v>360</v>
      </c>
      <c r="B102" s="5">
        <v>45586</v>
      </c>
      <c r="C102" s="2" t="s">
        <v>190</v>
      </c>
      <c r="D102" s="2" t="s">
        <v>1119</v>
      </c>
      <c r="E102" s="2" t="s">
        <v>164</v>
      </c>
      <c r="F102" s="2" t="str">
        <f>VLOOKUP(Orders!E102,Products!A:F,2,FALSE)</f>
        <v>Biography</v>
      </c>
      <c r="G102" s="2" t="s">
        <v>45</v>
      </c>
      <c r="H102" s="2" t="str">
        <f>VLOOKUP(G102,Employees!A:E,2,FALSE)</f>
        <v>Rajesh Iyer</v>
      </c>
      <c r="I102" s="2" t="str">
        <f>VLOOKUP(E102,Products!A:F,3,FALSE)</f>
        <v>Books</v>
      </c>
      <c r="J102" s="2" t="s">
        <v>35</v>
      </c>
      <c r="K102" s="2">
        <f>VLOOKUP(E102,Products!A:F,5,FALSE)</f>
        <v>2489.91</v>
      </c>
      <c r="L102" s="2">
        <v>4</v>
      </c>
      <c r="M102" s="2">
        <v>0.15</v>
      </c>
      <c r="N102" s="2">
        <f t="shared" si="3"/>
        <v>9959.64</v>
      </c>
      <c r="O102" s="2">
        <f t="shared" si="4"/>
        <v>8465.6939999999995</v>
      </c>
      <c r="P102" s="2" t="s">
        <v>361</v>
      </c>
      <c r="Q102" s="2" t="s">
        <v>24</v>
      </c>
      <c r="R102" t="str">
        <f t="shared" si="5"/>
        <v/>
      </c>
    </row>
    <row r="103" spans="1:18" x14ac:dyDescent="0.3">
      <c r="A103" s="2" t="s">
        <v>362</v>
      </c>
      <c r="B103" s="5">
        <v>45394</v>
      </c>
      <c r="C103" s="2" t="s">
        <v>214</v>
      </c>
      <c r="D103" s="2" t="s">
        <v>1125</v>
      </c>
      <c r="E103" s="2" t="s">
        <v>161</v>
      </c>
      <c r="F103" s="2" t="str">
        <f>VLOOKUP(Orders!E103,Products!A:F,2,FALSE)</f>
        <v>Lipstick</v>
      </c>
      <c r="G103" s="2" t="s">
        <v>21</v>
      </c>
      <c r="H103" s="2" t="str">
        <f>VLOOKUP(G103,Employees!A:E,2,FALSE)</f>
        <v>Karan Mehta</v>
      </c>
      <c r="I103" s="2" t="str">
        <f>VLOOKUP(E103,Products!A:F,3,FALSE)</f>
        <v>Beauty</v>
      </c>
      <c r="J103" s="2" t="s">
        <v>73</v>
      </c>
      <c r="K103" s="2">
        <f>VLOOKUP(E103,Products!A:F,5,FALSE)</f>
        <v>1513.99</v>
      </c>
      <c r="L103" s="2">
        <v>8</v>
      </c>
      <c r="M103" s="2">
        <v>0</v>
      </c>
      <c r="N103" s="2">
        <f t="shared" si="3"/>
        <v>12111.92</v>
      </c>
      <c r="O103" s="2">
        <f t="shared" si="4"/>
        <v>12111.92</v>
      </c>
      <c r="P103" s="2" t="s">
        <v>363</v>
      </c>
      <c r="Q103" s="2" t="s">
        <v>24</v>
      </c>
      <c r="R103" t="str">
        <f t="shared" si="5"/>
        <v/>
      </c>
    </row>
    <row r="104" spans="1:18" x14ac:dyDescent="0.3">
      <c r="A104" s="2" t="s">
        <v>364</v>
      </c>
      <c r="B104" s="5">
        <v>45624</v>
      </c>
      <c r="C104" s="2" t="s">
        <v>32</v>
      </c>
      <c r="D104" s="2" t="s">
        <v>1106</v>
      </c>
      <c r="E104" s="2" t="s">
        <v>316</v>
      </c>
      <c r="F104" s="2" t="str">
        <f>VLOOKUP(Orders!E104,Products!A:F,2,FALSE)</f>
        <v>Sunscreen</v>
      </c>
      <c r="G104" s="2" t="s">
        <v>34</v>
      </c>
      <c r="H104" s="2" t="str">
        <f>VLOOKUP(G104,Employees!A:E,2,FALSE)</f>
        <v>Rohit Sinha</v>
      </c>
      <c r="I104" s="2" t="str">
        <f>VLOOKUP(E104,Products!A:F,3,FALSE)</f>
        <v>Beauty</v>
      </c>
      <c r="J104" s="2" t="s">
        <v>22</v>
      </c>
      <c r="K104" s="2">
        <f>VLOOKUP(E104,Products!A:F,5,FALSE)</f>
        <v>2405.98</v>
      </c>
      <c r="L104" s="2">
        <v>1</v>
      </c>
      <c r="M104" s="2">
        <v>0</v>
      </c>
      <c r="N104" s="2">
        <f t="shared" si="3"/>
        <v>2405.98</v>
      </c>
      <c r="O104" s="2">
        <f t="shared" si="4"/>
        <v>2405.98</v>
      </c>
      <c r="P104" s="2" t="s">
        <v>222</v>
      </c>
      <c r="Q104" s="2" t="s">
        <v>30</v>
      </c>
      <c r="R104" t="str">
        <f t="shared" si="5"/>
        <v/>
      </c>
    </row>
    <row r="105" spans="1:18" x14ac:dyDescent="0.3">
      <c r="A105" s="2" t="s">
        <v>366</v>
      </c>
      <c r="B105" s="5">
        <v>45441</v>
      </c>
      <c r="C105" s="2" t="s">
        <v>245</v>
      </c>
      <c r="D105" s="2" t="s">
        <v>1128</v>
      </c>
      <c r="E105" s="2" t="s">
        <v>161</v>
      </c>
      <c r="F105" s="2" t="str">
        <f>VLOOKUP(Orders!E105,Products!A:F,2,FALSE)</f>
        <v>Lipstick</v>
      </c>
      <c r="G105" s="2" t="s">
        <v>14</v>
      </c>
      <c r="H105" s="2" t="str">
        <f>VLOOKUP(G105,Employees!A:E,2,FALSE)</f>
        <v>Fatima Sheikh</v>
      </c>
      <c r="I105" s="2" t="str">
        <f>VLOOKUP(E105,Products!A:F,3,FALSE)</f>
        <v>Beauty</v>
      </c>
      <c r="J105" s="2" t="s">
        <v>15</v>
      </c>
      <c r="K105" s="2">
        <f>VLOOKUP(E105,Products!A:F,5,FALSE)</f>
        <v>1513.99</v>
      </c>
      <c r="L105" s="2">
        <v>4</v>
      </c>
      <c r="M105" s="2">
        <v>0.1</v>
      </c>
      <c r="N105" s="2">
        <f t="shared" si="3"/>
        <v>6055.96</v>
      </c>
      <c r="O105" s="2">
        <f t="shared" si="4"/>
        <v>5450.3640000000005</v>
      </c>
      <c r="P105" s="2" t="s">
        <v>368</v>
      </c>
      <c r="Q105" s="2" t="s">
        <v>60</v>
      </c>
      <c r="R105" t="str">
        <f t="shared" si="5"/>
        <v/>
      </c>
    </row>
    <row r="106" spans="1:18" x14ac:dyDescent="0.3">
      <c r="A106" s="2" t="s">
        <v>369</v>
      </c>
      <c r="B106" s="5">
        <v>45471</v>
      </c>
      <c r="C106" s="2" t="s">
        <v>273</v>
      </c>
      <c r="D106" s="2" t="s">
        <v>1129</v>
      </c>
      <c r="E106" s="2" t="s">
        <v>44</v>
      </c>
      <c r="F106" s="2" t="str">
        <f>VLOOKUP(Orders!E106,Products!A:F,2,FALSE)</f>
        <v>Dumbbell Set</v>
      </c>
      <c r="G106" s="2" t="s">
        <v>82</v>
      </c>
      <c r="H106" s="2" t="str">
        <f>VLOOKUP(G106,Employees!A:E,2,FALSE)</f>
        <v>Priya Nair</v>
      </c>
      <c r="I106" s="2" t="str">
        <f>VLOOKUP(E106,Products!A:F,3,FALSE)</f>
        <v>Sports</v>
      </c>
      <c r="J106" s="2" t="s">
        <v>15</v>
      </c>
      <c r="K106" s="2">
        <f>VLOOKUP(E106,Products!A:F,5,FALSE)</f>
        <v>973.21</v>
      </c>
      <c r="L106" s="2">
        <v>2</v>
      </c>
      <c r="M106" s="2">
        <v>0.1</v>
      </c>
      <c r="N106" s="2">
        <f t="shared" si="3"/>
        <v>1946.42</v>
      </c>
      <c r="O106" s="2">
        <f t="shared" si="4"/>
        <v>1751.778</v>
      </c>
      <c r="P106" s="2" t="s">
        <v>370</v>
      </c>
      <c r="Q106" s="2" t="s">
        <v>30</v>
      </c>
      <c r="R106" t="str">
        <f t="shared" si="5"/>
        <v/>
      </c>
    </row>
    <row r="107" spans="1:18" x14ac:dyDescent="0.3">
      <c r="A107" s="2" t="s">
        <v>371</v>
      </c>
      <c r="B107" s="5">
        <v>45438</v>
      </c>
      <c r="C107" s="2" t="s">
        <v>273</v>
      </c>
      <c r="D107" s="2" t="s">
        <v>1129</v>
      </c>
      <c r="E107" s="2" t="s">
        <v>116</v>
      </c>
      <c r="F107" s="2" t="str">
        <f>VLOOKUP(Orders!E107,Products!A:F,2,FALSE)</f>
        <v>Formal Shirt</v>
      </c>
      <c r="G107" s="2" t="s">
        <v>45</v>
      </c>
      <c r="H107" s="2" t="str">
        <f>VLOOKUP(G107,Employees!A:E,2,FALSE)</f>
        <v>Rajesh Iyer</v>
      </c>
      <c r="I107" s="2" t="str">
        <f>VLOOKUP(E107,Products!A:F,3,FALSE)</f>
        <v>Clothing</v>
      </c>
      <c r="J107" s="2" t="s">
        <v>35</v>
      </c>
      <c r="K107" s="2">
        <f>VLOOKUP(E107,Products!A:F,5,FALSE)</f>
        <v>1156.02</v>
      </c>
      <c r="L107" s="2">
        <v>4</v>
      </c>
      <c r="M107" s="2">
        <v>0.05</v>
      </c>
      <c r="N107" s="2">
        <f t="shared" si="3"/>
        <v>4624.08</v>
      </c>
      <c r="O107" s="2">
        <f t="shared" si="4"/>
        <v>4392.8759999999993</v>
      </c>
      <c r="P107" s="2" t="s">
        <v>373</v>
      </c>
      <c r="Q107" s="2" t="s">
        <v>17</v>
      </c>
      <c r="R107" t="str">
        <f t="shared" si="5"/>
        <v/>
      </c>
    </row>
    <row r="108" spans="1:18" x14ac:dyDescent="0.3">
      <c r="A108" s="2" t="s">
        <v>374</v>
      </c>
      <c r="B108" s="5">
        <v>45301</v>
      </c>
      <c r="C108" s="2" t="s">
        <v>273</v>
      </c>
      <c r="D108" s="2" t="s">
        <v>1129</v>
      </c>
      <c r="E108" s="2" t="s">
        <v>111</v>
      </c>
      <c r="F108" s="2" t="str">
        <f>VLOOKUP(Orders!E108,Products!A:F,2,FALSE)</f>
        <v>Action Figure</v>
      </c>
      <c r="G108" s="2" t="s">
        <v>34</v>
      </c>
      <c r="H108" s="2" t="str">
        <f>VLOOKUP(G108,Employees!A:E,2,FALSE)</f>
        <v>Rohit Sinha</v>
      </c>
      <c r="I108" s="2" t="str">
        <f>VLOOKUP(E108,Products!A:F,3,FALSE)</f>
        <v>Toys</v>
      </c>
      <c r="J108" s="2" t="s">
        <v>15</v>
      </c>
      <c r="K108" s="2">
        <f>VLOOKUP(E108,Products!A:F,5,FALSE)</f>
        <v>4390.62</v>
      </c>
      <c r="L108" s="2">
        <v>8</v>
      </c>
      <c r="M108" s="2">
        <v>0</v>
      </c>
      <c r="N108" s="2">
        <f t="shared" si="3"/>
        <v>35124.959999999999</v>
      </c>
      <c r="O108" s="2">
        <f t="shared" si="4"/>
        <v>35124.959999999999</v>
      </c>
      <c r="P108" s="2" t="s">
        <v>375</v>
      </c>
      <c r="Q108" s="2" t="s">
        <v>24</v>
      </c>
      <c r="R108" t="str">
        <f t="shared" si="5"/>
        <v/>
      </c>
    </row>
    <row r="109" spans="1:18" x14ac:dyDescent="0.3">
      <c r="A109" s="2" t="s">
        <v>376</v>
      </c>
      <c r="B109" s="5">
        <v>45744</v>
      </c>
      <c r="C109" s="2" t="s">
        <v>134</v>
      </c>
      <c r="D109" s="2" t="s">
        <v>1047</v>
      </c>
      <c r="E109" s="2" t="s">
        <v>377</v>
      </c>
      <c r="F109" s="2" t="str">
        <f>VLOOKUP(Orders!E109,Products!A:F,2,FALSE)</f>
        <v>Yoga Mat</v>
      </c>
      <c r="G109" s="2" t="s">
        <v>34</v>
      </c>
      <c r="H109" s="2" t="str">
        <f>VLOOKUP(G109,Employees!A:E,2,FALSE)</f>
        <v>Rohit Sinha</v>
      </c>
      <c r="I109" s="2" t="str">
        <f>VLOOKUP(E109,Products!A:F,3,FALSE)</f>
        <v>Sports</v>
      </c>
      <c r="J109" s="2" t="s">
        <v>35</v>
      </c>
      <c r="K109" s="2">
        <f>VLOOKUP(E109,Products!A:F,5,FALSE)</f>
        <v>4703.04</v>
      </c>
      <c r="L109" s="2">
        <v>6</v>
      </c>
      <c r="M109" s="2">
        <v>0.1</v>
      </c>
      <c r="N109" s="2">
        <f t="shared" si="3"/>
        <v>28218.239999999998</v>
      </c>
      <c r="O109" s="2">
        <f t="shared" si="4"/>
        <v>25396.415999999997</v>
      </c>
      <c r="P109" s="2" t="s">
        <v>337</v>
      </c>
      <c r="Q109" s="2" t="s">
        <v>17</v>
      </c>
      <c r="R109" t="str">
        <f t="shared" si="5"/>
        <v/>
      </c>
    </row>
    <row r="110" spans="1:18" x14ac:dyDescent="0.3">
      <c r="A110" s="2" t="s">
        <v>378</v>
      </c>
      <c r="B110" s="5">
        <v>45759</v>
      </c>
      <c r="C110" s="2" t="s">
        <v>129</v>
      </c>
      <c r="D110" s="2" t="s">
        <v>1113</v>
      </c>
      <c r="E110" s="2" t="s">
        <v>153</v>
      </c>
      <c r="F110" s="2" t="str">
        <f>VLOOKUP(Orders!E110,Products!A:F,2,FALSE)</f>
        <v>Novel - Fiction</v>
      </c>
      <c r="G110" s="2" t="s">
        <v>34</v>
      </c>
      <c r="H110" s="2" t="str">
        <f>VLOOKUP(G110,Employees!A:E,2,FALSE)</f>
        <v>Rohit Sinha</v>
      </c>
      <c r="I110" s="2" t="str">
        <f>VLOOKUP(E110,Products!A:F,3,FALSE)</f>
        <v>Books</v>
      </c>
      <c r="J110" s="2" t="s">
        <v>35</v>
      </c>
      <c r="K110" s="2">
        <f>VLOOKUP(E110,Products!A:F,5,FALSE)</f>
        <v>2128.4</v>
      </c>
      <c r="L110" s="2">
        <v>5</v>
      </c>
      <c r="M110" s="2">
        <v>0</v>
      </c>
      <c r="N110" s="2">
        <f t="shared" si="3"/>
        <v>10642</v>
      </c>
      <c r="O110" s="2">
        <f t="shared" si="4"/>
        <v>10642</v>
      </c>
      <c r="P110" s="2" t="s">
        <v>380</v>
      </c>
      <c r="Q110" s="2" t="s">
        <v>24</v>
      </c>
      <c r="R110" t="str">
        <f t="shared" si="5"/>
        <v/>
      </c>
    </row>
    <row r="111" spans="1:18" x14ac:dyDescent="0.3">
      <c r="A111" s="2" t="s">
        <v>381</v>
      </c>
      <c r="B111" s="5">
        <v>45534</v>
      </c>
      <c r="C111" s="2" t="s">
        <v>137</v>
      </c>
      <c r="D111" s="2" t="s">
        <v>1114</v>
      </c>
      <c r="E111" s="2" t="s">
        <v>28</v>
      </c>
      <c r="F111" s="2" t="str">
        <f>VLOOKUP(Orders!E111,Products!A:F,2,FALSE)</f>
        <v>Blender</v>
      </c>
      <c r="G111" s="2" t="s">
        <v>45</v>
      </c>
      <c r="H111" s="2" t="str">
        <f>VLOOKUP(G111,Employees!A:E,2,FALSE)</f>
        <v>Rajesh Iyer</v>
      </c>
      <c r="I111" s="2" t="str">
        <f>VLOOKUP(E111,Products!A:F,3,FALSE)</f>
        <v>Home &amp; Kitchen</v>
      </c>
      <c r="J111" s="2" t="s">
        <v>22</v>
      </c>
      <c r="K111" s="2">
        <f>VLOOKUP(E111,Products!A:F,5,FALSE)</f>
        <v>733.33</v>
      </c>
      <c r="L111" s="2">
        <v>7</v>
      </c>
      <c r="M111" s="2">
        <v>0.1</v>
      </c>
      <c r="N111" s="2">
        <f t="shared" si="3"/>
        <v>5133.3100000000004</v>
      </c>
      <c r="O111" s="2">
        <f t="shared" si="4"/>
        <v>4619.9790000000003</v>
      </c>
      <c r="P111" s="2" t="s">
        <v>179</v>
      </c>
      <c r="Q111" s="2" t="s">
        <v>17</v>
      </c>
      <c r="R111" t="str">
        <f t="shared" si="5"/>
        <v/>
      </c>
    </row>
    <row r="112" spans="1:18" x14ac:dyDescent="0.3">
      <c r="A112" s="2" t="s">
        <v>382</v>
      </c>
      <c r="B112" s="5">
        <v>45314</v>
      </c>
      <c r="C112" s="2" t="s">
        <v>102</v>
      </c>
      <c r="D112" s="2" t="s">
        <v>1111</v>
      </c>
      <c r="E112" s="2" t="s">
        <v>240</v>
      </c>
      <c r="F112" s="2" t="str">
        <f>VLOOKUP(Orders!E112,Products!A:F,2,FALSE)</f>
        <v>Notebook Set</v>
      </c>
      <c r="G112" s="2" t="s">
        <v>21</v>
      </c>
      <c r="H112" s="2" t="str">
        <f>VLOOKUP(G112,Employees!A:E,2,FALSE)</f>
        <v>Karan Mehta</v>
      </c>
      <c r="I112" s="2" t="str">
        <f>VLOOKUP(E112,Products!A:F,3,FALSE)</f>
        <v>Books</v>
      </c>
      <c r="J112" s="2" t="s">
        <v>73</v>
      </c>
      <c r="K112" s="2">
        <f>VLOOKUP(E112,Products!A:F,5,FALSE)</f>
        <v>2036.67</v>
      </c>
      <c r="L112" s="2">
        <v>7</v>
      </c>
      <c r="M112" s="2">
        <v>0</v>
      </c>
      <c r="N112" s="2">
        <f t="shared" si="3"/>
        <v>14256.69</v>
      </c>
      <c r="O112" s="2">
        <f t="shared" si="4"/>
        <v>14256.69</v>
      </c>
      <c r="P112" s="2" t="s">
        <v>384</v>
      </c>
      <c r="Q112" s="2" t="s">
        <v>42</v>
      </c>
      <c r="R112" t="str">
        <f t="shared" si="5"/>
        <v/>
      </c>
    </row>
    <row r="113" spans="1:18" x14ac:dyDescent="0.3">
      <c r="A113" s="2" t="s">
        <v>385</v>
      </c>
      <c r="B113" s="5">
        <v>45800</v>
      </c>
      <c r="C113" s="2" t="s">
        <v>273</v>
      </c>
      <c r="D113" s="2" t="s">
        <v>1129</v>
      </c>
      <c r="E113" s="2" t="s">
        <v>77</v>
      </c>
      <c r="F113" s="2" t="str">
        <f>VLOOKUP(Orders!E113,Products!A:F,2,FALSE)</f>
        <v>USB-C Charger</v>
      </c>
      <c r="G113" s="2" t="s">
        <v>34</v>
      </c>
      <c r="H113" s="2" t="str">
        <f>VLOOKUP(G113,Employees!A:E,2,FALSE)</f>
        <v>Rohit Sinha</v>
      </c>
      <c r="I113" s="2" t="str">
        <f>VLOOKUP(E113,Products!A:F,3,FALSE)</f>
        <v>Electronics</v>
      </c>
      <c r="J113" s="2" t="s">
        <v>22</v>
      </c>
      <c r="K113" s="2">
        <f>VLOOKUP(E113,Products!A:F,5,FALSE)</f>
        <v>3550.89</v>
      </c>
      <c r="L113" s="2">
        <v>5</v>
      </c>
      <c r="M113" s="2">
        <v>0.2</v>
      </c>
      <c r="N113" s="2">
        <f t="shared" si="3"/>
        <v>17754.45</v>
      </c>
      <c r="O113" s="2">
        <f t="shared" si="4"/>
        <v>14203.560000000001</v>
      </c>
      <c r="P113" s="2" t="s">
        <v>287</v>
      </c>
      <c r="Q113" s="2" t="s">
        <v>60</v>
      </c>
      <c r="R113" t="str">
        <f t="shared" si="5"/>
        <v/>
      </c>
    </row>
    <row r="114" spans="1:18" x14ac:dyDescent="0.3">
      <c r="A114" s="2" t="s">
        <v>387</v>
      </c>
      <c r="B114" s="5">
        <v>45486</v>
      </c>
      <c r="C114" s="2" t="s">
        <v>129</v>
      </c>
      <c r="D114" s="2" t="s">
        <v>1113</v>
      </c>
      <c r="E114" s="2" t="s">
        <v>389</v>
      </c>
      <c r="F114" s="2" t="str">
        <f>VLOOKUP(Orders!E114,Products!A:F,2,FALSE)</f>
        <v>Bluetooth Speaker</v>
      </c>
      <c r="G114" s="2" t="s">
        <v>82</v>
      </c>
      <c r="H114" s="2" t="str">
        <f>VLOOKUP(G114,Employees!A:E,2,FALSE)</f>
        <v>Priya Nair</v>
      </c>
      <c r="I114" s="2" t="str">
        <f>VLOOKUP(E114,Products!A:F,3,FALSE)</f>
        <v>Electronics</v>
      </c>
      <c r="J114" s="2" t="s">
        <v>73</v>
      </c>
      <c r="K114" s="2">
        <f>VLOOKUP(E114,Products!A:F,5,FALSE)</f>
        <v>991.59</v>
      </c>
      <c r="L114" s="2">
        <v>10</v>
      </c>
      <c r="M114" s="2">
        <v>0</v>
      </c>
      <c r="N114" s="2">
        <f t="shared" si="3"/>
        <v>9915.9</v>
      </c>
      <c r="O114" s="2">
        <f t="shared" si="4"/>
        <v>9915.9</v>
      </c>
      <c r="P114" s="2" t="s">
        <v>230</v>
      </c>
      <c r="Q114" s="2" t="s">
        <v>24</v>
      </c>
      <c r="R114" t="str">
        <f t="shared" si="5"/>
        <v/>
      </c>
    </row>
    <row r="115" spans="1:18" x14ac:dyDescent="0.3">
      <c r="A115" s="2" t="s">
        <v>390</v>
      </c>
      <c r="B115" s="5">
        <v>45608</v>
      </c>
      <c r="C115" s="2" t="s">
        <v>392</v>
      </c>
      <c r="D115" s="2" t="s">
        <v>1134</v>
      </c>
      <c r="E115" s="2" t="s">
        <v>389</v>
      </c>
      <c r="F115" s="2" t="str">
        <f>VLOOKUP(Orders!E115,Products!A:F,2,FALSE)</f>
        <v>Bluetooth Speaker</v>
      </c>
      <c r="G115" s="2" t="s">
        <v>14</v>
      </c>
      <c r="H115" s="2" t="str">
        <f>VLOOKUP(G115,Employees!A:E,2,FALSE)</f>
        <v>Fatima Sheikh</v>
      </c>
      <c r="I115" s="2" t="str">
        <f>VLOOKUP(E115,Products!A:F,3,FALSE)</f>
        <v>Electronics</v>
      </c>
      <c r="J115" s="2" t="s">
        <v>22</v>
      </c>
      <c r="K115" s="2">
        <f>VLOOKUP(E115,Products!A:F,5,FALSE)</f>
        <v>991.59</v>
      </c>
      <c r="L115" s="2">
        <v>8</v>
      </c>
      <c r="M115" s="2">
        <v>0</v>
      </c>
      <c r="N115" s="2">
        <f t="shared" si="3"/>
        <v>7932.72</v>
      </c>
      <c r="O115" s="2">
        <f t="shared" si="4"/>
        <v>7932.72</v>
      </c>
      <c r="P115" s="2" t="s">
        <v>393</v>
      </c>
      <c r="Q115" s="2" t="s">
        <v>60</v>
      </c>
      <c r="R115" t="str">
        <f t="shared" si="5"/>
        <v/>
      </c>
    </row>
    <row r="116" spans="1:18" x14ac:dyDescent="0.3">
      <c r="A116" s="2" t="s">
        <v>394</v>
      </c>
      <c r="B116" s="5">
        <v>45384</v>
      </c>
      <c r="C116" s="2" t="s">
        <v>141</v>
      </c>
      <c r="D116" s="2" t="s">
        <v>1115</v>
      </c>
      <c r="E116" s="2" t="s">
        <v>196</v>
      </c>
      <c r="F116" s="2" t="str">
        <f>VLOOKUP(Orders!E116,Products!A:F,2,FALSE)</f>
        <v>Laptop Stand</v>
      </c>
      <c r="G116" s="2" t="s">
        <v>82</v>
      </c>
      <c r="H116" s="2" t="str">
        <f>VLOOKUP(G116,Employees!A:E,2,FALSE)</f>
        <v>Priya Nair</v>
      </c>
      <c r="I116" s="2" t="str">
        <f>VLOOKUP(E116,Products!A:F,3,FALSE)</f>
        <v>Electronics</v>
      </c>
      <c r="J116" s="2" t="s">
        <v>15</v>
      </c>
      <c r="K116" s="2">
        <f>VLOOKUP(E116,Products!A:F,5,FALSE)</f>
        <v>2184.5100000000002</v>
      </c>
      <c r="L116" s="2">
        <v>5</v>
      </c>
      <c r="M116" s="2">
        <v>0</v>
      </c>
      <c r="N116" s="2">
        <f t="shared" si="3"/>
        <v>10922.550000000001</v>
      </c>
      <c r="O116" s="2">
        <f t="shared" si="4"/>
        <v>10922.550000000001</v>
      </c>
      <c r="P116" s="2" t="s">
        <v>396</v>
      </c>
      <c r="Q116" s="2" t="s">
        <v>60</v>
      </c>
      <c r="R116" t="str">
        <f t="shared" si="5"/>
        <v/>
      </c>
    </row>
    <row r="117" spans="1:18" x14ac:dyDescent="0.3">
      <c r="A117" s="2" t="s">
        <v>397</v>
      </c>
      <c r="B117" s="5">
        <v>45427</v>
      </c>
      <c r="C117" s="2" t="s">
        <v>141</v>
      </c>
      <c r="D117" s="2" t="s">
        <v>1115</v>
      </c>
      <c r="E117" s="2" t="s">
        <v>94</v>
      </c>
      <c r="F117" s="2" t="str">
        <f>VLOOKUP(Orders!E117,Products!A:F,2,FALSE)</f>
        <v>Honey Jar</v>
      </c>
      <c r="G117" s="2" t="s">
        <v>45</v>
      </c>
      <c r="H117" s="2" t="str">
        <f>VLOOKUP(G117,Employees!A:E,2,FALSE)</f>
        <v>Rajesh Iyer</v>
      </c>
      <c r="I117" s="2" t="str">
        <f>VLOOKUP(E117,Products!A:F,3,FALSE)</f>
        <v>Grocery</v>
      </c>
      <c r="J117" s="2" t="s">
        <v>22</v>
      </c>
      <c r="K117" s="2">
        <f>VLOOKUP(E117,Products!A:F,5,FALSE)</f>
        <v>3610.44</v>
      </c>
      <c r="L117" s="2">
        <v>9</v>
      </c>
      <c r="M117" s="2">
        <v>0</v>
      </c>
      <c r="N117" s="2">
        <f t="shared" si="3"/>
        <v>32493.96</v>
      </c>
      <c r="O117" s="2">
        <f t="shared" si="4"/>
        <v>32493.96</v>
      </c>
      <c r="P117" s="2" t="s">
        <v>398</v>
      </c>
      <c r="Q117" s="2" t="s">
        <v>60</v>
      </c>
      <c r="R117" t="str">
        <f t="shared" si="5"/>
        <v/>
      </c>
    </row>
    <row r="118" spans="1:18" x14ac:dyDescent="0.3">
      <c r="A118" s="2" t="s">
        <v>399</v>
      </c>
      <c r="B118" s="5">
        <v>45555</v>
      </c>
      <c r="C118" s="2" t="s">
        <v>141</v>
      </c>
      <c r="D118" s="2" t="s">
        <v>1115</v>
      </c>
      <c r="E118" s="2" t="s">
        <v>400</v>
      </c>
      <c r="F118" s="2" t="str">
        <f>VLOOKUP(Orders!E118,Products!A:F,2,FALSE)</f>
        <v>Building Blocks</v>
      </c>
      <c r="G118" s="2" t="s">
        <v>14</v>
      </c>
      <c r="H118" s="2" t="str">
        <f>VLOOKUP(G118,Employees!A:E,2,FALSE)</f>
        <v>Fatima Sheikh</v>
      </c>
      <c r="I118" s="2" t="str">
        <f>VLOOKUP(E118,Products!A:F,3,FALSE)</f>
        <v>Toys</v>
      </c>
      <c r="J118" s="2" t="s">
        <v>22</v>
      </c>
      <c r="K118" s="2">
        <f>VLOOKUP(E118,Products!A:F,5,FALSE)</f>
        <v>588.75</v>
      </c>
      <c r="L118" s="2">
        <v>8</v>
      </c>
      <c r="M118" s="2">
        <v>0.2</v>
      </c>
      <c r="N118" s="2">
        <f t="shared" si="3"/>
        <v>4710</v>
      </c>
      <c r="O118" s="2">
        <f t="shared" si="4"/>
        <v>3768</v>
      </c>
      <c r="P118" s="2" t="s">
        <v>401</v>
      </c>
      <c r="Q118" s="2" t="s">
        <v>24</v>
      </c>
      <c r="R118" t="str">
        <f t="shared" si="5"/>
        <v/>
      </c>
    </row>
    <row r="119" spans="1:18" x14ac:dyDescent="0.3">
      <c r="A119" s="2" t="s">
        <v>402</v>
      </c>
      <c r="B119" s="5">
        <v>45771</v>
      </c>
      <c r="C119" s="2" t="s">
        <v>403</v>
      </c>
      <c r="D119" s="2" t="s">
        <v>1135</v>
      </c>
      <c r="E119" s="2" t="s">
        <v>44</v>
      </c>
      <c r="F119" s="2" t="str">
        <f>VLOOKUP(Orders!E119,Products!A:F,2,FALSE)</f>
        <v>Dumbbell Set</v>
      </c>
      <c r="G119" s="2" t="s">
        <v>34</v>
      </c>
      <c r="H119" s="2" t="str">
        <f>VLOOKUP(G119,Employees!A:E,2,FALSE)</f>
        <v>Rohit Sinha</v>
      </c>
      <c r="I119" s="2" t="str">
        <f>VLOOKUP(E119,Products!A:F,3,FALSE)</f>
        <v>Sports</v>
      </c>
      <c r="J119" s="2" t="s">
        <v>35</v>
      </c>
      <c r="K119" s="2">
        <f>VLOOKUP(E119,Products!A:F,5,FALSE)</f>
        <v>973.21</v>
      </c>
      <c r="L119" s="2">
        <v>2</v>
      </c>
      <c r="M119" s="2">
        <v>0</v>
      </c>
      <c r="N119" s="2">
        <f t="shared" si="3"/>
        <v>1946.42</v>
      </c>
      <c r="O119" s="2">
        <f t="shared" si="4"/>
        <v>1946.42</v>
      </c>
      <c r="P119" s="2" t="s">
        <v>404</v>
      </c>
      <c r="Q119" s="2" t="s">
        <v>42</v>
      </c>
      <c r="R119" t="str">
        <f t="shared" si="5"/>
        <v/>
      </c>
    </row>
    <row r="120" spans="1:18" x14ac:dyDescent="0.3">
      <c r="A120" s="2" t="s">
        <v>405</v>
      </c>
      <c r="B120" s="5">
        <v>45666</v>
      </c>
      <c r="C120" s="2" t="s">
        <v>311</v>
      </c>
      <c r="D120" s="2" t="s">
        <v>1132</v>
      </c>
      <c r="E120" s="2" t="s">
        <v>40</v>
      </c>
      <c r="F120" s="2" t="str">
        <f>VLOOKUP(Orders!E120,Products!A:F,2,FALSE)</f>
        <v>Board Game</v>
      </c>
      <c r="G120" s="2" t="s">
        <v>21</v>
      </c>
      <c r="H120" s="2" t="str">
        <f>VLOOKUP(G120,Employees!A:E,2,FALSE)</f>
        <v>Karan Mehta</v>
      </c>
      <c r="I120" s="2" t="str">
        <f>VLOOKUP(E120,Products!A:F,3,FALSE)</f>
        <v>Toys</v>
      </c>
      <c r="J120" s="2" t="s">
        <v>73</v>
      </c>
      <c r="K120" s="2">
        <f>VLOOKUP(E120,Products!A:F,5,FALSE)</f>
        <v>136.91</v>
      </c>
      <c r="L120" s="2">
        <v>2</v>
      </c>
      <c r="M120" s="2">
        <v>0.2</v>
      </c>
      <c r="N120" s="2">
        <f t="shared" si="3"/>
        <v>273.82</v>
      </c>
      <c r="O120" s="2">
        <f t="shared" si="4"/>
        <v>219.05600000000001</v>
      </c>
      <c r="P120" s="2" t="s">
        <v>407</v>
      </c>
      <c r="Q120" s="2" t="s">
        <v>17</v>
      </c>
      <c r="R120" t="str">
        <f t="shared" si="5"/>
        <v/>
      </c>
    </row>
    <row r="121" spans="1:18" x14ac:dyDescent="0.3">
      <c r="A121" s="2" t="s">
        <v>408</v>
      </c>
      <c r="B121" s="5">
        <v>45418</v>
      </c>
      <c r="C121" s="2" t="s">
        <v>80</v>
      </c>
      <c r="D121" s="2" t="s">
        <v>1109</v>
      </c>
      <c r="E121" s="2" t="s">
        <v>304</v>
      </c>
      <c r="F121" s="2" t="str">
        <f>VLOOKUP(Orders!E121,Products!A:F,2,FALSE)</f>
        <v>Denim Jeans</v>
      </c>
      <c r="G121" s="2" t="s">
        <v>34</v>
      </c>
      <c r="H121" s="2" t="str">
        <f>VLOOKUP(G121,Employees!A:E,2,FALSE)</f>
        <v>Rohit Sinha</v>
      </c>
      <c r="I121" s="2" t="str">
        <f>VLOOKUP(E121,Products!A:F,3,FALSE)</f>
        <v>Clothing</v>
      </c>
      <c r="J121" s="2" t="s">
        <v>35</v>
      </c>
      <c r="K121" s="2">
        <f>VLOOKUP(E121,Products!A:F,5,FALSE)</f>
        <v>1498.91</v>
      </c>
      <c r="L121" s="2">
        <v>8</v>
      </c>
      <c r="M121" s="2">
        <v>0</v>
      </c>
      <c r="N121" s="2">
        <f t="shared" si="3"/>
        <v>11991.28</v>
      </c>
      <c r="O121" s="2">
        <f t="shared" si="4"/>
        <v>11991.28</v>
      </c>
      <c r="P121" s="2" t="s">
        <v>410</v>
      </c>
      <c r="Q121" s="2" t="s">
        <v>17</v>
      </c>
      <c r="R121" t="str">
        <f t="shared" si="5"/>
        <v/>
      </c>
    </row>
    <row r="122" spans="1:18" x14ac:dyDescent="0.3">
      <c r="A122" s="2" t="s">
        <v>411</v>
      </c>
      <c r="B122" s="5">
        <v>45402</v>
      </c>
      <c r="C122" s="2" t="s">
        <v>331</v>
      </c>
      <c r="D122" s="2" t="s">
        <v>1006</v>
      </c>
      <c r="E122" s="2" t="s">
        <v>226</v>
      </c>
      <c r="F122" s="2" t="str">
        <f>VLOOKUP(Orders!E122,Products!A:F,2,FALSE)</f>
        <v>Moisturizer</v>
      </c>
      <c r="G122" s="2" t="s">
        <v>34</v>
      </c>
      <c r="H122" s="2" t="str">
        <f>VLOOKUP(G122,Employees!A:E,2,FALSE)</f>
        <v>Rohit Sinha</v>
      </c>
      <c r="I122" s="2" t="str">
        <f>VLOOKUP(E122,Products!A:F,3,FALSE)</f>
        <v>Beauty</v>
      </c>
      <c r="J122" s="2" t="s">
        <v>22</v>
      </c>
      <c r="K122" s="2">
        <f>VLOOKUP(E122,Products!A:F,5,FALSE)</f>
        <v>2359.5</v>
      </c>
      <c r="L122" s="2">
        <v>4</v>
      </c>
      <c r="M122" s="2">
        <v>0.05</v>
      </c>
      <c r="N122" s="2">
        <f t="shared" si="3"/>
        <v>9438</v>
      </c>
      <c r="O122" s="2">
        <f t="shared" si="4"/>
        <v>8966.1</v>
      </c>
      <c r="P122" s="2" t="s">
        <v>413</v>
      </c>
      <c r="Q122" s="2" t="s">
        <v>42</v>
      </c>
      <c r="R122" t="str">
        <f t="shared" si="5"/>
        <v/>
      </c>
    </row>
    <row r="123" spans="1:18" x14ac:dyDescent="0.3">
      <c r="A123" s="2" t="s">
        <v>414</v>
      </c>
      <c r="B123" s="5">
        <v>45518</v>
      </c>
      <c r="C123" s="2" t="s">
        <v>273</v>
      </c>
      <c r="D123" s="2" t="s">
        <v>1129</v>
      </c>
      <c r="E123" s="2" t="s">
        <v>153</v>
      </c>
      <c r="F123" s="2" t="str">
        <f>VLOOKUP(Orders!E123,Products!A:F,2,FALSE)</f>
        <v>Novel - Fiction</v>
      </c>
      <c r="G123" s="2" t="s">
        <v>82</v>
      </c>
      <c r="H123" s="2" t="str">
        <f>VLOOKUP(G123,Employees!A:E,2,FALSE)</f>
        <v>Priya Nair</v>
      </c>
      <c r="I123" s="2" t="str">
        <f>VLOOKUP(E123,Products!A:F,3,FALSE)</f>
        <v>Books</v>
      </c>
      <c r="J123" s="2" t="s">
        <v>22</v>
      </c>
      <c r="K123" s="2">
        <f>VLOOKUP(E123,Products!A:F,5,FALSE)</f>
        <v>2128.4</v>
      </c>
      <c r="L123" s="2">
        <v>2</v>
      </c>
      <c r="M123" s="2">
        <v>0.15</v>
      </c>
      <c r="N123" s="2">
        <f t="shared" si="3"/>
        <v>4256.8</v>
      </c>
      <c r="O123" s="2">
        <f t="shared" si="4"/>
        <v>3618.28</v>
      </c>
      <c r="P123" s="2" t="s">
        <v>415</v>
      </c>
      <c r="Q123" s="2" t="s">
        <v>30</v>
      </c>
      <c r="R123" t="str">
        <f t="shared" si="5"/>
        <v/>
      </c>
    </row>
    <row r="124" spans="1:18" x14ac:dyDescent="0.3">
      <c r="A124" s="2" t="s">
        <v>416</v>
      </c>
      <c r="B124" s="5">
        <v>45411</v>
      </c>
      <c r="C124" s="2" t="s">
        <v>98</v>
      </c>
      <c r="D124" s="2" t="s">
        <v>1110</v>
      </c>
      <c r="E124" s="2" t="s">
        <v>254</v>
      </c>
      <c r="F124" s="2" t="str">
        <f>VLOOKUP(Orders!E124,Products!A:F,2,FALSE)</f>
        <v>Self-Help Book</v>
      </c>
      <c r="G124" s="2" t="s">
        <v>82</v>
      </c>
      <c r="H124" s="2" t="str">
        <f>VLOOKUP(G124,Employees!A:E,2,FALSE)</f>
        <v>Priya Nair</v>
      </c>
      <c r="I124" s="2" t="str">
        <f>VLOOKUP(E124,Products!A:F,3,FALSE)</f>
        <v>Books</v>
      </c>
      <c r="J124" s="2" t="s">
        <v>22</v>
      </c>
      <c r="K124" s="2">
        <f>VLOOKUP(E124,Products!A:F,5,FALSE)</f>
        <v>605.26</v>
      </c>
      <c r="L124" s="2">
        <v>3</v>
      </c>
      <c r="M124" s="2">
        <v>0</v>
      </c>
      <c r="N124" s="2">
        <f t="shared" si="3"/>
        <v>1815.78</v>
      </c>
      <c r="O124" s="2">
        <f t="shared" si="4"/>
        <v>1815.78</v>
      </c>
      <c r="P124" s="2" t="s">
        <v>280</v>
      </c>
      <c r="Q124" s="2" t="s">
        <v>30</v>
      </c>
      <c r="R124" t="str">
        <f t="shared" si="5"/>
        <v/>
      </c>
    </row>
    <row r="125" spans="1:18" x14ac:dyDescent="0.3">
      <c r="A125" s="2" t="s">
        <v>417</v>
      </c>
      <c r="B125" s="5">
        <v>45410</v>
      </c>
      <c r="C125" s="2" t="s">
        <v>199</v>
      </c>
      <c r="D125" s="2" t="s">
        <v>1123</v>
      </c>
      <c r="E125" s="2" t="s">
        <v>67</v>
      </c>
      <c r="F125" s="2" t="str">
        <f>VLOOKUP(Orders!E125,Products!A:F,2,FALSE)</f>
        <v>Remote Car</v>
      </c>
      <c r="G125" s="2" t="s">
        <v>45</v>
      </c>
      <c r="H125" s="2" t="str">
        <f>VLOOKUP(G125,Employees!A:E,2,FALSE)</f>
        <v>Rajesh Iyer</v>
      </c>
      <c r="I125" s="2" t="str">
        <f>VLOOKUP(E125,Products!A:F,3,FALSE)</f>
        <v>Toys</v>
      </c>
      <c r="J125" s="2" t="s">
        <v>15</v>
      </c>
      <c r="K125" s="2">
        <f>VLOOKUP(E125,Products!A:F,5,FALSE)</f>
        <v>3205.14</v>
      </c>
      <c r="L125" s="2">
        <v>2</v>
      </c>
      <c r="M125" s="2">
        <v>0</v>
      </c>
      <c r="N125" s="2">
        <f t="shared" si="3"/>
        <v>6410.28</v>
      </c>
      <c r="O125" s="2">
        <f t="shared" si="4"/>
        <v>6410.28</v>
      </c>
      <c r="P125" s="2" t="s">
        <v>284</v>
      </c>
      <c r="Q125" s="2" t="s">
        <v>30</v>
      </c>
      <c r="R125" t="str">
        <f t="shared" si="5"/>
        <v/>
      </c>
    </row>
    <row r="126" spans="1:18" x14ac:dyDescent="0.3">
      <c r="A126" s="2" t="s">
        <v>418</v>
      </c>
      <c r="B126" s="5">
        <v>45756</v>
      </c>
      <c r="C126" s="2" t="s">
        <v>66</v>
      </c>
      <c r="D126" s="2" t="s">
        <v>1108</v>
      </c>
      <c r="E126" s="2" t="s">
        <v>300</v>
      </c>
      <c r="F126" s="2" t="str">
        <f>VLOOKUP(Orders!E126,Products!A:F,2,FALSE)</f>
        <v>Cushion Cover</v>
      </c>
      <c r="G126" s="2" t="s">
        <v>45</v>
      </c>
      <c r="H126" s="2" t="str">
        <f>VLOOKUP(G126,Employees!A:E,2,FALSE)</f>
        <v>Rajesh Iyer</v>
      </c>
      <c r="I126" s="2" t="str">
        <f>VLOOKUP(E126,Products!A:F,3,FALSE)</f>
        <v>Home &amp; Kitchen</v>
      </c>
      <c r="J126" s="2" t="s">
        <v>35</v>
      </c>
      <c r="K126" s="2">
        <f>VLOOKUP(E126,Products!A:F,5,FALSE)</f>
        <v>4174.32</v>
      </c>
      <c r="L126" s="2">
        <v>6</v>
      </c>
      <c r="M126" s="2">
        <v>0.15</v>
      </c>
      <c r="N126" s="2">
        <f t="shared" si="3"/>
        <v>25045.919999999998</v>
      </c>
      <c r="O126" s="2">
        <f t="shared" si="4"/>
        <v>21289.031999999999</v>
      </c>
      <c r="P126" s="2" t="s">
        <v>313</v>
      </c>
      <c r="Q126" s="2" t="s">
        <v>42</v>
      </c>
      <c r="R126" t="str">
        <f t="shared" si="5"/>
        <v/>
      </c>
    </row>
    <row r="127" spans="1:18" x14ac:dyDescent="0.3">
      <c r="A127" s="2" t="s">
        <v>419</v>
      </c>
      <c r="B127" s="5">
        <v>45450</v>
      </c>
      <c r="C127" s="2" t="s">
        <v>218</v>
      </c>
      <c r="D127" s="2" t="s">
        <v>1003</v>
      </c>
      <c r="E127" s="2" t="s">
        <v>28</v>
      </c>
      <c r="F127" s="2" t="str">
        <f>VLOOKUP(Orders!E127,Products!A:F,2,FALSE)</f>
        <v>Blender</v>
      </c>
      <c r="G127" s="2" t="s">
        <v>34</v>
      </c>
      <c r="H127" s="2" t="str">
        <f>VLOOKUP(G127,Employees!A:E,2,FALSE)</f>
        <v>Rohit Sinha</v>
      </c>
      <c r="I127" s="2" t="str">
        <f>VLOOKUP(E127,Products!A:F,3,FALSE)</f>
        <v>Home &amp; Kitchen</v>
      </c>
      <c r="J127" s="2" t="s">
        <v>35</v>
      </c>
      <c r="K127" s="2">
        <f>VLOOKUP(E127,Products!A:F,5,FALSE)</f>
        <v>733.33</v>
      </c>
      <c r="L127" s="2">
        <v>7</v>
      </c>
      <c r="M127" s="2">
        <v>0.15</v>
      </c>
      <c r="N127" s="2">
        <f t="shared" si="3"/>
        <v>5133.3100000000004</v>
      </c>
      <c r="O127" s="2">
        <f t="shared" si="4"/>
        <v>4363.3135000000002</v>
      </c>
      <c r="P127" s="2" t="s">
        <v>266</v>
      </c>
      <c r="Q127" s="2" t="s">
        <v>42</v>
      </c>
      <c r="R127" t="str">
        <f t="shared" si="5"/>
        <v/>
      </c>
    </row>
    <row r="128" spans="1:18" x14ac:dyDescent="0.3">
      <c r="A128" s="2" t="s">
        <v>1153</v>
      </c>
      <c r="B128" s="5">
        <v>45450</v>
      </c>
      <c r="C128" s="2" t="s">
        <v>218</v>
      </c>
      <c r="D128" s="2" t="s">
        <v>1003</v>
      </c>
      <c r="E128" s="2" t="s">
        <v>28</v>
      </c>
      <c r="F128" s="2" t="str">
        <f>VLOOKUP(Orders!E403,Products!A:F,2,FALSE)</f>
        <v>Formal Shirt</v>
      </c>
      <c r="G128" s="2" t="s">
        <v>34</v>
      </c>
      <c r="H128" s="2" t="str">
        <f>VLOOKUP(G128,Employees!A:E,2,FALSE)</f>
        <v>Rohit Sinha</v>
      </c>
      <c r="I128" s="2" t="str">
        <f>VLOOKUP(E128,Products!A:F,3,FALSE)</f>
        <v>Home &amp; Kitchen</v>
      </c>
      <c r="J128" s="2" t="s">
        <v>35</v>
      </c>
      <c r="K128" s="2">
        <f>VLOOKUP(E128,Products!A:F,5,FALSE)</f>
        <v>733.33</v>
      </c>
      <c r="L128" s="2">
        <v>7</v>
      </c>
      <c r="M128" s="2">
        <v>0.15</v>
      </c>
      <c r="N128" s="2">
        <f t="shared" si="3"/>
        <v>5133.3100000000004</v>
      </c>
      <c r="O128" s="2">
        <f t="shared" si="4"/>
        <v>4363.3135000000002</v>
      </c>
      <c r="P128" s="2" t="s">
        <v>266</v>
      </c>
      <c r="Q128" s="2" t="s">
        <v>42</v>
      </c>
      <c r="R128" t="str">
        <f t="shared" si="5"/>
        <v/>
      </c>
    </row>
    <row r="129" spans="1:18" x14ac:dyDescent="0.3">
      <c r="A129" s="2" t="s">
        <v>420</v>
      </c>
      <c r="B129" s="5">
        <v>45709</v>
      </c>
      <c r="C129" s="2" t="s">
        <v>356</v>
      </c>
      <c r="D129" s="2" t="s">
        <v>1133</v>
      </c>
      <c r="E129" s="2" t="s">
        <v>206</v>
      </c>
      <c r="F129" s="2" t="str">
        <f>VLOOKUP(Orders!E128,Products!A:F,2,FALSE)</f>
        <v>Blender</v>
      </c>
      <c r="G129" s="2" t="s">
        <v>34</v>
      </c>
      <c r="H129" s="2" t="str">
        <f>VLOOKUP(G129,Employees!A:E,2,FALSE)</f>
        <v>Rohit Sinha</v>
      </c>
      <c r="I129" s="2" t="str">
        <f>VLOOKUP(E129,Products!A:F,3,FALSE)</f>
        <v>Electronics</v>
      </c>
      <c r="J129" s="2" t="s">
        <v>15</v>
      </c>
      <c r="K129" s="2">
        <f>VLOOKUP(E129,Products!A:F,5,FALSE)</f>
        <v>2779.58</v>
      </c>
      <c r="L129" s="2">
        <v>5</v>
      </c>
      <c r="M129" s="2">
        <v>0</v>
      </c>
      <c r="N129" s="2">
        <f t="shared" si="3"/>
        <v>13897.9</v>
      </c>
      <c r="O129" s="2">
        <f t="shared" si="4"/>
        <v>13897.9</v>
      </c>
      <c r="P129" s="2" t="s">
        <v>421</v>
      </c>
      <c r="Q129" s="2" t="s">
        <v>30</v>
      </c>
      <c r="R129" t="str">
        <f t="shared" si="5"/>
        <v/>
      </c>
    </row>
    <row r="130" spans="1:18" x14ac:dyDescent="0.3">
      <c r="A130" s="2" t="s">
        <v>422</v>
      </c>
      <c r="B130" s="5">
        <v>45747</v>
      </c>
      <c r="C130" s="2" t="s">
        <v>291</v>
      </c>
      <c r="D130" s="2" t="s">
        <v>1131</v>
      </c>
      <c r="E130" s="2" t="s">
        <v>226</v>
      </c>
      <c r="F130" s="2" t="str">
        <f>VLOOKUP(Orders!E129,Products!A:F,2,FALSE)</f>
        <v>Power Bank</v>
      </c>
      <c r="G130" s="2" t="s">
        <v>34</v>
      </c>
      <c r="H130" s="2" t="str">
        <f>VLOOKUP(G130,Employees!A:E,2,FALSE)</f>
        <v>Rohit Sinha</v>
      </c>
      <c r="I130" s="2" t="str">
        <f>VLOOKUP(E130,Products!A:F,3,FALSE)</f>
        <v>Beauty</v>
      </c>
      <c r="J130" s="2" t="s">
        <v>73</v>
      </c>
      <c r="K130" s="2">
        <f>VLOOKUP(E130,Products!A:F,5,FALSE)</f>
        <v>2359.5</v>
      </c>
      <c r="L130" s="2">
        <v>4</v>
      </c>
      <c r="M130" s="2">
        <v>0.2</v>
      </c>
      <c r="N130" s="2">
        <f t="shared" ref="N130:N193" si="6">K130*L130</f>
        <v>9438</v>
      </c>
      <c r="O130" s="2">
        <f t="shared" ref="O130:O193" si="7">N130*(1-M130)</f>
        <v>7550.4000000000005</v>
      </c>
      <c r="P130" s="2" t="s">
        <v>423</v>
      </c>
      <c r="Q130" s="2" t="s">
        <v>17</v>
      </c>
      <c r="R130" t="str">
        <f t="shared" ref="R130:R193" si="8">IF(L130=0,"Missing Quantity","")</f>
        <v/>
      </c>
    </row>
    <row r="131" spans="1:18" x14ac:dyDescent="0.3">
      <c r="A131" s="2" t="s">
        <v>424</v>
      </c>
      <c r="B131" s="5">
        <v>45659</v>
      </c>
      <c r="C131" s="2" t="s">
        <v>105</v>
      </c>
      <c r="D131" s="2" t="s">
        <v>941</v>
      </c>
      <c r="E131" s="2" t="s">
        <v>72</v>
      </c>
      <c r="F131" s="2" t="str">
        <f>VLOOKUP(Orders!E130,Products!A:F,2,FALSE)</f>
        <v>Moisturizer</v>
      </c>
      <c r="G131" s="2" t="s">
        <v>21</v>
      </c>
      <c r="H131" s="2" t="str">
        <f>VLOOKUP(G131,Employees!A:E,2,FALSE)</f>
        <v>Karan Mehta</v>
      </c>
      <c r="I131" s="2" t="str">
        <f>VLOOKUP(E131,Products!A:F,3,FALSE)</f>
        <v>Books</v>
      </c>
      <c r="J131" s="2" t="s">
        <v>15</v>
      </c>
      <c r="K131" s="2">
        <f>VLOOKUP(E131,Products!A:F,5,FALSE)</f>
        <v>2316.1999999999998</v>
      </c>
      <c r="L131" s="2">
        <v>1</v>
      </c>
      <c r="M131" s="2">
        <v>0.05</v>
      </c>
      <c r="N131" s="2">
        <f t="shared" si="6"/>
        <v>2316.1999999999998</v>
      </c>
      <c r="O131" s="2">
        <f t="shared" si="7"/>
        <v>2200.39</v>
      </c>
      <c r="P131" s="2" t="s">
        <v>425</v>
      </c>
      <c r="Q131" s="2" t="s">
        <v>24</v>
      </c>
      <c r="R131" t="str">
        <f t="shared" si="8"/>
        <v/>
      </c>
    </row>
    <row r="132" spans="1:18" x14ac:dyDescent="0.3">
      <c r="A132" s="2" t="s">
        <v>426</v>
      </c>
      <c r="B132" s="5">
        <v>45757</v>
      </c>
      <c r="C132" s="2" t="s">
        <v>124</v>
      </c>
      <c r="D132" s="2" t="s">
        <v>1112</v>
      </c>
      <c r="E132" s="2" t="s">
        <v>72</v>
      </c>
      <c r="F132" s="2" t="str">
        <f>VLOOKUP(Orders!E131,Products!A:F,2,FALSE)</f>
        <v>Cookbook</v>
      </c>
      <c r="G132" s="2" t="s">
        <v>34</v>
      </c>
      <c r="H132" s="2" t="str">
        <f>VLOOKUP(G132,Employees!A:E,2,FALSE)</f>
        <v>Rohit Sinha</v>
      </c>
      <c r="I132" s="2" t="str">
        <f>VLOOKUP(E132,Products!A:F,3,FALSE)</f>
        <v>Books</v>
      </c>
      <c r="J132" s="2" t="s">
        <v>73</v>
      </c>
      <c r="K132" s="2">
        <f>VLOOKUP(E132,Products!A:F,5,FALSE)</f>
        <v>2316.1999999999998</v>
      </c>
      <c r="L132" s="2">
        <v>2</v>
      </c>
      <c r="M132" s="2">
        <v>0.15</v>
      </c>
      <c r="N132" s="2">
        <f t="shared" si="6"/>
        <v>4632.3999999999996</v>
      </c>
      <c r="O132" s="2">
        <f t="shared" si="7"/>
        <v>3937.5399999999995</v>
      </c>
      <c r="P132" s="2" t="s">
        <v>428</v>
      </c>
      <c r="Q132" s="2" t="s">
        <v>24</v>
      </c>
      <c r="R132" t="str">
        <f t="shared" si="8"/>
        <v/>
      </c>
    </row>
    <row r="133" spans="1:18" x14ac:dyDescent="0.3">
      <c r="A133" s="2" t="s">
        <v>429</v>
      </c>
      <c r="B133" s="5">
        <v>45633</v>
      </c>
      <c r="C133" s="2" t="s">
        <v>129</v>
      </c>
      <c r="D133" s="2" t="s">
        <v>1113</v>
      </c>
      <c r="E133" s="2" t="s">
        <v>249</v>
      </c>
      <c r="F133" s="2" t="str">
        <f>VLOOKUP(Orders!E132,Products!A:F,2,FALSE)</f>
        <v>Cookbook</v>
      </c>
      <c r="G133" s="2" t="s">
        <v>34</v>
      </c>
      <c r="H133" s="2" t="str">
        <f>VLOOKUP(G133,Employees!A:E,2,FALSE)</f>
        <v>Rohit Sinha</v>
      </c>
      <c r="I133" s="2" t="str">
        <f>VLOOKUP(E133,Products!A:F,3,FALSE)</f>
        <v>Clothing</v>
      </c>
      <c r="J133" s="2" t="s">
        <v>15</v>
      </c>
      <c r="K133" s="2">
        <f>VLOOKUP(E133,Products!A:F,5,FALSE)</f>
        <v>1309.58</v>
      </c>
      <c r="L133" s="2">
        <v>4</v>
      </c>
      <c r="M133" s="2">
        <v>0</v>
      </c>
      <c r="N133" s="2">
        <f t="shared" si="6"/>
        <v>5238.32</v>
      </c>
      <c r="O133" s="2">
        <f t="shared" si="7"/>
        <v>5238.32</v>
      </c>
      <c r="P133" s="2" t="s">
        <v>430</v>
      </c>
      <c r="Q133" s="2" t="s">
        <v>24</v>
      </c>
      <c r="R133" t="str">
        <f t="shared" si="8"/>
        <v/>
      </c>
    </row>
    <row r="134" spans="1:18" x14ac:dyDescent="0.3">
      <c r="A134" s="2" t="s">
        <v>431</v>
      </c>
      <c r="B134" s="5">
        <v>45504</v>
      </c>
      <c r="C134" s="2" t="s">
        <v>53</v>
      </c>
      <c r="D134" s="2" t="s">
        <v>1047</v>
      </c>
      <c r="E134" s="2" t="s">
        <v>206</v>
      </c>
      <c r="F134" s="2" t="str">
        <f>VLOOKUP(Orders!E133,Products!A:F,2,FALSE)</f>
        <v>Sports Jacket</v>
      </c>
      <c r="G134" s="2" t="s">
        <v>21</v>
      </c>
      <c r="H134" s="2" t="str">
        <f>VLOOKUP(G134,Employees!A:E,2,FALSE)</f>
        <v>Karan Mehta</v>
      </c>
      <c r="I134" s="2" t="str">
        <f>VLOOKUP(E134,Products!A:F,3,FALSE)</f>
        <v>Electronics</v>
      </c>
      <c r="J134" s="2" t="s">
        <v>22</v>
      </c>
      <c r="K134" s="2">
        <f>VLOOKUP(E134,Products!A:F,5,FALSE)</f>
        <v>2779.58</v>
      </c>
      <c r="L134" s="2">
        <v>10</v>
      </c>
      <c r="M134" s="2">
        <v>0</v>
      </c>
      <c r="N134" s="2">
        <f t="shared" si="6"/>
        <v>27795.8</v>
      </c>
      <c r="O134" s="2">
        <f t="shared" si="7"/>
        <v>27795.8</v>
      </c>
      <c r="P134" s="2" t="s">
        <v>433</v>
      </c>
      <c r="Q134" s="2" t="s">
        <v>60</v>
      </c>
      <c r="R134" t="str">
        <f t="shared" si="8"/>
        <v/>
      </c>
    </row>
    <row r="135" spans="1:18" x14ac:dyDescent="0.3">
      <c r="A135" s="2" t="s">
        <v>434</v>
      </c>
      <c r="B135" s="5">
        <v>45294</v>
      </c>
      <c r="C135" s="2" t="s">
        <v>157</v>
      </c>
      <c r="D135" s="2" t="s">
        <v>1117</v>
      </c>
      <c r="E135" s="2" t="s">
        <v>377</v>
      </c>
      <c r="F135" s="2" t="str">
        <f>VLOOKUP(Orders!E134,Products!A:F,2,FALSE)</f>
        <v>Power Bank</v>
      </c>
      <c r="G135" s="2" t="s">
        <v>45</v>
      </c>
      <c r="H135" s="2" t="str">
        <f>VLOOKUP(G135,Employees!A:E,2,FALSE)</f>
        <v>Rajesh Iyer</v>
      </c>
      <c r="I135" s="2" t="str">
        <f>VLOOKUP(E135,Products!A:F,3,FALSE)</f>
        <v>Sports</v>
      </c>
      <c r="J135" s="2" t="s">
        <v>15</v>
      </c>
      <c r="K135" s="2">
        <f>VLOOKUP(E135,Products!A:F,5,FALSE)</f>
        <v>4703.04</v>
      </c>
      <c r="L135" s="2">
        <v>5</v>
      </c>
      <c r="M135" s="2">
        <v>0.2</v>
      </c>
      <c r="N135" s="2">
        <f t="shared" si="6"/>
        <v>23515.200000000001</v>
      </c>
      <c r="O135" s="2">
        <f t="shared" si="7"/>
        <v>18812.16</v>
      </c>
      <c r="P135" s="2" t="s">
        <v>435</v>
      </c>
      <c r="Q135" s="2" t="s">
        <v>42</v>
      </c>
      <c r="R135" t="str">
        <f t="shared" si="8"/>
        <v/>
      </c>
    </row>
    <row r="136" spans="1:18" x14ac:dyDescent="0.3">
      <c r="A136" s="2" t="s">
        <v>436</v>
      </c>
      <c r="B136" s="5">
        <v>45548</v>
      </c>
      <c r="C136" s="2" t="s">
        <v>403</v>
      </c>
      <c r="D136" s="2" t="s">
        <v>1135</v>
      </c>
      <c r="E136" s="2" t="s">
        <v>153</v>
      </c>
      <c r="F136" s="2" t="str">
        <f>VLOOKUP(Orders!E135,Products!A:F,2,FALSE)</f>
        <v>Yoga Mat</v>
      </c>
      <c r="G136" s="2" t="s">
        <v>34</v>
      </c>
      <c r="H136" s="2" t="str">
        <f>VLOOKUP(G136,Employees!A:E,2,FALSE)</f>
        <v>Rohit Sinha</v>
      </c>
      <c r="I136" s="2" t="str">
        <f>VLOOKUP(E136,Products!A:F,3,FALSE)</f>
        <v>Books</v>
      </c>
      <c r="J136" s="2" t="s">
        <v>15</v>
      </c>
      <c r="K136" s="2">
        <f>VLOOKUP(E136,Products!A:F,5,FALSE)</f>
        <v>2128.4</v>
      </c>
      <c r="L136" s="2">
        <v>3</v>
      </c>
      <c r="M136" s="2">
        <v>0</v>
      </c>
      <c r="N136" s="2">
        <f t="shared" si="6"/>
        <v>6385.2000000000007</v>
      </c>
      <c r="O136" s="2">
        <f t="shared" si="7"/>
        <v>6385.2000000000007</v>
      </c>
      <c r="P136" s="2" t="s">
        <v>225</v>
      </c>
      <c r="Q136" s="2" t="s">
        <v>24</v>
      </c>
      <c r="R136" t="str">
        <f t="shared" si="8"/>
        <v/>
      </c>
    </row>
    <row r="137" spans="1:18" x14ac:dyDescent="0.3">
      <c r="A137" s="2" t="s">
        <v>437</v>
      </c>
      <c r="B137" s="5">
        <v>45658</v>
      </c>
      <c r="C137" s="2" t="s">
        <v>171</v>
      </c>
      <c r="D137" s="2" t="s">
        <v>1010</v>
      </c>
      <c r="E137" s="2" t="s">
        <v>33</v>
      </c>
      <c r="F137" s="2" t="str">
        <f>VLOOKUP(Orders!E136,Products!A:F,2,FALSE)</f>
        <v>Novel - Fiction</v>
      </c>
      <c r="G137" s="2" t="s">
        <v>82</v>
      </c>
      <c r="H137" s="2" t="str">
        <f>VLOOKUP(G137,Employees!A:E,2,FALSE)</f>
        <v>Priya Nair</v>
      </c>
      <c r="I137" s="2" t="str">
        <f>VLOOKUP(E137,Products!A:F,3,FALSE)</f>
        <v>Grocery</v>
      </c>
      <c r="J137" s="2" t="s">
        <v>73</v>
      </c>
      <c r="K137" s="2">
        <f>VLOOKUP(E137,Products!A:F,5,FALSE)</f>
        <v>620.89</v>
      </c>
      <c r="L137" s="2">
        <v>4</v>
      </c>
      <c r="M137" s="2">
        <v>0.1</v>
      </c>
      <c r="N137" s="2">
        <f t="shared" si="6"/>
        <v>2483.56</v>
      </c>
      <c r="O137" s="2">
        <f t="shared" si="7"/>
        <v>2235.2040000000002</v>
      </c>
      <c r="P137" s="2" t="s">
        <v>425</v>
      </c>
      <c r="Q137" s="2" t="s">
        <v>60</v>
      </c>
      <c r="R137" t="str">
        <f t="shared" si="8"/>
        <v/>
      </c>
    </row>
    <row r="138" spans="1:18" x14ac:dyDescent="0.3">
      <c r="A138" s="2" t="s">
        <v>439</v>
      </c>
      <c r="B138" s="5">
        <v>45563</v>
      </c>
      <c r="C138" s="2" t="s">
        <v>253</v>
      </c>
      <c r="D138" s="2" t="s">
        <v>1044</v>
      </c>
      <c r="E138" s="2" t="s">
        <v>148</v>
      </c>
      <c r="F138" s="2" t="str">
        <f>VLOOKUP(Orders!E137,Products!A:F,2,FALSE)</f>
        <v>Cooking Oil 1L</v>
      </c>
      <c r="G138" s="2" t="s">
        <v>45</v>
      </c>
      <c r="H138" s="2" t="str">
        <f>VLOOKUP(G138,Employees!A:E,2,FALSE)</f>
        <v>Rajesh Iyer</v>
      </c>
      <c r="I138" s="2" t="str">
        <f>VLOOKUP(E138,Products!A:F,3,FALSE)</f>
        <v>Grocery</v>
      </c>
      <c r="J138" s="2" t="s">
        <v>73</v>
      </c>
      <c r="K138" s="2">
        <f>VLOOKUP(E138,Products!A:F,5,FALSE)</f>
        <v>3576.75</v>
      </c>
      <c r="L138" s="2">
        <v>1</v>
      </c>
      <c r="M138" s="2">
        <v>0</v>
      </c>
      <c r="N138" s="2">
        <f t="shared" si="6"/>
        <v>3576.75</v>
      </c>
      <c r="O138" s="2">
        <f t="shared" si="7"/>
        <v>3576.75</v>
      </c>
      <c r="P138" s="2" t="s">
        <v>441</v>
      </c>
      <c r="Q138" s="2" t="s">
        <v>24</v>
      </c>
      <c r="R138" t="str">
        <f t="shared" si="8"/>
        <v/>
      </c>
    </row>
    <row r="139" spans="1:18" x14ac:dyDescent="0.3">
      <c r="A139" s="2" t="s">
        <v>442</v>
      </c>
      <c r="B139" s="5">
        <v>45779</v>
      </c>
      <c r="C139" s="2" t="s">
        <v>209</v>
      </c>
      <c r="D139" s="2" t="s">
        <v>966</v>
      </c>
      <c r="E139" s="2" t="s">
        <v>72</v>
      </c>
      <c r="F139" s="2" t="str">
        <f>VLOOKUP(Orders!E138,Products!A:F,2,FALSE)</f>
        <v>Green Tea Pack</v>
      </c>
      <c r="G139" s="2" t="s">
        <v>14</v>
      </c>
      <c r="H139" s="2" t="str">
        <f>VLOOKUP(G139,Employees!A:E,2,FALSE)</f>
        <v>Fatima Sheikh</v>
      </c>
      <c r="I139" s="2" t="str">
        <f>VLOOKUP(E139,Products!A:F,3,FALSE)</f>
        <v>Books</v>
      </c>
      <c r="J139" s="2" t="s">
        <v>73</v>
      </c>
      <c r="K139" s="2">
        <f>VLOOKUP(E139,Products!A:F,5,FALSE)</f>
        <v>2316.1999999999998</v>
      </c>
      <c r="L139" s="2">
        <v>8</v>
      </c>
      <c r="M139" s="2">
        <v>0.2</v>
      </c>
      <c r="N139" s="2">
        <f t="shared" si="6"/>
        <v>18529.599999999999</v>
      </c>
      <c r="O139" s="2">
        <f t="shared" si="7"/>
        <v>14823.68</v>
      </c>
      <c r="P139" s="2" t="s">
        <v>242</v>
      </c>
      <c r="Q139" s="2" t="s">
        <v>30</v>
      </c>
      <c r="R139" t="str">
        <f t="shared" si="8"/>
        <v/>
      </c>
    </row>
    <row r="140" spans="1:18" x14ac:dyDescent="0.3">
      <c r="A140" s="2" t="s">
        <v>443</v>
      </c>
      <c r="B140" s="5">
        <v>45807</v>
      </c>
      <c r="C140" s="2" t="s">
        <v>190</v>
      </c>
      <c r="D140" s="2" t="s">
        <v>1119</v>
      </c>
      <c r="E140" s="2" t="s">
        <v>164</v>
      </c>
      <c r="F140" s="2" t="str">
        <f>VLOOKUP(Orders!E139,Products!A:F,2,FALSE)</f>
        <v>Cookbook</v>
      </c>
      <c r="G140" s="2" t="s">
        <v>21</v>
      </c>
      <c r="H140" s="2" t="str">
        <f>VLOOKUP(G140,Employees!A:E,2,FALSE)</f>
        <v>Karan Mehta</v>
      </c>
      <c r="I140" s="2" t="str">
        <f>VLOOKUP(E140,Products!A:F,3,FALSE)</f>
        <v>Books</v>
      </c>
      <c r="J140" s="2" t="s">
        <v>22</v>
      </c>
      <c r="K140" s="2">
        <f>VLOOKUP(E140,Products!A:F,5,FALSE)</f>
        <v>2489.91</v>
      </c>
      <c r="L140" s="2">
        <v>4</v>
      </c>
      <c r="M140" s="2">
        <v>0.1</v>
      </c>
      <c r="N140" s="2">
        <f t="shared" si="6"/>
        <v>9959.64</v>
      </c>
      <c r="O140" s="2">
        <f t="shared" si="7"/>
        <v>8963.6759999999995</v>
      </c>
      <c r="P140" s="2" t="s">
        <v>445</v>
      </c>
      <c r="Q140" s="2" t="s">
        <v>30</v>
      </c>
      <c r="R140" t="str">
        <f t="shared" si="8"/>
        <v/>
      </c>
    </row>
    <row r="141" spans="1:18" x14ac:dyDescent="0.3">
      <c r="A141" s="2" t="s">
        <v>446</v>
      </c>
      <c r="B141" s="5">
        <v>45323</v>
      </c>
      <c r="C141" s="2" t="s">
        <v>190</v>
      </c>
      <c r="D141" s="2" t="s">
        <v>1119</v>
      </c>
      <c r="E141" s="2" t="s">
        <v>400</v>
      </c>
      <c r="F141" s="2" t="str">
        <f>VLOOKUP(Orders!E140,Products!A:F,2,FALSE)</f>
        <v>Biography</v>
      </c>
      <c r="G141" s="2" t="s">
        <v>45</v>
      </c>
      <c r="H141" s="2" t="str">
        <f>VLOOKUP(G141,Employees!A:E,2,FALSE)</f>
        <v>Rajesh Iyer</v>
      </c>
      <c r="I141" s="2" t="str">
        <f>VLOOKUP(E141,Products!A:F,3,FALSE)</f>
        <v>Toys</v>
      </c>
      <c r="J141" s="2" t="s">
        <v>35</v>
      </c>
      <c r="K141" s="2">
        <f>VLOOKUP(E141,Products!A:F,5,FALSE)</f>
        <v>588.75</v>
      </c>
      <c r="L141" s="2">
        <v>1</v>
      </c>
      <c r="M141" s="2">
        <v>0.05</v>
      </c>
      <c r="N141" s="2">
        <f t="shared" si="6"/>
        <v>588.75</v>
      </c>
      <c r="O141" s="2">
        <f t="shared" si="7"/>
        <v>559.3125</v>
      </c>
      <c r="P141" s="2" t="s">
        <v>274</v>
      </c>
      <c r="Q141" s="2" t="s">
        <v>24</v>
      </c>
      <c r="R141" t="str">
        <f t="shared" si="8"/>
        <v/>
      </c>
    </row>
    <row r="142" spans="1:18" x14ac:dyDescent="0.3">
      <c r="A142" s="2" t="s">
        <v>448</v>
      </c>
      <c r="B142" s="5">
        <v>45794</v>
      </c>
      <c r="C142" s="2" t="s">
        <v>12</v>
      </c>
      <c r="D142" s="2" t="s">
        <v>1103</v>
      </c>
      <c r="E142" s="2" t="s">
        <v>116</v>
      </c>
      <c r="F142" s="2" t="str">
        <f>VLOOKUP(Orders!E141,Products!A:F,2,FALSE)</f>
        <v>Building Blocks</v>
      </c>
      <c r="G142" s="2" t="s">
        <v>82</v>
      </c>
      <c r="H142" s="2" t="str">
        <f>VLOOKUP(G142,Employees!A:E,2,FALSE)</f>
        <v>Priya Nair</v>
      </c>
      <c r="I142" s="2" t="str">
        <f>VLOOKUP(E142,Products!A:F,3,FALSE)</f>
        <v>Clothing</v>
      </c>
      <c r="J142" s="2" t="s">
        <v>22</v>
      </c>
      <c r="K142" s="2">
        <f>VLOOKUP(E142,Products!A:F,5,FALSE)</f>
        <v>1156.02</v>
      </c>
      <c r="L142" s="2">
        <v>8</v>
      </c>
      <c r="M142" s="2">
        <v>0</v>
      </c>
      <c r="N142" s="2">
        <f t="shared" si="6"/>
        <v>9248.16</v>
      </c>
      <c r="O142" s="2">
        <f t="shared" si="7"/>
        <v>9248.16</v>
      </c>
      <c r="P142" s="2" t="s">
        <v>449</v>
      </c>
      <c r="Q142" s="2" t="s">
        <v>42</v>
      </c>
      <c r="R142" t="str">
        <f t="shared" si="8"/>
        <v/>
      </c>
    </row>
    <row r="143" spans="1:18" x14ac:dyDescent="0.3">
      <c r="A143" s="2" t="s">
        <v>450</v>
      </c>
      <c r="B143" s="5">
        <v>45443</v>
      </c>
      <c r="C143" s="2" t="s">
        <v>39</v>
      </c>
      <c r="D143" s="2" t="s">
        <v>990</v>
      </c>
      <c r="E143" s="2" t="s">
        <v>153</v>
      </c>
      <c r="F143" s="2" t="str">
        <f>VLOOKUP(Orders!E142,Products!A:F,2,FALSE)</f>
        <v>Formal Shirt</v>
      </c>
      <c r="G143" s="2" t="s">
        <v>34</v>
      </c>
      <c r="H143" s="2" t="str">
        <f>VLOOKUP(G143,Employees!A:E,2,FALSE)</f>
        <v>Rohit Sinha</v>
      </c>
      <c r="I143" s="2" t="str">
        <f>VLOOKUP(E143,Products!A:F,3,FALSE)</f>
        <v>Books</v>
      </c>
      <c r="J143" s="2" t="s">
        <v>22</v>
      </c>
      <c r="K143" s="2">
        <f>VLOOKUP(E143,Products!A:F,5,FALSE)</f>
        <v>2128.4</v>
      </c>
      <c r="L143" s="2">
        <v>2</v>
      </c>
      <c r="M143" s="2">
        <v>0</v>
      </c>
      <c r="N143" s="2">
        <f t="shared" si="6"/>
        <v>4256.8</v>
      </c>
      <c r="O143" s="2">
        <f t="shared" si="7"/>
        <v>4256.8</v>
      </c>
      <c r="P143" s="2" t="s">
        <v>368</v>
      </c>
      <c r="Q143" s="2" t="s">
        <v>30</v>
      </c>
      <c r="R143" t="str">
        <f t="shared" si="8"/>
        <v/>
      </c>
    </row>
    <row r="144" spans="1:18" x14ac:dyDescent="0.3">
      <c r="A144" s="2" t="s">
        <v>451</v>
      </c>
      <c r="B144" s="5">
        <v>45835</v>
      </c>
      <c r="C144" s="2" t="s">
        <v>234</v>
      </c>
      <c r="D144" s="2" t="s">
        <v>1127</v>
      </c>
      <c r="E144" s="2" t="s">
        <v>77</v>
      </c>
      <c r="F144" s="2" t="str">
        <f>VLOOKUP(Orders!E143,Products!A:F,2,FALSE)</f>
        <v>Novel - Fiction</v>
      </c>
      <c r="G144" s="2" t="s">
        <v>34</v>
      </c>
      <c r="H144" s="2" t="str">
        <f>VLOOKUP(G144,Employees!A:E,2,FALSE)</f>
        <v>Rohit Sinha</v>
      </c>
      <c r="I144" s="2" t="str">
        <f>VLOOKUP(E144,Products!A:F,3,FALSE)</f>
        <v>Electronics</v>
      </c>
      <c r="J144" s="2" t="s">
        <v>35</v>
      </c>
      <c r="K144" s="2">
        <f>VLOOKUP(E144,Products!A:F,5,FALSE)</f>
        <v>3550.89</v>
      </c>
      <c r="L144" s="2">
        <v>5</v>
      </c>
      <c r="M144" s="2">
        <v>0.05</v>
      </c>
      <c r="N144" s="2">
        <f t="shared" si="6"/>
        <v>17754.45</v>
      </c>
      <c r="O144" s="2">
        <f t="shared" si="7"/>
        <v>16866.727500000001</v>
      </c>
      <c r="P144" s="2" t="s">
        <v>452</v>
      </c>
      <c r="Q144" s="2" t="s">
        <v>24</v>
      </c>
      <c r="R144" t="str">
        <f t="shared" si="8"/>
        <v/>
      </c>
    </row>
    <row r="145" spans="1:18" x14ac:dyDescent="0.3">
      <c r="A145" s="2" t="s">
        <v>453</v>
      </c>
      <c r="B145" s="5">
        <v>45409</v>
      </c>
      <c r="C145" s="2" t="s">
        <v>89</v>
      </c>
      <c r="D145" s="2" t="s">
        <v>1059</v>
      </c>
      <c r="E145" s="2" t="s">
        <v>454</v>
      </c>
      <c r="F145" s="2" t="str">
        <f>VLOOKUP(Orders!E144,Products!A:F,2,FALSE)</f>
        <v>USB-C Charger</v>
      </c>
      <c r="G145" s="2" t="s">
        <v>14</v>
      </c>
      <c r="H145" s="2" t="str">
        <f>VLOOKUP(G145,Employees!A:E,2,FALSE)</f>
        <v>Fatima Sheikh</v>
      </c>
      <c r="I145" s="2" t="str">
        <f>VLOOKUP(E145,Products!A:F,3,FALSE)</f>
        <v>Books</v>
      </c>
      <c r="J145" s="2" t="s">
        <v>35</v>
      </c>
      <c r="K145" s="2">
        <f>VLOOKUP(E145,Products!A:F,5,FALSE)</f>
        <v>1253.57</v>
      </c>
      <c r="L145" s="2">
        <v>9</v>
      </c>
      <c r="M145" s="2">
        <v>0.15</v>
      </c>
      <c r="N145" s="2">
        <f t="shared" si="6"/>
        <v>11282.13</v>
      </c>
      <c r="O145" s="2">
        <f t="shared" si="7"/>
        <v>9589.8104999999996</v>
      </c>
      <c r="P145" s="2" t="s">
        <v>455</v>
      </c>
      <c r="Q145" s="2" t="s">
        <v>30</v>
      </c>
      <c r="R145" t="str">
        <f t="shared" si="8"/>
        <v/>
      </c>
    </row>
    <row r="146" spans="1:18" x14ac:dyDescent="0.3">
      <c r="A146" s="2" t="s">
        <v>456</v>
      </c>
      <c r="B146" s="5">
        <v>45525</v>
      </c>
      <c r="C146" s="2" t="s">
        <v>66</v>
      </c>
      <c r="D146" s="2" t="s">
        <v>1108</v>
      </c>
      <c r="E146" s="2" t="s">
        <v>94</v>
      </c>
      <c r="F146" s="2" t="str">
        <f>VLOOKUP(Orders!E145,Products!A:F,2,FALSE)</f>
        <v>Comic Book</v>
      </c>
      <c r="G146" s="2" t="s">
        <v>21</v>
      </c>
      <c r="H146" s="2" t="str">
        <f>VLOOKUP(G146,Employees!A:E,2,FALSE)</f>
        <v>Karan Mehta</v>
      </c>
      <c r="I146" s="2" t="str">
        <f>VLOOKUP(E146,Products!A:F,3,FALSE)</f>
        <v>Grocery</v>
      </c>
      <c r="J146" s="2" t="s">
        <v>35</v>
      </c>
      <c r="K146" s="2">
        <f>VLOOKUP(E146,Products!A:F,5,FALSE)</f>
        <v>3610.44</v>
      </c>
      <c r="L146" s="2">
        <v>7</v>
      </c>
      <c r="M146" s="2">
        <v>0</v>
      </c>
      <c r="N146" s="2">
        <f t="shared" si="6"/>
        <v>25273.08</v>
      </c>
      <c r="O146" s="2">
        <f t="shared" si="7"/>
        <v>25273.08</v>
      </c>
      <c r="P146" s="2" t="s">
        <v>457</v>
      </c>
      <c r="Q146" s="2" t="s">
        <v>30</v>
      </c>
      <c r="R146" t="str">
        <f t="shared" si="8"/>
        <v/>
      </c>
    </row>
    <row r="147" spans="1:18" x14ac:dyDescent="0.3">
      <c r="A147" s="2" t="s">
        <v>458</v>
      </c>
      <c r="B147" s="5">
        <v>45389</v>
      </c>
      <c r="C147" s="2" t="s">
        <v>460</v>
      </c>
      <c r="D147" s="2" t="s">
        <v>1136</v>
      </c>
      <c r="E147" s="2" t="s">
        <v>145</v>
      </c>
      <c r="F147" s="2" t="str">
        <f>VLOOKUP(Orders!E146,Products!A:F,2,FALSE)</f>
        <v>Honey Jar</v>
      </c>
      <c r="G147" s="2" t="s">
        <v>21</v>
      </c>
      <c r="H147" s="2" t="str">
        <f>VLOOKUP(G147,Employees!A:E,2,FALSE)</f>
        <v>Karan Mehta</v>
      </c>
      <c r="I147" s="2" t="str">
        <f>VLOOKUP(E147,Products!A:F,3,FALSE)</f>
        <v>Home &amp; Kitchen</v>
      </c>
      <c r="J147" s="2" t="s">
        <v>22</v>
      </c>
      <c r="K147" s="2">
        <f>VLOOKUP(E147,Products!A:F,5,FALSE)</f>
        <v>2612.71</v>
      </c>
      <c r="L147" s="2">
        <v>6</v>
      </c>
      <c r="M147" s="2">
        <v>0.05</v>
      </c>
      <c r="N147" s="2">
        <f t="shared" si="6"/>
        <v>15676.26</v>
      </c>
      <c r="O147" s="2">
        <f t="shared" si="7"/>
        <v>14892.447</v>
      </c>
      <c r="P147" s="2" t="s">
        <v>295</v>
      </c>
      <c r="Q147" s="2" t="s">
        <v>17</v>
      </c>
      <c r="R147" t="str">
        <f t="shared" si="8"/>
        <v/>
      </c>
    </row>
    <row r="148" spans="1:18" x14ac:dyDescent="0.3">
      <c r="A148" s="2" t="s">
        <v>461</v>
      </c>
      <c r="B148" s="5">
        <v>45448</v>
      </c>
      <c r="C148" s="2" t="s">
        <v>462</v>
      </c>
      <c r="D148" s="2" t="s">
        <v>1137</v>
      </c>
      <c r="E148" s="2" t="s">
        <v>210</v>
      </c>
      <c r="F148" s="2" t="str">
        <f>VLOOKUP(Orders!E147,Products!A:F,2,FALSE)</f>
        <v>Storage Box</v>
      </c>
      <c r="G148" s="2" t="s">
        <v>82</v>
      </c>
      <c r="H148" s="2" t="str">
        <f>VLOOKUP(G148,Employees!A:E,2,FALSE)</f>
        <v>Priya Nair</v>
      </c>
      <c r="I148" s="2" t="str">
        <f>VLOOKUP(E148,Products!A:F,3,FALSE)</f>
        <v>Sports</v>
      </c>
      <c r="J148" s="2" t="s">
        <v>73</v>
      </c>
      <c r="K148" s="2">
        <f>VLOOKUP(E148,Products!A:F,5,FALSE)</f>
        <v>1187.29</v>
      </c>
      <c r="L148" s="2">
        <v>8</v>
      </c>
      <c r="M148" s="2">
        <v>0</v>
      </c>
      <c r="N148" s="2">
        <f t="shared" si="6"/>
        <v>9498.32</v>
      </c>
      <c r="O148" s="2">
        <f t="shared" si="7"/>
        <v>9498.32</v>
      </c>
      <c r="P148" s="2" t="s">
        <v>352</v>
      </c>
      <c r="Q148" s="2" t="s">
        <v>24</v>
      </c>
      <c r="R148" t="str">
        <f t="shared" si="8"/>
        <v/>
      </c>
    </row>
    <row r="149" spans="1:18" x14ac:dyDescent="0.3">
      <c r="A149" s="2" t="s">
        <v>463</v>
      </c>
      <c r="B149" s="5">
        <v>45734</v>
      </c>
      <c r="C149" s="2" t="s">
        <v>214</v>
      </c>
      <c r="D149" s="2" t="s">
        <v>1125</v>
      </c>
      <c r="E149" s="2" t="s">
        <v>465</v>
      </c>
      <c r="F149" s="2" t="str">
        <f>VLOOKUP(Orders!E148,Products!A:F,2,FALSE)</f>
        <v>Skipping Rope</v>
      </c>
      <c r="G149" s="2" t="s">
        <v>21</v>
      </c>
      <c r="H149" s="2" t="str">
        <f>VLOOKUP(G149,Employees!A:E,2,FALSE)</f>
        <v>Karan Mehta</v>
      </c>
      <c r="I149" s="2" t="str">
        <f>VLOOKUP(E149,Products!A:F,3,FALSE)</f>
        <v>Beauty</v>
      </c>
      <c r="J149" s="2" t="s">
        <v>15</v>
      </c>
      <c r="K149" s="2">
        <f>VLOOKUP(E149,Products!A:F,5,FALSE)</f>
        <v>1140.8</v>
      </c>
      <c r="L149" s="2">
        <v>2</v>
      </c>
      <c r="M149" s="2">
        <v>0.15</v>
      </c>
      <c r="N149" s="2">
        <f t="shared" si="6"/>
        <v>2281.6</v>
      </c>
      <c r="O149" s="2">
        <f t="shared" si="7"/>
        <v>1939.36</v>
      </c>
      <c r="P149" s="2" t="s">
        <v>466</v>
      </c>
      <c r="Q149" s="2" t="s">
        <v>42</v>
      </c>
      <c r="R149" t="str">
        <f t="shared" si="8"/>
        <v/>
      </c>
    </row>
    <row r="150" spans="1:18" x14ac:dyDescent="0.3">
      <c r="A150" s="2" t="s">
        <v>467</v>
      </c>
      <c r="B150" s="5">
        <v>45353</v>
      </c>
      <c r="C150" s="2" t="s">
        <v>171</v>
      </c>
      <c r="D150" s="2" t="s">
        <v>1010</v>
      </c>
      <c r="E150" s="2" t="s">
        <v>468</v>
      </c>
      <c r="F150" s="2" t="str">
        <f>VLOOKUP(Orders!E149,Products!A:F,2,FALSE)</f>
        <v>Perfume</v>
      </c>
      <c r="G150" s="2" t="s">
        <v>21</v>
      </c>
      <c r="H150" s="2" t="str">
        <f>VLOOKUP(G150,Employees!A:E,2,FALSE)</f>
        <v>Karan Mehta</v>
      </c>
      <c r="I150" s="2" t="str">
        <f>VLOOKUP(E150,Products!A:F,3,FALSE)</f>
        <v>Toys</v>
      </c>
      <c r="J150" s="2" t="s">
        <v>22</v>
      </c>
      <c r="K150" s="2">
        <f>VLOOKUP(E150,Products!A:F,5,FALSE)</f>
        <v>2113.67</v>
      </c>
      <c r="L150" s="2">
        <v>10</v>
      </c>
      <c r="M150" s="2">
        <v>0.1</v>
      </c>
      <c r="N150" s="2">
        <f t="shared" si="6"/>
        <v>21136.7</v>
      </c>
      <c r="O150" s="2">
        <f t="shared" si="7"/>
        <v>19023.030000000002</v>
      </c>
      <c r="P150" s="2" t="s">
        <v>117</v>
      </c>
      <c r="Q150" s="2" t="s">
        <v>24</v>
      </c>
      <c r="R150" t="str">
        <f t="shared" si="8"/>
        <v/>
      </c>
    </row>
    <row r="151" spans="1:18" x14ac:dyDescent="0.3">
      <c r="A151" s="2" t="s">
        <v>469</v>
      </c>
      <c r="B151" s="5">
        <v>45712</v>
      </c>
      <c r="C151" s="2" t="s">
        <v>115</v>
      </c>
      <c r="D151" s="2" t="s">
        <v>996</v>
      </c>
      <c r="E151" s="2" t="s">
        <v>94</v>
      </c>
      <c r="F151" s="2" t="str">
        <f>VLOOKUP(Orders!E150,Products!A:F,2,FALSE)</f>
        <v>Puzzle Set</v>
      </c>
      <c r="G151" s="2" t="s">
        <v>82</v>
      </c>
      <c r="H151" s="2" t="str">
        <f>VLOOKUP(G151,Employees!A:E,2,FALSE)</f>
        <v>Priya Nair</v>
      </c>
      <c r="I151" s="2" t="str">
        <f>VLOOKUP(E151,Products!A:F,3,FALSE)</f>
        <v>Grocery</v>
      </c>
      <c r="J151" s="2" t="s">
        <v>73</v>
      </c>
      <c r="K151" s="2">
        <f>VLOOKUP(E151,Products!A:F,5,FALSE)</f>
        <v>3610.44</v>
      </c>
      <c r="L151" s="2">
        <v>6</v>
      </c>
      <c r="M151" s="2">
        <v>0.2</v>
      </c>
      <c r="N151" s="2">
        <f t="shared" si="6"/>
        <v>21662.639999999999</v>
      </c>
      <c r="O151" s="2">
        <f t="shared" si="7"/>
        <v>17330.112000000001</v>
      </c>
      <c r="P151" s="2" t="s">
        <v>471</v>
      </c>
      <c r="Q151" s="2" t="s">
        <v>17</v>
      </c>
      <c r="R151" t="str">
        <f t="shared" si="8"/>
        <v/>
      </c>
    </row>
    <row r="152" spans="1:18" x14ac:dyDescent="0.3">
      <c r="A152" s="2" t="s">
        <v>472</v>
      </c>
      <c r="B152" s="5">
        <v>45611</v>
      </c>
      <c r="C152" s="2" t="s">
        <v>356</v>
      </c>
      <c r="D152" s="2" t="s">
        <v>1133</v>
      </c>
      <c r="E152" s="2" t="s">
        <v>67</v>
      </c>
      <c r="F152" s="2" t="str">
        <f>VLOOKUP(Orders!E151,Products!A:F,2,FALSE)</f>
        <v>Honey Jar</v>
      </c>
      <c r="G152" s="2" t="s">
        <v>45</v>
      </c>
      <c r="H152" s="2" t="str">
        <f>VLOOKUP(G152,Employees!A:E,2,FALSE)</f>
        <v>Rajesh Iyer</v>
      </c>
      <c r="I152" s="2" t="str">
        <f>VLOOKUP(E152,Products!A:F,3,FALSE)</f>
        <v>Toys</v>
      </c>
      <c r="J152" s="2" t="s">
        <v>15</v>
      </c>
      <c r="K152" s="2">
        <f>VLOOKUP(E152,Products!A:F,5,FALSE)</f>
        <v>3205.14</v>
      </c>
      <c r="L152" s="2">
        <v>6</v>
      </c>
      <c r="M152" s="2">
        <v>0</v>
      </c>
      <c r="N152" s="2">
        <f t="shared" si="6"/>
        <v>19230.84</v>
      </c>
      <c r="O152" s="2">
        <f t="shared" si="7"/>
        <v>19230.84</v>
      </c>
      <c r="P152" s="2" t="s">
        <v>48</v>
      </c>
      <c r="Q152" s="2" t="s">
        <v>60</v>
      </c>
      <c r="R152" t="str">
        <f t="shared" si="8"/>
        <v/>
      </c>
    </row>
    <row r="153" spans="1:18" x14ac:dyDescent="0.3">
      <c r="A153" s="2" t="s">
        <v>473</v>
      </c>
      <c r="B153" s="5">
        <v>45785</v>
      </c>
      <c r="C153" s="2" t="s">
        <v>176</v>
      </c>
      <c r="D153" s="2" t="s">
        <v>1120</v>
      </c>
      <c r="E153" s="2" t="s">
        <v>260</v>
      </c>
      <c r="F153" s="2" t="str">
        <f>VLOOKUP(Orders!E152,Products!A:F,2,FALSE)</f>
        <v>Remote Car</v>
      </c>
      <c r="G153" s="2" t="s">
        <v>82</v>
      </c>
      <c r="H153" s="2" t="str">
        <f>VLOOKUP(G153,Employees!A:E,2,FALSE)</f>
        <v>Priya Nair</v>
      </c>
      <c r="I153" s="2" t="str">
        <f>VLOOKUP(E153,Products!A:F,3,FALSE)</f>
        <v>Home &amp; Kitchen</v>
      </c>
      <c r="J153" s="2" t="s">
        <v>22</v>
      </c>
      <c r="K153" s="2">
        <f>VLOOKUP(E153,Products!A:F,5,FALSE)</f>
        <v>3981.64</v>
      </c>
      <c r="L153" s="2">
        <v>4</v>
      </c>
      <c r="M153" s="2">
        <v>0.2</v>
      </c>
      <c r="N153" s="2">
        <f t="shared" si="6"/>
        <v>15926.56</v>
      </c>
      <c r="O153" s="2">
        <f t="shared" si="7"/>
        <v>12741.248</v>
      </c>
      <c r="P153" s="2" t="s">
        <v>474</v>
      </c>
      <c r="Q153" s="2" t="s">
        <v>42</v>
      </c>
      <c r="R153" t="str">
        <f t="shared" si="8"/>
        <v/>
      </c>
    </row>
    <row r="154" spans="1:18" x14ac:dyDescent="0.3">
      <c r="A154" s="2" t="s">
        <v>475</v>
      </c>
      <c r="B154" s="5">
        <v>45668</v>
      </c>
      <c r="C154" s="2" t="s">
        <v>476</v>
      </c>
      <c r="D154" s="2" t="s">
        <v>983</v>
      </c>
      <c r="E154" s="2" t="s">
        <v>67</v>
      </c>
      <c r="F154" s="2" t="str">
        <f>VLOOKUP(Orders!E153,Products!A:F,2,FALSE)</f>
        <v>Non-stick Pan</v>
      </c>
      <c r="G154" s="2" t="s">
        <v>21</v>
      </c>
      <c r="H154" s="2" t="str">
        <f>VLOOKUP(G154,Employees!A:E,2,FALSE)</f>
        <v>Karan Mehta</v>
      </c>
      <c r="I154" s="2" t="str">
        <f>VLOOKUP(E154,Products!A:F,3,FALSE)</f>
        <v>Toys</v>
      </c>
      <c r="J154" s="2" t="s">
        <v>15</v>
      </c>
      <c r="K154" s="2">
        <f>VLOOKUP(E154,Products!A:F,5,FALSE)</f>
        <v>3205.14</v>
      </c>
      <c r="L154" s="2">
        <v>2</v>
      </c>
      <c r="M154" s="2">
        <v>0.2</v>
      </c>
      <c r="N154" s="2">
        <f t="shared" si="6"/>
        <v>6410.28</v>
      </c>
      <c r="O154" s="2">
        <f t="shared" si="7"/>
        <v>5128.2240000000002</v>
      </c>
      <c r="P154" s="2" t="s">
        <v>407</v>
      </c>
      <c r="Q154" s="2" t="s">
        <v>30</v>
      </c>
      <c r="R154" t="str">
        <f t="shared" si="8"/>
        <v/>
      </c>
    </row>
    <row r="155" spans="1:18" x14ac:dyDescent="0.3">
      <c r="A155" s="2" t="s">
        <v>477</v>
      </c>
      <c r="B155" s="5">
        <v>45318</v>
      </c>
      <c r="C155" s="2" t="s">
        <v>462</v>
      </c>
      <c r="D155" s="2" t="s">
        <v>1137</v>
      </c>
      <c r="E155" s="2" t="s">
        <v>153</v>
      </c>
      <c r="F155" s="2" t="str">
        <f>VLOOKUP(Orders!E154,Products!A:F,2,FALSE)</f>
        <v>Remote Car</v>
      </c>
      <c r="G155" s="2" t="s">
        <v>82</v>
      </c>
      <c r="H155" s="2" t="str">
        <f>VLOOKUP(G155,Employees!A:E,2,FALSE)</f>
        <v>Priya Nair</v>
      </c>
      <c r="I155" s="2" t="str">
        <f>VLOOKUP(E155,Products!A:F,3,FALSE)</f>
        <v>Books</v>
      </c>
      <c r="J155" s="2" t="s">
        <v>73</v>
      </c>
      <c r="K155" s="2">
        <f>VLOOKUP(E155,Products!A:F,5,FALSE)</f>
        <v>2128.4</v>
      </c>
      <c r="L155" s="2">
        <v>10</v>
      </c>
      <c r="M155" s="2">
        <v>0.15</v>
      </c>
      <c r="N155" s="2">
        <f t="shared" si="6"/>
        <v>21284</v>
      </c>
      <c r="O155" s="2">
        <f t="shared" si="7"/>
        <v>18091.399999999998</v>
      </c>
      <c r="P155" s="2" t="s">
        <v>447</v>
      </c>
      <c r="Q155" s="2" t="s">
        <v>60</v>
      </c>
      <c r="R155" t="str">
        <f t="shared" si="8"/>
        <v/>
      </c>
    </row>
    <row r="156" spans="1:18" x14ac:dyDescent="0.3">
      <c r="A156" s="2" t="s">
        <v>479</v>
      </c>
      <c r="B156" s="5">
        <v>45571</v>
      </c>
      <c r="C156" s="2" t="s">
        <v>356</v>
      </c>
      <c r="D156" s="2" t="s">
        <v>1133</v>
      </c>
      <c r="E156" s="2" t="s">
        <v>54</v>
      </c>
      <c r="F156" s="2" t="str">
        <f>VLOOKUP(Orders!E155,Products!A:F,2,FALSE)</f>
        <v>Novel - Fiction</v>
      </c>
      <c r="G156" s="2" t="s">
        <v>45</v>
      </c>
      <c r="H156" s="2" t="str">
        <f>VLOOKUP(G156,Employees!A:E,2,FALSE)</f>
        <v>Rajesh Iyer</v>
      </c>
      <c r="I156" s="2" t="str">
        <f>VLOOKUP(E156,Products!A:F,3,FALSE)</f>
        <v>Clothing</v>
      </c>
      <c r="J156" s="2" t="s">
        <v>73</v>
      </c>
      <c r="K156" s="2">
        <f>VLOOKUP(E156,Products!A:F,5,FALSE)</f>
        <v>3929.31</v>
      </c>
      <c r="L156" s="2">
        <v>5</v>
      </c>
      <c r="M156" s="2">
        <v>0</v>
      </c>
      <c r="N156" s="2">
        <f t="shared" si="6"/>
        <v>19646.55</v>
      </c>
      <c r="O156" s="2">
        <f t="shared" si="7"/>
        <v>19646.55</v>
      </c>
      <c r="P156" s="2" t="s">
        <v>195</v>
      </c>
      <c r="Q156" s="2" t="s">
        <v>60</v>
      </c>
      <c r="R156" t="str">
        <f t="shared" si="8"/>
        <v/>
      </c>
    </row>
    <row r="157" spans="1:18" x14ac:dyDescent="0.3">
      <c r="A157" s="2" t="s">
        <v>481</v>
      </c>
      <c r="B157" s="5">
        <v>45438</v>
      </c>
      <c r="C157" s="2" t="s">
        <v>187</v>
      </c>
      <c r="D157" s="2" t="s">
        <v>1122</v>
      </c>
      <c r="E157" s="2" t="s">
        <v>81</v>
      </c>
      <c r="F157" s="2" t="str">
        <f>VLOOKUP(Orders!E156,Products!A:F,2,FALSE)</f>
        <v>Hoodie</v>
      </c>
      <c r="G157" s="2" t="s">
        <v>82</v>
      </c>
      <c r="H157" s="2" t="str">
        <f>VLOOKUP(G157,Employees!A:E,2,FALSE)</f>
        <v>Priya Nair</v>
      </c>
      <c r="I157" s="2" t="str">
        <f>VLOOKUP(E157,Products!A:F,3,FALSE)</f>
        <v>Electronics</v>
      </c>
      <c r="J157" s="2" t="s">
        <v>73</v>
      </c>
      <c r="K157" s="2">
        <f>VLOOKUP(E157,Products!A:F,5,FALSE)</f>
        <v>1044.7</v>
      </c>
      <c r="L157" s="2">
        <v>10</v>
      </c>
      <c r="M157" s="2">
        <v>0.15</v>
      </c>
      <c r="N157" s="2">
        <f t="shared" si="6"/>
        <v>10447</v>
      </c>
      <c r="O157" s="2">
        <f t="shared" si="7"/>
        <v>8879.9499999999989</v>
      </c>
      <c r="P157" s="2" t="s">
        <v>482</v>
      </c>
      <c r="Q157" s="2" t="s">
        <v>60</v>
      </c>
      <c r="R157" t="str">
        <f t="shared" si="8"/>
        <v/>
      </c>
    </row>
    <row r="158" spans="1:18" x14ac:dyDescent="0.3">
      <c r="A158" s="2" t="s">
        <v>483</v>
      </c>
      <c r="B158" s="5">
        <v>45323</v>
      </c>
      <c r="C158" s="2" t="s">
        <v>89</v>
      </c>
      <c r="D158" s="2" t="s">
        <v>1059</v>
      </c>
      <c r="E158" s="2" t="s">
        <v>28</v>
      </c>
      <c r="F158" s="2" t="str">
        <f>VLOOKUP(Orders!E157,Products!A:F,2,FALSE)</f>
        <v>Earbuds</v>
      </c>
      <c r="G158" s="2" t="s">
        <v>82</v>
      </c>
      <c r="H158" s="2" t="str">
        <f>VLOOKUP(G158,Employees!A:E,2,FALSE)</f>
        <v>Priya Nair</v>
      </c>
      <c r="I158" s="2" t="str">
        <f>VLOOKUP(E158,Products!A:F,3,FALSE)</f>
        <v>Home &amp; Kitchen</v>
      </c>
      <c r="J158" s="2" t="s">
        <v>15</v>
      </c>
      <c r="K158" s="2">
        <f>VLOOKUP(E158,Products!A:F,5,FALSE)</f>
        <v>733.33</v>
      </c>
      <c r="L158" s="2">
        <v>2</v>
      </c>
      <c r="M158" s="2">
        <v>0.15</v>
      </c>
      <c r="N158" s="2">
        <f t="shared" si="6"/>
        <v>1466.66</v>
      </c>
      <c r="O158" s="2">
        <f t="shared" si="7"/>
        <v>1246.6610000000001</v>
      </c>
      <c r="P158" s="2" t="s">
        <v>290</v>
      </c>
      <c r="Q158" s="2" t="s">
        <v>30</v>
      </c>
      <c r="R158" t="str">
        <f t="shared" si="8"/>
        <v/>
      </c>
    </row>
    <row r="159" spans="1:18" x14ac:dyDescent="0.3">
      <c r="A159" s="2" t="s">
        <v>484</v>
      </c>
      <c r="B159" s="5">
        <v>45721</v>
      </c>
      <c r="C159" s="2" t="s">
        <v>168</v>
      </c>
      <c r="D159" s="2" t="s">
        <v>1119</v>
      </c>
      <c r="E159" s="2" t="s">
        <v>172</v>
      </c>
      <c r="F159" s="2" t="str">
        <f>VLOOKUP(Orders!E158,Products!A:F,2,FALSE)</f>
        <v>Blender</v>
      </c>
      <c r="G159" s="2" t="s">
        <v>14</v>
      </c>
      <c r="H159" s="2" t="str">
        <f>VLOOKUP(G159,Employees!A:E,2,FALSE)</f>
        <v>Fatima Sheikh</v>
      </c>
      <c r="I159" s="2" t="str">
        <f>VLOOKUP(E159,Products!A:F,3,FALSE)</f>
        <v>Home &amp; Kitchen</v>
      </c>
      <c r="J159" s="2" t="s">
        <v>22</v>
      </c>
      <c r="K159" s="2">
        <f>VLOOKUP(E159,Products!A:F,5,FALSE)</f>
        <v>2849.53</v>
      </c>
      <c r="L159" s="2">
        <v>8</v>
      </c>
      <c r="M159" s="2">
        <v>0</v>
      </c>
      <c r="N159" s="2">
        <f t="shared" si="6"/>
        <v>22796.240000000002</v>
      </c>
      <c r="O159" s="2">
        <f t="shared" si="7"/>
        <v>22796.240000000002</v>
      </c>
      <c r="P159" s="2" t="s">
        <v>486</v>
      </c>
      <c r="Q159" s="2" t="s">
        <v>17</v>
      </c>
      <c r="R159" t="str">
        <f t="shared" si="8"/>
        <v/>
      </c>
    </row>
    <row r="160" spans="1:18" x14ac:dyDescent="0.3">
      <c r="A160" s="2" t="s">
        <v>487</v>
      </c>
      <c r="B160" s="5">
        <v>45624</v>
      </c>
      <c r="C160" s="2" t="s">
        <v>80</v>
      </c>
      <c r="D160" s="2" t="s">
        <v>1109</v>
      </c>
      <c r="E160" s="2" t="s">
        <v>90</v>
      </c>
      <c r="F160" s="2" t="str">
        <f>VLOOKUP(Orders!E159,Products!A:F,2,FALSE)</f>
        <v>Ceramic Mug Set</v>
      </c>
      <c r="G160" s="2" t="s">
        <v>14</v>
      </c>
      <c r="H160" s="2" t="str">
        <f>VLOOKUP(G160,Employees!A:E,2,FALSE)</f>
        <v>Fatima Sheikh</v>
      </c>
      <c r="I160" s="2" t="str">
        <f>VLOOKUP(E160,Products!A:F,3,FALSE)</f>
        <v>Beauty</v>
      </c>
      <c r="J160" s="2" t="s">
        <v>73</v>
      </c>
      <c r="K160" s="2">
        <f>VLOOKUP(E160,Products!A:F,5,FALSE)</f>
        <v>928.72</v>
      </c>
      <c r="L160" s="2">
        <v>10</v>
      </c>
      <c r="M160" s="2">
        <v>0.1</v>
      </c>
      <c r="N160" s="2">
        <f t="shared" si="6"/>
        <v>9287.2000000000007</v>
      </c>
      <c r="O160" s="2">
        <f t="shared" si="7"/>
        <v>8358.4800000000014</v>
      </c>
      <c r="P160" s="2" t="s">
        <v>488</v>
      </c>
      <c r="Q160" s="2" t="s">
        <v>60</v>
      </c>
      <c r="R160" t="str">
        <f t="shared" si="8"/>
        <v/>
      </c>
    </row>
    <row r="161" spans="1:18" x14ac:dyDescent="0.3">
      <c r="A161" s="2" t="s">
        <v>489</v>
      </c>
      <c r="B161" s="5">
        <v>45453</v>
      </c>
      <c r="C161" s="2" t="s">
        <v>98</v>
      </c>
      <c r="D161" s="2" t="s">
        <v>1110</v>
      </c>
      <c r="E161" s="2" t="s">
        <v>145</v>
      </c>
      <c r="F161" s="2" t="str">
        <f>VLOOKUP(Orders!E160,Products!A:F,2,FALSE)</f>
        <v>Face Wash</v>
      </c>
      <c r="G161" s="2" t="s">
        <v>14</v>
      </c>
      <c r="H161" s="2" t="str">
        <f>VLOOKUP(G161,Employees!A:E,2,FALSE)</f>
        <v>Fatima Sheikh</v>
      </c>
      <c r="I161" s="2" t="str">
        <f>VLOOKUP(E161,Products!A:F,3,FALSE)</f>
        <v>Home &amp; Kitchen</v>
      </c>
      <c r="J161" s="2" t="s">
        <v>22</v>
      </c>
      <c r="K161" s="2">
        <f>VLOOKUP(E161,Products!A:F,5,FALSE)</f>
        <v>2612.71</v>
      </c>
      <c r="L161" s="2">
        <v>10</v>
      </c>
      <c r="M161" s="2">
        <v>0</v>
      </c>
      <c r="N161" s="2">
        <f t="shared" si="6"/>
        <v>26127.1</v>
      </c>
      <c r="O161" s="2">
        <f t="shared" si="7"/>
        <v>26127.1</v>
      </c>
      <c r="P161" s="2" t="s">
        <v>353</v>
      </c>
      <c r="Q161" s="2" t="s">
        <v>30</v>
      </c>
      <c r="R161" t="str">
        <f t="shared" si="8"/>
        <v/>
      </c>
    </row>
    <row r="162" spans="1:18" x14ac:dyDescent="0.3">
      <c r="A162" s="2" t="s">
        <v>490</v>
      </c>
      <c r="B162" s="5">
        <v>45726</v>
      </c>
      <c r="C162" s="2" t="s">
        <v>291</v>
      </c>
      <c r="D162" s="2" t="s">
        <v>1131</v>
      </c>
      <c r="E162" s="2" t="s">
        <v>40</v>
      </c>
      <c r="F162" s="2" t="str">
        <f>VLOOKUP(Orders!E161,Products!A:F,2,FALSE)</f>
        <v>Storage Box</v>
      </c>
      <c r="G162" s="2" t="s">
        <v>34</v>
      </c>
      <c r="H162" s="2" t="str">
        <f>VLOOKUP(G162,Employees!A:E,2,FALSE)</f>
        <v>Rohit Sinha</v>
      </c>
      <c r="I162" s="2" t="str">
        <f>VLOOKUP(E162,Products!A:F,3,FALSE)</f>
        <v>Toys</v>
      </c>
      <c r="J162" s="2" t="s">
        <v>35</v>
      </c>
      <c r="K162" s="2">
        <f>VLOOKUP(E162,Products!A:F,5,FALSE)</f>
        <v>136.91</v>
      </c>
      <c r="L162" s="2">
        <v>8</v>
      </c>
      <c r="M162" s="2">
        <v>0.1</v>
      </c>
      <c r="N162" s="2">
        <f t="shared" si="6"/>
        <v>1095.28</v>
      </c>
      <c r="O162" s="2">
        <f t="shared" si="7"/>
        <v>985.75199999999995</v>
      </c>
      <c r="P162" s="2" t="s">
        <v>464</v>
      </c>
      <c r="Q162" s="2" t="s">
        <v>17</v>
      </c>
      <c r="R162" t="str">
        <f t="shared" si="8"/>
        <v/>
      </c>
    </row>
    <row r="163" spans="1:18" x14ac:dyDescent="0.3">
      <c r="A163" s="2" t="s">
        <v>491</v>
      </c>
      <c r="B163" s="5">
        <v>45512</v>
      </c>
      <c r="C163" s="2" t="s">
        <v>253</v>
      </c>
      <c r="D163" s="2" t="s">
        <v>1044</v>
      </c>
      <c r="E163" s="2" t="s">
        <v>20</v>
      </c>
      <c r="F163" s="2" t="str">
        <f>VLOOKUP(Orders!E162,Products!A:F,2,FALSE)</f>
        <v>Board Game</v>
      </c>
      <c r="G163" s="2" t="s">
        <v>21</v>
      </c>
      <c r="H163" s="2" t="str">
        <f>VLOOKUP(G163,Employees!A:E,2,FALSE)</f>
        <v>Karan Mehta</v>
      </c>
      <c r="I163" s="2" t="str">
        <f>VLOOKUP(E163,Products!A:F,3,FALSE)</f>
        <v>Home &amp; Kitchen</v>
      </c>
      <c r="J163" s="2" t="s">
        <v>35</v>
      </c>
      <c r="K163" s="2">
        <f>VLOOKUP(E163,Products!A:F,5,FALSE)</f>
        <v>3772.12</v>
      </c>
      <c r="L163" s="2">
        <v>9</v>
      </c>
      <c r="M163" s="2">
        <v>0</v>
      </c>
      <c r="N163" s="2">
        <f t="shared" si="6"/>
        <v>33949.08</v>
      </c>
      <c r="O163" s="2">
        <f t="shared" si="7"/>
        <v>33949.08</v>
      </c>
      <c r="P163" s="2" t="s">
        <v>217</v>
      </c>
      <c r="Q163" s="2" t="s">
        <v>24</v>
      </c>
      <c r="R163" t="str">
        <f t="shared" si="8"/>
        <v/>
      </c>
    </row>
    <row r="164" spans="1:18" x14ac:dyDescent="0.3">
      <c r="A164" s="2" t="s">
        <v>492</v>
      </c>
      <c r="B164" s="5">
        <v>45582</v>
      </c>
      <c r="C164" s="2" t="s">
        <v>120</v>
      </c>
      <c r="D164" s="2" t="s">
        <v>993</v>
      </c>
      <c r="E164" s="2" t="s">
        <v>249</v>
      </c>
      <c r="F164" s="2" t="str">
        <f>VLOOKUP(Orders!E163,Products!A:F,2,FALSE)</f>
        <v>LED Lamp</v>
      </c>
      <c r="G164" s="2" t="s">
        <v>82</v>
      </c>
      <c r="H164" s="2" t="str">
        <f>VLOOKUP(G164,Employees!A:E,2,FALSE)</f>
        <v>Priya Nair</v>
      </c>
      <c r="I164" s="2" t="str">
        <f>VLOOKUP(E164,Products!A:F,3,FALSE)</f>
        <v>Clothing</v>
      </c>
      <c r="J164" s="2" t="s">
        <v>22</v>
      </c>
      <c r="K164" s="2">
        <f>VLOOKUP(E164,Products!A:F,5,FALSE)</f>
        <v>1309.58</v>
      </c>
      <c r="L164" s="2">
        <v>10</v>
      </c>
      <c r="M164" s="2">
        <v>0.05</v>
      </c>
      <c r="N164" s="2">
        <f t="shared" si="6"/>
        <v>13095.8</v>
      </c>
      <c r="O164" s="2">
        <f t="shared" si="7"/>
        <v>12441.009999999998</v>
      </c>
      <c r="P164" s="2" t="s">
        <v>335</v>
      </c>
      <c r="Q164" s="2" t="s">
        <v>24</v>
      </c>
      <c r="R164" t="str">
        <f t="shared" si="8"/>
        <v/>
      </c>
    </row>
    <row r="165" spans="1:18" x14ac:dyDescent="0.3">
      <c r="A165" s="2" t="s">
        <v>493</v>
      </c>
      <c r="B165" s="5">
        <v>45517</v>
      </c>
      <c r="C165" s="2" t="s">
        <v>19</v>
      </c>
      <c r="D165" s="2" t="s">
        <v>1104</v>
      </c>
      <c r="E165" s="2" t="s">
        <v>249</v>
      </c>
      <c r="F165" s="2" t="str">
        <f>VLOOKUP(Orders!E164,Products!A:F,2,FALSE)</f>
        <v>Sports Jacket</v>
      </c>
      <c r="G165" s="2" t="s">
        <v>21</v>
      </c>
      <c r="H165" s="2" t="str">
        <f>VLOOKUP(G165,Employees!A:E,2,FALSE)</f>
        <v>Karan Mehta</v>
      </c>
      <c r="I165" s="2" t="str">
        <f>VLOOKUP(E165,Products!A:F,3,FALSE)</f>
        <v>Clothing</v>
      </c>
      <c r="J165" s="2" t="s">
        <v>73</v>
      </c>
      <c r="K165" s="2">
        <f>VLOOKUP(E165,Products!A:F,5,FALSE)</f>
        <v>1309.58</v>
      </c>
      <c r="L165" s="2">
        <v>7</v>
      </c>
      <c r="M165" s="2">
        <v>0.1</v>
      </c>
      <c r="N165" s="2">
        <f t="shared" si="6"/>
        <v>9167.06</v>
      </c>
      <c r="O165" s="2">
        <f t="shared" si="7"/>
        <v>8250.3539999999994</v>
      </c>
      <c r="P165" s="2" t="s">
        <v>217</v>
      </c>
      <c r="Q165" s="2" t="s">
        <v>60</v>
      </c>
      <c r="R165" t="str">
        <f t="shared" si="8"/>
        <v/>
      </c>
    </row>
    <row r="166" spans="1:18" x14ac:dyDescent="0.3">
      <c r="A166" s="2" t="s">
        <v>495</v>
      </c>
      <c r="B166" s="5">
        <v>45600</v>
      </c>
      <c r="C166" s="2" t="s">
        <v>102</v>
      </c>
      <c r="D166" s="2" t="s">
        <v>1111</v>
      </c>
      <c r="E166" s="2" t="s">
        <v>254</v>
      </c>
      <c r="F166" s="2" t="str">
        <f>VLOOKUP(Orders!E165,Products!A:F,2,FALSE)</f>
        <v>Sports Jacket</v>
      </c>
      <c r="G166" s="2" t="s">
        <v>45</v>
      </c>
      <c r="H166" s="2" t="str">
        <f>VLOOKUP(G166,Employees!A:E,2,FALSE)</f>
        <v>Rajesh Iyer</v>
      </c>
      <c r="I166" s="2" t="str">
        <f>VLOOKUP(E166,Products!A:F,3,FALSE)</f>
        <v>Books</v>
      </c>
      <c r="J166" s="2" t="s">
        <v>22</v>
      </c>
      <c r="K166" s="2">
        <f>VLOOKUP(E166,Products!A:F,5,FALSE)</f>
        <v>605.26</v>
      </c>
      <c r="L166" s="2">
        <v>4</v>
      </c>
      <c r="M166" s="2">
        <v>0.2</v>
      </c>
      <c r="N166" s="2">
        <f t="shared" si="6"/>
        <v>2421.04</v>
      </c>
      <c r="O166" s="2">
        <f t="shared" si="7"/>
        <v>1936.8320000000001</v>
      </c>
      <c r="P166" s="2" t="s">
        <v>252</v>
      </c>
      <c r="Q166" s="2" t="s">
        <v>17</v>
      </c>
      <c r="R166" t="str">
        <f t="shared" si="8"/>
        <v/>
      </c>
    </row>
    <row r="167" spans="1:18" x14ac:dyDescent="0.3">
      <c r="A167" s="2" t="s">
        <v>497</v>
      </c>
      <c r="B167" s="5">
        <v>45627</v>
      </c>
      <c r="C167" s="2" t="s">
        <v>89</v>
      </c>
      <c r="D167" s="2" t="s">
        <v>1059</v>
      </c>
      <c r="E167" s="2" t="s">
        <v>400</v>
      </c>
      <c r="F167" s="2" t="str">
        <f>VLOOKUP(Orders!E166,Products!A:F,2,FALSE)</f>
        <v>Self-Help Book</v>
      </c>
      <c r="G167" s="2" t="s">
        <v>14</v>
      </c>
      <c r="H167" s="2" t="str">
        <f>VLOOKUP(G167,Employees!A:E,2,FALSE)</f>
        <v>Fatima Sheikh</v>
      </c>
      <c r="I167" s="2" t="str">
        <f>VLOOKUP(E167,Products!A:F,3,FALSE)</f>
        <v>Toys</v>
      </c>
      <c r="J167" s="2" t="s">
        <v>35</v>
      </c>
      <c r="K167" s="2">
        <f>VLOOKUP(E167,Products!A:F,5,FALSE)</f>
        <v>588.75</v>
      </c>
      <c r="L167" s="2">
        <v>2</v>
      </c>
      <c r="M167" s="2">
        <v>0</v>
      </c>
      <c r="N167" s="2">
        <f t="shared" si="6"/>
        <v>1177.5</v>
      </c>
      <c r="O167" s="2">
        <f t="shared" si="7"/>
        <v>1177.5</v>
      </c>
      <c r="P167" s="2" t="s">
        <v>57</v>
      </c>
      <c r="Q167" s="2" t="s">
        <v>60</v>
      </c>
      <c r="R167" t="str">
        <f t="shared" si="8"/>
        <v/>
      </c>
    </row>
    <row r="168" spans="1:18" x14ac:dyDescent="0.3">
      <c r="A168" s="2" t="s">
        <v>498</v>
      </c>
      <c r="B168" s="5">
        <v>45424</v>
      </c>
      <c r="C168" s="2" t="s">
        <v>253</v>
      </c>
      <c r="D168" s="2" t="s">
        <v>1044</v>
      </c>
      <c r="E168" s="2" t="s">
        <v>121</v>
      </c>
      <c r="F168" s="2" t="str">
        <f>VLOOKUP(Orders!E167,Products!A:F,2,FALSE)</f>
        <v>Building Blocks</v>
      </c>
      <c r="G168" s="2" t="s">
        <v>82</v>
      </c>
      <c r="H168" s="2" t="str">
        <f>VLOOKUP(G168,Employees!A:E,2,FALSE)</f>
        <v>Priya Nair</v>
      </c>
      <c r="I168" s="2" t="str">
        <f>VLOOKUP(E168,Products!A:F,3,FALSE)</f>
        <v>Beauty</v>
      </c>
      <c r="J168" s="2" t="s">
        <v>22</v>
      </c>
      <c r="K168" s="2">
        <f>VLOOKUP(E168,Products!A:F,5,FALSE)</f>
        <v>3414.07</v>
      </c>
      <c r="L168" s="2">
        <v>7</v>
      </c>
      <c r="M168" s="2">
        <v>0.1</v>
      </c>
      <c r="N168" s="2">
        <f t="shared" si="6"/>
        <v>23898.49</v>
      </c>
      <c r="O168" s="2">
        <f t="shared" si="7"/>
        <v>21508.641000000003</v>
      </c>
      <c r="P168" s="2" t="s">
        <v>499</v>
      </c>
      <c r="Q168" s="2" t="s">
        <v>24</v>
      </c>
      <c r="R168" t="str">
        <f t="shared" si="8"/>
        <v/>
      </c>
    </row>
    <row r="169" spans="1:18" x14ac:dyDescent="0.3">
      <c r="A169" s="2" t="s">
        <v>500</v>
      </c>
      <c r="B169" s="5">
        <v>45698</v>
      </c>
      <c r="C169" s="2" t="s">
        <v>502</v>
      </c>
      <c r="D169" s="2" t="s">
        <v>1138</v>
      </c>
      <c r="E169" s="2" t="s">
        <v>377</v>
      </c>
      <c r="F169" s="2" t="str">
        <f>VLOOKUP(Orders!E168,Products!A:F,2,FALSE)</f>
        <v>Hair Serum</v>
      </c>
      <c r="G169" s="2" t="s">
        <v>45</v>
      </c>
      <c r="H169" s="2" t="str">
        <f>VLOOKUP(G169,Employees!A:E,2,FALSE)</f>
        <v>Rajesh Iyer</v>
      </c>
      <c r="I169" s="2" t="str">
        <f>VLOOKUP(E169,Products!A:F,3,FALSE)</f>
        <v>Sports</v>
      </c>
      <c r="J169" s="2" t="s">
        <v>35</v>
      </c>
      <c r="K169" s="2">
        <f>VLOOKUP(E169,Products!A:F,5,FALSE)</f>
        <v>4703.04</v>
      </c>
      <c r="L169" s="2">
        <v>1</v>
      </c>
      <c r="M169" s="2">
        <v>0.05</v>
      </c>
      <c r="N169" s="2">
        <f t="shared" si="6"/>
        <v>4703.04</v>
      </c>
      <c r="O169" s="2">
        <f t="shared" si="7"/>
        <v>4467.8879999999999</v>
      </c>
      <c r="P169" s="2" t="s">
        <v>355</v>
      </c>
      <c r="Q169" s="2" t="s">
        <v>24</v>
      </c>
      <c r="R169" t="str">
        <f t="shared" si="8"/>
        <v/>
      </c>
    </row>
    <row r="170" spans="1:18" x14ac:dyDescent="0.3">
      <c r="A170" s="2" t="s">
        <v>503</v>
      </c>
      <c r="B170" s="5">
        <v>45612</v>
      </c>
      <c r="C170" s="2" t="s">
        <v>157</v>
      </c>
      <c r="D170" s="2" t="s">
        <v>1117</v>
      </c>
      <c r="E170" s="2" t="s">
        <v>172</v>
      </c>
      <c r="F170" s="2" t="str">
        <f>VLOOKUP(Orders!E169,Products!A:F,2,FALSE)</f>
        <v>Yoga Mat</v>
      </c>
      <c r="G170" s="2" t="s">
        <v>45</v>
      </c>
      <c r="H170" s="2" t="str">
        <f>VLOOKUP(G170,Employees!A:E,2,FALSE)</f>
        <v>Rajesh Iyer</v>
      </c>
      <c r="I170" s="2" t="str">
        <f>VLOOKUP(E170,Products!A:F,3,FALSE)</f>
        <v>Home &amp; Kitchen</v>
      </c>
      <c r="J170" s="2" t="s">
        <v>35</v>
      </c>
      <c r="K170" s="2">
        <f>VLOOKUP(E170,Products!A:F,5,FALSE)</f>
        <v>2849.53</v>
      </c>
      <c r="L170" s="2">
        <v>10</v>
      </c>
      <c r="M170" s="2">
        <v>0.05</v>
      </c>
      <c r="N170" s="2">
        <f t="shared" si="6"/>
        <v>28495.300000000003</v>
      </c>
      <c r="O170" s="2">
        <f t="shared" si="7"/>
        <v>27070.535</v>
      </c>
      <c r="P170" s="2" t="s">
        <v>505</v>
      </c>
      <c r="Q170" s="2" t="s">
        <v>30</v>
      </c>
      <c r="R170" t="str">
        <f t="shared" si="8"/>
        <v/>
      </c>
    </row>
    <row r="171" spans="1:18" x14ac:dyDescent="0.3">
      <c r="A171" s="2" t="s">
        <v>506</v>
      </c>
      <c r="B171" s="5">
        <v>45588</v>
      </c>
      <c r="C171" s="2" t="s">
        <v>12</v>
      </c>
      <c r="D171" s="2" t="s">
        <v>1103</v>
      </c>
      <c r="E171" s="2" t="s">
        <v>300</v>
      </c>
      <c r="F171" s="2" t="str">
        <f>VLOOKUP(Orders!E170,Products!A:F,2,FALSE)</f>
        <v>Ceramic Mug Set</v>
      </c>
      <c r="G171" s="2" t="s">
        <v>82</v>
      </c>
      <c r="H171" s="2" t="str">
        <f>VLOOKUP(G171,Employees!A:E,2,FALSE)</f>
        <v>Priya Nair</v>
      </c>
      <c r="I171" s="2" t="str">
        <f>VLOOKUP(E171,Products!A:F,3,FALSE)</f>
        <v>Home &amp; Kitchen</v>
      </c>
      <c r="J171" s="2" t="s">
        <v>22</v>
      </c>
      <c r="K171" s="2">
        <f>VLOOKUP(E171,Products!A:F,5,FALSE)</f>
        <v>4174.32</v>
      </c>
      <c r="L171" s="2">
        <v>2</v>
      </c>
      <c r="M171" s="2">
        <v>0.05</v>
      </c>
      <c r="N171" s="2">
        <f t="shared" si="6"/>
        <v>8348.64</v>
      </c>
      <c r="O171" s="2">
        <f t="shared" si="7"/>
        <v>7931.2079999999987</v>
      </c>
      <c r="P171" s="2" t="s">
        <v>507</v>
      </c>
      <c r="Q171" s="2" t="s">
        <v>60</v>
      </c>
      <c r="R171" t="str">
        <f t="shared" si="8"/>
        <v/>
      </c>
    </row>
    <row r="172" spans="1:18" x14ac:dyDescent="0.3">
      <c r="A172" s="2" t="s">
        <v>508</v>
      </c>
      <c r="B172" s="5">
        <v>45763</v>
      </c>
      <c r="C172" s="2" t="s">
        <v>311</v>
      </c>
      <c r="D172" s="2" t="s">
        <v>1132</v>
      </c>
      <c r="E172" s="2" t="s">
        <v>161</v>
      </c>
      <c r="F172" s="2" t="str">
        <f>VLOOKUP(Orders!E171,Products!A:F,2,FALSE)</f>
        <v>Cushion Cover</v>
      </c>
      <c r="G172" s="2" t="s">
        <v>82</v>
      </c>
      <c r="H172" s="2" t="str">
        <f>VLOOKUP(G172,Employees!A:E,2,FALSE)</f>
        <v>Priya Nair</v>
      </c>
      <c r="I172" s="2" t="str">
        <f>VLOOKUP(E172,Products!A:F,3,FALSE)</f>
        <v>Beauty</v>
      </c>
      <c r="J172" s="2" t="s">
        <v>73</v>
      </c>
      <c r="K172" s="2">
        <f>VLOOKUP(E172,Products!A:F,5,FALSE)</f>
        <v>1513.99</v>
      </c>
      <c r="L172" s="2">
        <v>6</v>
      </c>
      <c r="M172" s="2">
        <v>0</v>
      </c>
      <c r="N172" s="2">
        <f t="shared" si="6"/>
        <v>9083.94</v>
      </c>
      <c r="O172" s="2">
        <f t="shared" si="7"/>
        <v>9083.94</v>
      </c>
      <c r="P172" s="2" t="s">
        <v>510</v>
      </c>
      <c r="Q172" s="2" t="s">
        <v>60</v>
      </c>
      <c r="R172" t="str">
        <f t="shared" si="8"/>
        <v/>
      </c>
    </row>
    <row r="173" spans="1:18" x14ac:dyDescent="0.3">
      <c r="A173" s="2" t="s">
        <v>511</v>
      </c>
      <c r="B173" s="5">
        <v>45738</v>
      </c>
      <c r="C173" s="2" t="s">
        <v>144</v>
      </c>
      <c r="D173" s="2" t="s">
        <v>1116</v>
      </c>
      <c r="E173" s="2" t="s">
        <v>161</v>
      </c>
      <c r="F173" s="2" t="str">
        <f>VLOOKUP(Orders!E172,Products!A:F,2,FALSE)</f>
        <v>Lipstick</v>
      </c>
      <c r="G173" s="2" t="s">
        <v>21</v>
      </c>
      <c r="H173" s="2" t="str">
        <f>VLOOKUP(G173,Employees!A:E,2,FALSE)</f>
        <v>Karan Mehta</v>
      </c>
      <c r="I173" s="2" t="str">
        <f>VLOOKUP(E173,Products!A:F,3,FALSE)</f>
        <v>Beauty</v>
      </c>
      <c r="J173" s="2" t="s">
        <v>73</v>
      </c>
      <c r="K173" s="2">
        <f>VLOOKUP(E173,Products!A:F,5,FALSE)</f>
        <v>1513.99</v>
      </c>
      <c r="L173" s="2">
        <v>10</v>
      </c>
      <c r="M173" s="2">
        <v>0.05</v>
      </c>
      <c r="N173" s="2">
        <f t="shared" si="6"/>
        <v>15139.9</v>
      </c>
      <c r="O173" s="2">
        <f t="shared" si="7"/>
        <v>14382.904999999999</v>
      </c>
      <c r="P173" s="2" t="s">
        <v>16</v>
      </c>
      <c r="Q173" s="2" t="s">
        <v>30</v>
      </c>
      <c r="R173" t="str">
        <f t="shared" si="8"/>
        <v/>
      </c>
    </row>
    <row r="174" spans="1:18" x14ac:dyDescent="0.3">
      <c r="A174" s="2" t="s">
        <v>512</v>
      </c>
      <c r="B174" s="5">
        <v>45609</v>
      </c>
      <c r="C174" s="2" t="s">
        <v>157</v>
      </c>
      <c r="D174" s="2" t="s">
        <v>1117</v>
      </c>
      <c r="E174" s="2" t="s">
        <v>81</v>
      </c>
      <c r="F174" s="2" t="str">
        <f>VLOOKUP(Orders!E173,Products!A:F,2,FALSE)</f>
        <v>Lipstick</v>
      </c>
      <c r="G174" s="2" t="s">
        <v>14</v>
      </c>
      <c r="H174" s="2" t="str">
        <f>VLOOKUP(G174,Employees!A:E,2,FALSE)</f>
        <v>Fatima Sheikh</v>
      </c>
      <c r="I174" s="2" t="str">
        <f>VLOOKUP(E174,Products!A:F,3,FALSE)</f>
        <v>Electronics</v>
      </c>
      <c r="J174" s="2" t="s">
        <v>15</v>
      </c>
      <c r="K174" s="2">
        <f>VLOOKUP(E174,Products!A:F,5,FALSE)</f>
        <v>1044.7</v>
      </c>
      <c r="L174" s="2">
        <v>6</v>
      </c>
      <c r="M174" s="2">
        <v>0</v>
      </c>
      <c r="N174" s="2">
        <f t="shared" si="6"/>
        <v>6268.2000000000007</v>
      </c>
      <c r="O174" s="2">
        <f t="shared" si="7"/>
        <v>6268.2000000000007</v>
      </c>
      <c r="P174" s="2" t="s">
        <v>513</v>
      </c>
      <c r="Q174" s="2" t="s">
        <v>24</v>
      </c>
      <c r="R174" t="str">
        <f t="shared" si="8"/>
        <v/>
      </c>
    </row>
    <row r="175" spans="1:18" x14ac:dyDescent="0.3">
      <c r="A175" s="2" t="s">
        <v>514</v>
      </c>
      <c r="B175" s="5">
        <v>45814</v>
      </c>
      <c r="C175" s="2" t="s">
        <v>460</v>
      </c>
      <c r="D175" s="2" t="s">
        <v>1136</v>
      </c>
      <c r="E175" s="2" t="s">
        <v>90</v>
      </c>
      <c r="F175" s="2" t="str">
        <f>VLOOKUP(Orders!E174,Products!A:F,2,FALSE)</f>
        <v>Earbuds</v>
      </c>
      <c r="G175" s="2" t="s">
        <v>14</v>
      </c>
      <c r="H175" s="2" t="str">
        <f>VLOOKUP(G175,Employees!A:E,2,FALSE)</f>
        <v>Fatima Sheikh</v>
      </c>
      <c r="I175" s="2" t="str">
        <f>VLOOKUP(E175,Products!A:F,3,FALSE)</f>
        <v>Beauty</v>
      </c>
      <c r="J175" s="2" t="s">
        <v>15</v>
      </c>
      <c r="K175" s="2">
        <f>VLOOKUP(E175,Products!A:F,5,FALSE)</f>
        <v>928.72</v>
      </c>
      <c r="L175" s="2">
        <v>2</v>
      </c>
      <c r="M175" s="2">
        <v>0.1</v>
      </c>
      <c r="N175" s="2">
        <f t="shared" si="6"/>
        <v>1857.44</v>
      </c>
      <c r="O175" s="2">
        <f t="shared" si="7"/>
        <v>1671.6960000000001</v>
      </c>
      <c r="P175" s="2" t="s">
        <v>515</v>
      </c>
      <c r="Q175" s="2" t="s">
        <v>17</v>
      </c>
      <c r="R175" t="str">
        <f t="shared" si="8"/>
        <v/>
      </c>
    </row>
    <row r="176" spans="1:18" x14ac:dyDescent="0.3">
      <c r="A176" s="2" t="s">
        <v>516</v>
      </c>
      <c r="B176" s="5">
        <v>45651</v>
      </c>
      <c r="C176" s="2" t="s">
        <v>311</v>
      </c>
      <c r="D176" s="2" t="s">
        <v>1132</v>
      </c>
      <c r="E176" s="2" t="s">
        <v>40</v>
      </c>
      <c r="F176" s="2" t="str">
        <f>VLOOKUP(Orders!E175,Products!A:F,2,FALSE)</f>
        <v>Face Wash</v>
      </c>
      <c r="G176" s="2" t="s">
        <v>34</v>
      </c>
      <c r="H176" s="2" t="str">
        <f>VLOOKUP(G176,Employees!A:E,2,FALSE)</f>
        <v>Rohit Sinha</v>
      </c>
      <c r="I176" s="2" t="str">
        <f>VLOOKUP(E176,Products!A:F,3,FALSE)</f>
        <v>Toys</v>
      </c>
      <c r="J176" s="2" t="s">
        <v>15</v>
      </c>
      <c r="K176" s="2">
        <f>VLOOKUP(E176,Products!A:F,5,FALSE)</f>
        <v>136.91</v>
      </c>
      <c r="L176" s="2">
        <v>3</v>
      </c>
      <c r="M176" s="2">
        <v>0</v>
      </c>
      <c r="N176" s="2">
        <f t="shared" si="6"/>
        <v>410.73</v>
      </c>
      <c r="O176" s="2">
        <f t="shared" si="7"/>
        <v>410.73</v>
      </c>
      <c r="P176" s="2" t="s">
        <v>517</v>
      </c>
      <c r="Q176" s="2" t="s">
        <v>17</v>
      </c>
      <c r="R176" t="str">
        <f t="shared" si="8"/>
        <v/>
      </c>
    </row>
    <row r="177" spans="1:18" x14ac:dyDescent="0.3">
      <c r="A177" s="2" t="s">
        <v>518</v>
      </c>
      <c r="B177" s="5">
        <v>45494</v>
      </c>
      <c r="C177" s="2" t="s">
        <v>168</v>
      </c>
      <c r="D177" s="2" t="s">
        <v>1119</v>
      </c>
      <c r="E177" s="2" t="s">
        <v>33</v>
      </c>
      <c r="F177" s="2" t="str">
        <f>VLOOKUP(Orders!E176,Products!A:F,2,FALSE)</f>
        <v>Board Game</v>
      </c>
      <c r="G177" s="2" t="s">
        <v>21</v>
      </c>
      <c r="H177" s="2" t="str">
        <f>VLOOKUP(G177,Employees!A:E,2,FALSE)</f>
        <v>Karan Mehta</v>
      </c>
      <c r="I177" s="2" t="str">
        <f>VLOOKUP(E177,Products!A:F,3,FALSE)</f>
        <v>Grocery</v>
      </c>
      <c r="J177" s="2" t="s">
        <v>73</v>
      </c>
      <c r="K177" s="2">
        <f>VLOOKUP(E177,Products!A:F,5,FALSE)</f>
        <v>620.89</v>
      </c>
      <c r="L177" s="2">
        <v>3</v>
      </c>
      <c r="M177" s="2">
        <v>0.1</v>
      </c>
      <c r="N177" s="2">
        <f t="shared" si="6"/>
        <v>1862.67</v>
      </c>
      <c r="O177" s="2">
        <f t="shared" si="7"/>
        <v>1676.403</v>
      </c>
      <c r="P177" s="2" t="s">
        <v>520</v>
      </c>
      <c r="Q177" s="2" t="s">
        <v>60</v>
      </c>
      <c r="R177" t="str">
        <f t="shared" si="8"/>
        <v/>
      </c>
    </row>
    <row r="178" spans="1:18" x14ac:dyDescent="0.3">
      <c r="A178" s="2" t="s">
        <v>521</v>
      </c>
      <c r="B178" s="5">
        <v>45797</v>
      </c>
      <c r="C178" s="2" t="s">
        <v>291</v>
      </c>
      <c r="D178" s="2" t="s">
        <v>1131</v>
      </c>
      <c r="E178" s="2" t="s">
        <v>130</v>
      </c>
      <c r="F178" s="2" t="str">
        <f>VLOOKUP(Orders!E177,Products!A:F,2,FALSE)</f>
        <v>Cooking Oil 1L</v>
      </c>
      <c r="G178" s="2" t="s">
        <v>82</v>
      </c>
      <c r="H178" s="2" t="str">
        <f>VLOOKUP(G178,Employees!A:E,2,FALSE)</f>
        <v>Priya Nair</v>
      </c>
      <c r="I178" s="2" t="str">
        <f>VLOOKUP(E178,Products!A:F,3,FALSE)</f>
        <v>Sports</v>
      </c>
      <c r="J178" s="2" t="s">
        <v>35</v>
      </c>
      <c r="K178" s="2">
        <f>VLOOKUP(E178,Products!A:F,5,FALSE)</f>
        <v>3128.51</v>
      </c>
      <c r="L178" s="2">
        <v>8</v>
      </c>
      <c r="M178" s="2">
        <v>0.2</v>
      </c>
      <c r="N178" s="2">
        <f t="shared" si="6"/>
        <v>25028.080000000002</v>
      </c>
      <c r="O178" s="2">
        <f t="shared" si="7"/>
        <v>20022.464000000004</v>
      </c>
      <c r="P178" s="2" t="s">
        <v>444</v>
      </c>
      <c r="Q178" s="2" t="s">
        <v>42</v>
      </c>
      <c r="R178" t="str">
        <f t="shared" si="8"/>
        <v/>
      </c>
    </row>
    <row r="179" spans="1:18" x14ac:dyDescent="0.3">
      <c r="A179" s="2" t="s">
        <v>522</v>
      </c>
      <c r="B179" s="5">
        <v>45622</v>
      </c>
      <c r="C179" s="2" t="s">
        <v>460</v>
      </c>
      <c r="D179" s="2" t="s">
        <v>1136</v>
      </c>
      <c r="E179" s="2" t="s">
        <v>50</v>
      </c>
      <c r="F179" s="2" t="str">
        <f>VLOOKUP(Orders!E178,Products!A:F,2,FALSE)</f>
        <v>Cricket Bat</v>
      </c>
      <c r="G179" s="2" t="s">
        <v>82</v>
      </c>
      <c r="H179" s="2" t="str">
        <f>VLOOKUP(G179,Employees!A:E,2,FALSE)</f>
        <v>Priya Nair</v>
      </c>
      <c r="I179" s="2" t="str">
        <f>VLOOKUP(E179,Products!A:F,3,FALSE)</f>
        <v>Grocery</v>
      </c>
      <c r="J179" s="2" t="s">
        <v>73</v>
      </c>
      <c r="K179" s="2">
        <f>VLOOKUP(E179,Products!A:F,5,FALSE)</f>
        <v>2041.83</v>
      </c>
      <c r="L179" s="2">
        <v>6</v>
      </c>
      <c r="M179" s="2">
        <v>0</v>
      </c>
      <c r="N179" s="2">
        <f t="shared" si="6"/>
        <v>12250.98</v>
      </c>
      <c r="O179" s="2">
        <f t="shared" si="7"/>
        <v>12250.98</v>
      </c>
      <c r="P179" s="2" t="s">
        <v>222</v>
      </c>
      <c r="Q179" s="2" t="s">
        <v>30</v>
      </c>
      <c r="R179" t="str">
        <f t="shared" si="8"/>
        <v/>
      </c>
    </row>
    <row r="180" spans="1:18" x14ac:dyDescent="0.3">
      <c r="A180" s="2" t="s">
        <v>523</v>
      </c>
      <c r="B180" s="5">
        <v>45744</v>
      </c>
      <c r="C180" s="2" t="s">
        <v>462</v>
      </c>
      <c r="D180" s="2" t="s">
        <v>1137</v>
      </c>
      <c r="E180" s="2" t="s">
        <v>145</v>
      </c>
      <c r="F180" s="2" t="str">
        <f>VLOOKUP(Orders!E179,Products!A:F,2,FALSE)</f>
        <v>Spice Combo</v>
      </c>
      <c r="G180" s="2" t="s">
        <v>14</v>
      </c>
      <c r="H180" s="2" t="str">
        <f>VLOOKUP(G180,Employees!A:E,2,FALSE)</f>
        <v>Fatima Sheikh</v>
      </c>
      <c r="I180" s="2" t="str">
        <f>VLOOKUP(E180,Products!A:F,3,FALSE)</f>
        <v>Home &amp; Kitchen</v>
      </c>
      <c r="J180" s="2" t="s">
        <v>73</v>
      </c>
      <c r="K180" s="2">
        <f>VLOOKUP(E180,Products!A:F,5,FALSE)</f>
        <v>2612.71</v>
      </c>
      <c r="L180" s="2">
        <v>5</v>
      </c>
      <c r="M180" s="2">
        <v>0.2</v>
      </c>
      <c r="N180" s="2">
        <f t="shared" si="6"/>
        <v>13063.55</v>
      </c>
      <c r="O180" s="2">
        <f t="shared" si="7"/>
        <v>10450.84</v>
      </c>
      <c r="P180" s="2" t="s">
        <v>337</v>
      </c>
      <c r="Q180" s="2" t="s">
        <v>17</v>
      </c>
      <c r="R180" t="str">
        <f t="shared" si="8"/>
        <v/>
      </c>
    </row>
    <row r="181" spans="1:18" x14ac:dyDescent="0.3">
      <c r="A181" s="2" t="s">
        <v>524</v>
      </c>
      <c r="B181" s="5">
        <v>45811</v>
      </c>
      <c r="C181" s="2" t="s">
        <v>168</v>
      </c>
      <c r="D181" s="2" t="s">
        <v>1119</v>
      </c>
      <c r="E181" s="2" t="s">
        <v>99</v>
      </c>
      <c r="F181" s="2" t="str">
        <f>VLOOKUP(Orders!E180,Products!A:F,2,FALSE)</f>
        <v>Storage Box</v>
      </c>
      <c r="G181" s="2" t="s">
        <v>21</v>
      </c>
      <c r="H181" s="2" t="str">
        <f>VLOOKUP(G181,Employees!A:E,2,FALSE)</f>
        <v>Karan Mehta</v>
      </c>
      <c r="I181" s="2" t="str">
        <f>VLOOKUP(E181,Products!A:F,3,FALSE)</f>
        <v>Electronics</v>
      </c>
      <c r="J181" s="2" t="s">
        <v>35</v>
      </c>
      <c r="K181" s="2">
        <f>VLOOKUP(E181,Products!A:F,5,FALSE)</f>
        <v>2352.63</v>
      </c>
      <c r="L181" s="2">
        <v>2</v>
      </c>
      <c r="M181" s="2">
        <v>0</v>
      </c>
      <c r="N181" s="2">
        <f t="shared" si="6"/>
        <v>4705.26</v>
      </c>
      <c r="O181" s="2">
        <f t="shared" si="7"/>
        <v>4705.26</v>
      </c>
      <c r="P181" s="2" t="s">
        <v>526</v>
      </c>
      <c r="Q181" s="2" t="s">
        <v>24</v>
      </c>
      <c r="R181" t="str">
        <f t="shared" si="8"/>
        <v/>
      </c>
    </row>
    <row r="182" spans="1:18" x14ac:dyDescent="0.3">
      <c r="A182" s="2" t="s">
        <v>527</v>
      </c>
      <c r="B182" s="5">
        <v>45350</v>
      </c>
      <c r="C182" s="2" t="s">
        <v>105</v>
      </c>
      <c r="D182" s="2" t="s">
        <v>941</v>
      </c>
      <c r="E182" s="2" t="s">
        <v>254</v>
      </c>
      <c r="F182" s="2" t="str">
        <f>VLOOKUP(Orders!E181,Products!A:F,2,FALSE)</f>
        <v>Wireless Mouse</v>
      </c>
      <c r="G182" s="2" t="s">
        <v>34</v>
      </c>
      <c r="H182" s="2" t="str">
        <f>VLOOKUP(G182,Employees!A:E,2,FALSE)</f>
        <v>Rohit Sinha</v>
      </c>
      <c r="I182" s="2" t="str">
        <f>VLOOKUP(E182,Products!A:F,3,FALSE)</f>
        <v>Books</v>
      </c>
      <c r="J182" s="2" t="s">
        <v>73</v>
      </c>
      <c r="K182" s="2">
        <f>VLOOKUP(E182,Products!A:F,5,FALSE)</f>
        <v>605.26</v>
      </c>
      <c r="L182" s="2">
        <v>6</v>
      </c>
      <c r="M182" s="2">
        <v>0.2</v>
      </c>
      <c r="N182" s="2">
        <f t="shared" si="6"/>
        <v>3631.56</v>
      </c>
      <c r="O182" s="2">
        <f t="shared" si="7"/>
        <v>2905.248</v>
      </c>
      <c r="P182" s="2" t="s">
        <v>114</v>
      </c>
      <c r="Q182" s="2" t="s">
        <v>24</v>
      </c>
      <c r="R182" t="str">
        <f t="shared" si="8"/>
        <v/>
      </c>
    </row>
    <row r="183" spans="1:18" x14ac:dyDescent="0.3">
      <c r="A183" s="2" t="s">
        <v>529</v>
      </c>
      <c r="B183" s="5">
        <v>45811</v>
      </c>
      <c r="C183" s="2" t="s">
        <v>476</v>
      </c>
      <c r="D183" s="2" t="s">
        <v>983</v>
      </c>
      <c r="E183" s="2" t="s">
        <v>345</v>
      </c>
      <c r="F183" s="2" t="str">
        <f>VLOOKUP(Orders!E182,Products!A:F,2,FALSE)</f>
        <v>Self-Help Book</v>
      </c>
      <c r="G183" s="2" t="s">
        <v>34</v>
      </c>
      <c r="H183" s="2" t="str">
        <f>VLOOKUP(G183,Employees!A:E,2,FALSE)</f>
        <v>Rohit Sinha</v>
      </c>
      <c r="I183" s="2" t="str">
        <f>VLOOKUP(E183,Products!A:F,3,FALSE)</f>
        <v>Toys</v>
      </c>
      <c r="J183" s="2" t="s">
        <v>73</v>
      </c>
      <c r="K183" s="2">
        <f>VLOOKUP(E183,Products!A:F,5,FALSE)</f>
        <v>1212.79</v>
      </c>
      <c r="L183" s="2">
        <v>7</v>
      </c>
      <c r="M183" s="2">
        <v>0.05</v>
      </c>
      <c r="N183" s="2">
        <f t="shared" si="6"/>
        <v>8489.5299999999988</v>
      </c>
      <c r="O183" s="2">
        <f t="shared" si="7"/>
        <v>8065.0534999999982</v>
      </c>
      <c r="P183" s="2" t="s">
        <v>530</v>
      </c>
      <c r="Q183" s="2" t="s">
        <v>30</v>
      </c>
      <c r="R183" t="str">
        <f t="shared" si="8"/>
        <v/>
      </c>
    </row>
    <row r="184" spans="1:18" x14ac:dyDescent="0.3">
      <c r="A184" s="2" t="s">
        <v>531</v>
      </c>
      <c r="B184" s="5">
        <v>45484</v>
      </c>
      <c r="C184" s="2" t="s">
        <v>234</v>
      </c>
      <c r="D184" s="2" t="s">
        <v>1127</v>
      </c>
      <c r="E184" s="2" t="s">
        <v>164</v>
      </c>
      <c r="F184" s="2" t="str">
        <f>VLOOKUP(Orders!E183,Products!A:F,2,FALSE)</f>
        <v>Soft Toy</v>
      </c>
      <c r="G184" s="2" t="s">
        <v>45</v>
      </c>
      <c r="H184" s="2" t="str">
        <f>VLOOKUP(G184,Employees!A:E,2,FALSE)</f>
        <v>Rajesh Iyer</v>
      </c>
      <c r="I184" s="2" t="str">
        <f>VLOOKUP(E184,Products!A:F,3,FALSE)</f>
        <v>Books</v>
      </c>
      <c r="J184" s="2" t="s">
        <v>15</v>
      </c>
      <c r="K184" s="2">
        <f>VLOOKUP(E184,Products!A:F,5,FALSE)</f>
        <v>2489.91</v>
      </c>
      <c r="L184" s="2">
        <v>6</v>
      </c>
      <c r="M184" s="2">
        <v>0.1</v>
      </c>
      <c r="N184" s="2">
        <f t="shared" si="6"/>
        <v>14939.46</v>
      </c>
      <c r="O184" s="2">
        <f t="shared" si="7"/>
        <v>13445.513999999999</v>
      </c>
      <c r="P184" s="2" t="s">
        <v>532</v>
      </c>
      <c r="Q184" s="2" t="s">
        <v>24</v>
      </c>
      <c r="R184" t="str">
        <f t="shared" si="8"/>
        <v/>
      </c>
    </row>
    <row r="185" spans="1:18" x14ac:dyDescent="0.3">
      <c r="A185" s="2" t="s">
        <v>533</v>
      </c>
      <c r="B185" s="5">
        <v>45753</v>
      </c>
      <c r="C185" s="2" t="s">
        <v>171</v>
      </c>
      <c r="D185" s="2" t="s">
        <v>1010</v>
      </c>
      <c r="E185" s="2" t="s">
        <v>316</v>
      </c>
      <c r="F185" s="2" t="str">
        <f>VLOOKUP(Orders!E184,Products!A:F,2,FALSE)</f>
        <v>Biography</v>
      </c>
      <c r="G185" s="2" t="s">
        <v>14</v>
      </c>
      <c r="H185" s="2" t="str">
        <f>VLOOKUP(G185,Employees!A:E,2,FALSE)</f>
        <v>Fatima Sheikh</v>
      </c>
      <c r="I185" s="2" t="str">
        <f>VLOOKUP(E185,Products!A:F,3,FALSE)</f>
        <v>Beauty</v>
      </c>
      <c r="J185" s="2" t="s">
        <v>73</v>
      </c>
      <c r="K185" s="2">
        <f>VLOOKUP(E185,Products!A:F,5,FALSE)</f>
        <v>2405.98</v>
      </c>
      <c r="L185" s="2">
        <v>2</v>
      </c>
      <c r="M185" s="2">
        <v>0.2</v>
      </c>
      <c r="N185" s="2">
        <f t="shared" si="6"/>
        <v>4811.96</v>
      </c>
      <c r="O185" s="2">
        <f t="shared" si="7"/>
        <v>3849.5680000000002</v>
      </c>
      <c r="P185" s="2" t="s">
        <v>379</v>
      </c>
      <c r="Q185" s="2" t="s">
        <v>42</v>
      </c>
      <c r="R185" t="str">
        <f t="shared" si="8"/>
        <v/>
      </c>
    </row>
    <row r="186" spans="1:18" x14ac:dyDescent="0.3">
      <c r="A186" s="2" t="s">
        <v>534</v>
      </c>
      <c r="B186" s="5">
        <v>45468</v>
      </c>
      <c r="C186" s="2" t="s">
        <v>253</v>
      </c>
      <c r="D186" s="2" t="s">
        <v>1044</v>
      </c>
      <c r="E186" s="2" t="s">
        <v>85</v>
      </c>
      <c r="F186" s="2" t="str">
        <f>VLOOKUP(Orders!E185,Products!A:F,2,FALSE)</f>
        <v>Sunscreen</v>
      </c>
      <c r="G186" s="2" t="s">
        <v>82</v>
      </c>
      <c r="H186" s="2" t="str">
        <f>VLOOKUP(G186,Employees!A:E,2,FALSE)</f>
        <v>Priya Nair</v>
      </c>
      <c r="I186" s="2" t="str">
        <f>VLOOKUP(E186,Products!A:F,3,FALSE)</f>
        <v>Grocery</v>
      </c>
      <c r="J186" s="2" t="s">
        <v>35</v>
      </c>
      <c r="K186" s="2">
        <f>VLOOKUP(E186,Products!A:F,5,FALSE)</f>
        <v>3457.28</v>
      </c>
      <c r="L186" s="2">
        <v>1</v>
      </c>
      <c r="M186" s="2">
        <v>0</v>
      </c>
      <c r="N186" s="2">
        <f t="shared" si="6"/>
        <v>3457.28</v>
      </c>
      <c r="O186" s="2">
        <f t="shared" si="7"/>
        <v>3457.28</v>
      </c>
      <c r="P186" s="2" t="s">
        <v>536</v>
      </c>
      <c r="Q186" s="2" t="s">
        <v>42</v>
      </c>
      <c r="R186" t="str">
        <f t="shared" si="8"/>
        <v/>
      </c>
    </row>
    <row r="187" spans="1:18" x14ac:dyDescent="0.3">
      <c r="A187" s="2" t="s">
        <v>537</v>
      </c>
      <c r="B187" s="5">
        <v>45827</v>
      </c>
      <c r="C187" s="2" t="s">
        <v>71</v>
      </c>
      <c r="D187" s="2" t="s">
        <v>980</v>
      </c>
      <c r="E187" s="2" t="s">
        <v>20</v>
      </c>
      <c r="F187" s="2" t="str">
        <f>VLOOKUP(Orders!E186,Products!A:F,2,FALSE)</f>
        <v>Almonds 500g</v>
      </c>
      <c r="G187" s="2" t="s">
        <v>45</v>
      </c>
      <c r="H187" s="2" t="str">
        <f>VLOOKUP(G187,Employees!A:E,2,FALSE)</f>
        <v>Rajesh Iyer</v>
      </c>
      <c r="I187" s="2" t="str">
        <f>VLOOKUP(E187,Products!A:F,3,FALSE)</f>
        <v>Home &amp; Kitchen</v>
      </c>
      <c r="J187" s="2" t="s">
        <v>22</v>
      </c>
      <c r="K187" s="2">
        <f>VLOOKUP(E187,Products!A:F,5,FALSE)</f>
        <v>3772.12</v>
      </c>
      <c r="L187" s="2">
        <v>10</v>
      </c>
      <c r="M187" s="2">
        <v>0</v>
      </c>
      <c r="N187" s="2">
        <f t="shared" si="6"/>
        <v>37721.199999999997</v>
      </c>
      <c r="O187" s="2">
        <f t="shared" si="7"/>
        <v>37721.199999999997</v>
      </c>
      <c r="P187" s="2" t="s">
        <v>538</v>
      </c>
      <c r="Q187" s="2" t="s">
        <v>17</v>
      </c>
      <c r="R187" t="str">
        <f t="shared" si="8"/>
        <v/>
      </c>
    </row>
    <row r="188" spans="1:18" x14ac:dyDescent="0.3">
      <c r="A188" s="2" t="s">
        <v>539</v>
      </c>
      <c r="B188" s="5">
        <v>45688</v>
      </c>
      <c r="C188" s="2" t="s">
        <v>80</v>
      </c>
      <c r="D188" s="2" t="s">
        <v>1109</v>
      </c>
      <c r="E188" s="2" t="s">
        <v>153</v>
      </c>
      <c r="F188" s="2" t="str">
        <f>VLOOKUP(Orders!E187,Products!A:F,2,FALSE)</f>
        <v>LED Lamp</v>
      </c>
      <c r="G188" s="2" t="s">
        <v>34</v>
      </c>
      <c r="H188" s="2" t="str">
        <f>VLOOKUP(G188,Employees!A:E,2,FALSE)</f>
        <v>Rohit Sinha</v>
      </c>
      <c r="I188" s="2" t="str">
        <f>VLOOKUP(E188,Products!A:F,3,FALSE)</f>
        <v>Books</v>
      </c>
      <c r="J188" s="2" t="s">
        <v>73</v>
      </c>
      <c r="K188" s="2">
        <f>VLOOKUP(E188,Products!A:F,5,FALSE)</f>
        <v>2128.4</v>
      </c>
      <c r="L188" s="2">
        <v>7</v>
      </c>
      <c r="M188" s="2">
        <v>0.2</v>
      </c>
      <c r="N188" s="2">
        <f t="shared" si="6"/>
        <v>14898.800000000001</v>
      </c>
      <c r="O188" s="2">
        <f t="shared" si="7"/>
        <v>11919.04</v>
      </c>
      <c r="P188" s="2" t="s">
        <v>541</v>
      </c>
      <c r="Q188" s="2" t="s">
        <v>17</v>
      </c>
      <c r="R188" t="str">
        <f t="shared" si="8"/>
        <v/>
      </c>
    </row>
    <row r="189" spans="1:18" x14ac:dyDescent="0.3">
      <c r="A189" s="2" t="s">
        <v>542</v>
      </c>
      <c r="B189" s="5">
        <v>45359</v>
      </c>
      <c r="C189" s="2" t="s">
        <v>502</v>
      </c>
      <c r="D189" s="2" t="s">
        <v>1138</v>
      </c>
      <c r="E189" s="2" t="s">
        <v>400</v>
      </c>
      <c r="F189" s="2" t="str">
        <f>VLOOKUP(Orders!E188,Products!A:F,2,FALSE)</f>
        <v>Novel - Fiction</v>
      </c>
      <c r="G189" s="2" t="s">
        <v>45</v>
      </c>
      <c r="H189" s="2" t="str">
        <f>VLOOKUP(G189,Employees!A:E,2,FALSE)</f>
        <v>Rajesh Iyer</v>
      </c>
      <c r="I189" s="2" t="str">
        <f>VLOOKUP(E189,Products!A:F,3,FALSE)</f>
        <v>Toys</v>
      </c>
      <c r="J189" s="2" t="s">
        <v>35</v>
      </c>
      <c r="K189" s="2">
        <f>VLOOKUP(E189,Products!A:F,5,FALSE)</f>
        <v>588.75</v>
      </c>
      <c r="L189" s="2">
        <v>6</v>
      </c>
      <c r="M189" s="2">
        <v>0</v>
      </c>
      <c r="N189" s="2">
        <f t="shared" si="6"/>
        <v>3532.5</v>
      </c>
      <c r="O189" s="2">
        <f t="shared" si="7"/>
        <v>3532.5</v>
      </c>
      <c r="P189" s="2" t="s">
        <v>250</v>
      </c>
      <c r="Q189" s="2" t="s">
        <v>17</v>
      </c>
      <c r="R189" t="str">
        <f t="shared" si="8"/>
        <v/>
      </c>
    </row>
    <row r="190" spans="1:18" x14ac:dyDescent="0.3">
      <c r="A190" s="2" t="s">
        <v>543</v>
      </c>
      <c r="B190" s="5">
        <v>45550</v>
      </c>
      <c r="C190" s="2" t="s">
        <v>157</v>
      </c>
      <c r="D190" s="2" t="s">
        <v>1117</v>
      </c>
      <c r="E190" s="2" t="s">
        <v>54</v>
      </c>
      <c r="F190" s="2" t="str">
        <f>VLOOKUP(Orders!E189,Products!A:F,2,FALSE)</f>
        <v>Building Blocks</v>
      </c>
      <c r="G190" s="2" t="s">
        <v>34</v>
      </c>
      <c r="H190" s="2" t="str">
        <f>VLOOKUP(G190,Employees!A:E,2,FALSE)</f>
        <v>Rohit Sinha</v>
      </c>
      <c r="I190" s="2" t="str">
        <f>VLOOKUP(E190,Products!A:F,3,FALSE)</f>
        <v>Clothing</v>
      </c>
      <c r="J190" s="2" t="s">
        <v>22</v>
      </c>
      <c r="K190" s="2">
        <f>VLOOKUP(E190,Products!A:F,5,FALSE)</f>
        <v>3929.31</v>
      </c>
      <c r="L190" s="2">
        <v>10</v>
      </c>
      <c r="M190" s="2">
        <v>0.2</v>
      </c>
      <c r="N190" s="2">
        <f t="shared" si="6"/>
        <v>39293.1</v>
      </c>
      <c r="O190" s="2">
        <f t="shared" si="7"/>
        <v>31434.48</v>
      </c>
      <c r="P190" s="2" t="s">
        <v>227</v>
      </c>
      <c r="Q190" s="2" t="s">
        <v>24</v>
      </c>
      <c r="R190" t="str">
        <f t="shared" si="8"/>
        <v/>
      </c>
    </row>
    <row r="191" spans="1:18" x14ac:dyDescent="0.3">
      <c r="A191" s="2" t="s">
        <v>544</v>
      </c>
      <c r="B191" s="5">
        <v>45436</v>
      </c>
      <c r="C191" s="2" t="s">
        <v>331</v>
      </c>
      <c r="D191" s="2" t="s">
        <v>1006</v>
      </c>
      <c r="E191" s="2" t="s">
        <v>13</v>
      </c>
      <c r="F191" s="2" t="str">
        <f>VLOOKUP(Orders!E190,Products!A:F,2,FALSE)</f>
        <v>Hoodie</v>
      </c>
      <c r="G191" s="2" t="s">
        <v>82</v>
      </c>
      <c r="H191" s="2" t="str">
        <f>VLOOKUP(G191,Employees!A:E,2,FALSE)</f>
        <v>Priya Nair</v>
      </c>
      <c r="I191" s="2" t="str">
        <f>VLOOKUP(E191,Products!A:F,3,FALSE)</f>
        <v>Sports</v>
      </c>
      <c r="J191" s="2" t="s">
        <v>15</v>
      </c>
      <c r="K191" s="2">
        <f>VLOOKUP(E191,Products!A:F,5,FALSE)</f>
        <v>3493.54</v>
      </c>
      <c r="L191" s="2">
        <v>6</v>
      </c>
      <c r="M191" s="2">
        <v>0</v>
      </c>
      <c r="N191" s="2">
        <f t="shared" si="6"/>
        <v>20961.239999999998</v>
      </c>
      <c r="O191" s="2">
        <f t="shared" si="7"/>
        <v>20961.239999999998</v>
      </c>
      <c r="P191" s="2" t="s">
        <v>373</v>
      </c>
      <c r="Q191" s="2" t="s">
        <v>42</v>
      </c>
      <c r="R191" t="str">
        <f t="shared" si="8"/>
        <v/>
      </c>
    </row>
    <row r="192" spans="1:18" x14ac:dyDescent="0.3">
      <c r="A192" s="2" t="s">
        <v>545</v>
      </c>
      <c r="B192" s="5">
        <v>45378</v>
      </c>
      <c r="C192" s="2" t="s">
        <v>190</v>
      </c>
      <c r="D192" s="2" t="s">
        <v>1119</v>
      </c>
      <c r="E192" s="2" t="s">
        <v>210</v>
      </c>
      <c r="F192" s="2" t="str">
        <f>VLOOKUP(Orders!E191,Products!A:F,2,FALSE)</f>
        <v>Football</v>
      </c>
      <c r="G192" s="2" t="s">
        <v>82</v>
      </c>
      <c r="H192" s="2" t="str">
        <f>VLOOKUP(G192,Employees!A:E,2,FALSE)</f>
        <v>Priya Nair</v>
      </c>
      <c r="I192" s="2" t="str">
        <f>VLOOKUP(E192,Products!A:F,3,FALSE)</f>
        <v>Sports</v>
      </c>
      <c r="J192" s="2" t="s">
        <v>22</v>
      </c>
      <c r="K192" s="2">
        <f>VLOOKUP(E192,Products!A:F,5,FALSE)</f>
        <v>1187.29</v>
      </c>
      <c r="L192" s="2">
        <v>5</v>
      </c>
      <c r="M192" s="2">
        <v>0.1</v>
      </c>
      <c r="N192" s="2">
        <f t="shared" si="6"/>
        <v>5936.45</v>
      </c>
      <c r="O192" s="2">
        <f t="shared" si="7"/>
        <v>5342.8050000000003</v>
      </c>
      <c r="P192" s="2" t="s">
        <v>294</v>
      </c>
      <c r="Q192" s="2" t="s">
        <v>60</v>
      </c>
      <c r="R192" t="str">
        <f t="shared" si="8"/>
        <v/>
      </c>
    </row>
    <row r="193" spans="1:18" x14ac:dyDescent="0.3">
      <c r="A193" s="2" t="s">
        <v>546</v>
      </c>
      <c r="B193" s="5">
        <v>45831</v>
      </c>
      <c r="C193" s="2" t="s">
        <v>547</v>
      </c>
      <c r="D193" s="2" t="s">
        <v>1139</v>
      </c>
      <c r="E193" s="2" t="s">
        <v>99</v>
      </c>
      <c r="F193" s="2" t="str">
        <f>VLOOKUP(Orders!E192,Products!A:F,2,FALSE)</f>
        <v>Skipping Rope</v>
      </c>
      <c r="G193" s="2" t="s">
        <v>45</v>
      </c>
      <c r="H193" s="2" t="str">
        <f>VLOOKUP(G193,Employees!A:E,2,FALSE)</f>
        <v>Rajesh Iyer</v>
      </c>
      <c r="I193" s="2" t="str">
        <f>VLOOKUP(E193,Products!A:F,3,FALSE)</f>
        <v>Electronics</v>
      </c>
      <c r="J193" s="2" t="s">
        <v>22</v>
      </c>
      <c r="K193" s="2">
        <f>VLOOKUP(E193,Products!A:F,5,FALSE)</f>
        <v>2352.63</v>
      </c>
      <c r="L193" s="2">
        <v>2</v>
      </c>
      <c r="M193" s="2">
        <v>0.15</v>
      </c>
      <c r="N193" s="2">
        <f t="shared" si="6"/>
        <v>4705.26</v>
      </c>
      <c r="O193" s="2">
        <f t="shared" si="7"/>
        <v>3999.471</v>
      </c>
      <c r="P193" s="2" t="s">
        <v>548</v>
      </c>
      <c r="Q193" s="2" t="s">
        <v>24</v>
      </c>
      <c r="R193" t="str">
        <f t="shared" si="8"/>
        <v/>
      </c>
    </row>
    <row r="194" spans="1:18" x14ac:dyDescent="0.3">
      <c r="A194" s="2" t="s">
        <v>549</v>
      </c>
      <c r="B194" s="5">
        <v>45663</v>
      </c>
      <c r="C194" s="2" t="s">
        <v>550</v>
      </c>
      <c r="D194" s="2" t="s">
        <v>1127</v>
      </c>
      <c r="E194" s="2" t="s">
        <v>260</v>
      </c>
      <c r="F194" s="2" t="str">
        <f>VLOOKUP(Orders!E193,Products!A:F,2,FALSE)</f>
        <v>Wireless Mouse</v>
      </c>
      <c r="G194" s="2" t="s">
        <v>21</v>
      </c>
      <c r="H194" s="2" t="str">
        <f>VLOOKUP(G194,Employees!A:E,2,FALSE)</f>
        <v>Karan Mehta</v>
      </c>
      <c r="I194" s="2" t="str">
        <f>VLOOKUP(E194,Products!A:F,3,FALSE)</f>
        <v>Home &amp; Kitchen</v>
      </c>
      <c r="J194" s="2" t="s">
        <v>22</v>
      </c>
      <c r="K194" s="2">
        <f>VLOOKUP(E194,Products!A:F,5,FALSE)</f>
        <v>3981.64</v>
      </c>
      <c r="L194" s="2">
        <v>0</v>
      </c>
      <c r="M194" s="2">
        <v>0</v>
      </c>
      <c r="N194" s="2">
        <f t="shared" ref="N194:N257" si="9">K194*L194</f>
        <v>0</v>
      </c>
      <c r="O194" s="2">
        <f t="shared" ref="O194:O257" si="10">N194*(1-M194)</f>
        <v>0</v>
      </c>
      <c r="P194" s="2" t="s">
        <v>551</v>
      </c>
      <c r="Q194" s="2" t="s">
        <v>30</v>
      </c>
      <c r="R194" t="str">
        <f t="shared" ref="R194:R257" si="11">IF(L194=0,"Missing Quantity","")</f>
        <v>Missing Quantity</v>
      </c>
    </row>
    <row r="195" spans="1:18" x14ac:dyDescent="0.3">
      <c r="A195" s="2" t="s">
        <v>552</v>
      </c>
      <c r="B195" s="5">
        <v>45488</v>
      </c>
      <c r="C195" s="2" t="s">
        <v>160</v>
      </c>
      <c r="D195" s="2" t="s">
        <v>1118</v>
      </c>
      <c r="E195" s="2" t="s">
        <v>210</v>
      </c>
      <c r="F195" s="2" t="str">
        <f>VLOOKUP(Orders!E194,Products!A:F,2,FALSE)</f>
        <v>Non-stick Pan</v>
      </c>
      <c r="G195" s="2" t="s">
        <v>45</v>
      </c>
      <c r="H195" s="2" t="str">
        <f>VLOOKUP(G195,Employees!A:E,2,FALSE)</f>
        <v>Rajesh Iyer</v>
      </c>
      <c r="I195" s="2" t="str">
        <f>VLOOKUP(E195,Products!A:F,3,FALSE)</f>
        <v>Sports</v>
      </c>
      <c r="J195" s="2" t="s">
        <v>73</v>
      </c>
      <c r="K195" s="2">
        <f>VLOOKUP(E195,Products!A:F,5,FALSE)</f>
        <v>1187.29</v>
      </c>
      <c r="L195" s="2">
        <v>4</v>
      </c>
      <c r="M195" s="2">
        <v>0</v>
      </c>
      <c r="N195" s="2">
        <f t="shared" si="9"/>
        <v>4749.16</v>
      </c>
      <c r="O195" s="2">
        <f t="shared" si="10"/>
        <v>4749.16</v>
      </c>
      <c r="P195" s="2" t="s">
        <v>554</v>
      </c>
      <c r="Q195" s="2" t="s">
        <v>17</v>
      </c>
      <c r="R195" t="str">
        <f t="shared" si="11"/>
        <v/>
      </c>
    </row>
    <row r="196" spans="1:18" x14ac:dyDescent="0.3">
      <c r="A196" s="2" t="s">
        <v>555</v>
      </c>
      <c r="B196" s="5">
        <v>45395</v>
      </c>
      <c r="C196" s="2" t="s">
        <v>71</v>
      </c>
      <c r="D196" s="2" t="s">
        <v>980</v>
      </c>
      <c r="E196" s="2" t="s">
        <v>254</v>
      </c>
      <c r="F196" s="2" t="str">
        <f>VLOOKUP(Orders!E195,Products!A:F,2,FALSE)</f>
        <v>Skipping Rope</v>
      </c>
      <c r="G196" s="2" t="s">
        <v>82</v>
      </c>
      <c r="H196" s="2" t="str">
        <f>VLOOKUP(G196,Employees!A:E,2,FALSE)</f>
        <v>Priya Nair</v>
      </c>
      <c r="I196" s="2" t="str">
        <f>VLOOKUP(E196,Products!A:F,3,FALSE)</f>
        <v>Books</v>
      </c>
      <c r="J196" s="2" t="s">
        <v>73</v>
      </c>
      <c r="K196" s="2">
        <f>VLOOKUP(E196,Products!A:F,5,FALSE)</f>
        <v>605.26</v>
      </c>
      <c r="L196" s="2">
        <v>9</v>
      </c>
      <c r="M196" s="2">
        <v>0.2</v>
      </c>
      <c r="N196" s="2">
        <f t="shared" si="9"/>
        <v>5447.34</v>
      </c>
      <c r="O196" s="2">
        <f t="shared" si="10"/>
        <v>4357.8720000000003</v>
      </c>
      <c r="P196" s="2" t="s">
        <v>556</v>
      </c>
      <c r="Q196" s="2" t="s">
        <v>17</v>
      </c>
      <c r="R196" t="str">
        <f t="shared" si="11"/>
        <v/>
      </c>
    </row>
    <row r="197" spans="1:18" x14ac:dyDescent="0.3">
      <c r="A197" s="2" t="s">
        <v>557</v>
      </c>
      <c r="B197" s="5">
        <v>45426</v>
      </c>
      <c r="C197" s="2" t="s">
        <v>202</v>
      </c>
      <c r="D197" s="2" t="s">
        <v>1124</v>
      </c>
      <c r="E197" s="2" t="s">
        <v>99</v>
      </c>
      <c r="F197" s="2" t="str">
        <f>VLOOKUP(Orders!E196,Products!A:F,2,FALSE)</f>
        <v>Self-Help Book</v>
      </c>
      <c r="G197" s="2" t="s">
        <v>34</v>
      </c>
      <c r="H197" s="2" t="str">
        <f>VLOOKUP(G197,Employees!A:E,2,FALSE)</f>
        <v>Rohit Sinha</v>
      </c>
      <c r="I197" s="2" t="str">
        <f>VLOOKUP(E197,Products!A:F,3,FALSE)</f>
        <v>Electronics</v>
      </c>
      <c r="J197" s="2" t="s">
        <v>15</v>
      </c>
      <c r="K197" s="2">
        <f>VLOOKUP(E197,Products!A:F,5,FALSE)</f>
        <v>2352.63</v>
      </c>
      <c r="L197" s="2">
        <v>10</v>
      </c>
      <c r="M197" s="2">
        <v>0.05</v>
      </c>
      <c r="N197" s="2">
        <f t="shared" si="9"/>
        <v>23526.300000000003</v>
      </c>
      <c r="O197" s="2">
        <f t="shared" si="10"/>
        <v>22349.985000000001</v>
      </c>
      <c r="P197" s="2" t="s">
        <v>558</v>
      </c>
      <c r="Q197" s="2" t="s">
        <v>60</v>
      </c>
      <c r="R197" t="str">
        <f t="shared" si="11"/>
        <v/>
      </c>
    </row>
    <row r="198" spans="1:18" x14ac:dyDescent="0.3">
      <c r="A198" s="2" t="s">
        <v>559</v>
      </c>
      <c r="B198" s="5">
        <v>45461</v>
      </c>
      <c r="C198" s="2" t="s">
        <v>403</v>
      </c>
      <c r="D198" s="2" t="s">
        <v>1135</v>
      </c>
      <c r="E198" s="2" t="s">
        <v>28</v>
      </c>
      <c r="F198" s="2" t="str">
        <f>VLOOKUP(Orders!E197,Products!A:F,2,FALSE)</f>
        <v>Wireless Mouse</v>
      </c>
      <c r="G198" s="2" t="s">
        <v>34</v>
      </c>
      <c r="H198" s="2" t="str">
        <f>VLOOKUP(G198,Employees!A:E,2,FALSE)</f>
        <v>Rohit Sinha</v>
      </c>
      <c r="I198" s="2" t="str">
        <f>VLOOKUP(E198,Products!A:F,3,FALSE)</f>
        <v>Home &amp; Kitchen</v>
      </c>
      <c r="J198" s="2" t="s">
        <v>22</v>
      </c>
      <c r="K198" s="2">
        <f>VLOOKUP(E198,Products!A:F,5,FALSE)</f>
        <v>733.33</v>
      </c>
      <c r="L198" s="2">
        <v>8</v>
      </c>
      <c r="M198" s="2">
        <v>0</v>
      </c>
      <c r="N198" s="2">
        <f t="shared" si="9"/>
        <v>5866.64</v>
      </c>
      <c r="O198" s="2">
        <f t="shared" si="10"/>
        <v>5866.64</v>
      </c>
      <c r="P198" s="2" t="s">
        <v>535</v>
      </c>
      <c r="Q198" s="2" t="s">
        <v>60</v>
      </c>
      <c r="R198" t="str">
        <f t="shared" si="11"/>
        <v/>
      </c>
    </row>
    <row r="199" spans="1:18" x14ac:dyDescent="0.3">
      <c r="A199" s="2" t="s">
        <v>560</v>
      </c>
      <c r="B199" s="5">
        <v>45746</v>
      </c>
      <c r="C199" s="2" t="s">
        <v>137</v>
      </c>
      <c r="D199" s="2" t="s">
        <v>1114</v>
      </c>
      <c r="E199" s="2" t="s">
        <v>148</v>
      </c>
      <c r="F199" s="2" t="str">
        <f>VLOOKUP(Orders!E198,Products!A:F,2,FALSE)</f>
        <v>Blender</v>
      </c>
      <c r="G199" s="2" t="s">
        <v>21</v>
      </c>
      <c r="H199" s="2" t="str">
        <f>VLOOKUP(G199,Employees!A:E,2,FALSE)</f>
        <v>Karan Mehta</v>
      </c>
      <c r="I199" s="2" t="str">
        <f>VLOOKUP(E199,Products!A:F,3,FALSE)</f>
        <v>Grocery</v>
      </c>
      <c r="J199" s="2" t="s">
        <v>15</v>
      </c>
      <c r="K199" s="2">
        <f>VLOOKUP(E199,Products!A:F,5,FALSE)</f>
        <v>3576.75</v>
      </c>
      <c r="L199" s="2">
        <v>10</v>
      </c>
      <c r="M199" s="2">
        <v>0</v>
      </c>
      <c r="N199" s="2">
        <f t="shared" si="9"/>
        <v>35767.5</v>
      </c>
      <c r="O199" s="2">
        <f t="shared" si="10"/>
        <v>35767.5</v>
      </c>
      <c r="P199" s="2" t="s">
        <v>562</v>
      </c>
      <c r="Q199" s="2" t="s">
        <v>42</v>
      </c>
      <c r="R199" t="str">
        <f t="shared" si="11"/>
        <v/>
      </c>
    </row>
    <row r="200" spans="1:18" x14ac:dyDescent="0.3">
      <c r="A200" s="2" t="s">
        <v>563</v>
      </c>
      <c r="B200" s="5">
        <v>45536</v>
      </c>
      <c r="C200" s="2" t="s">
        <v>462</v>
      </c>
      <c r="D200" s="2" t="s">
        <v>1137</v>
      </c>
      <c r="E200" s="2" t="s">
        <v>454</v>
      </c>
      <c r="F200" s="2" t="str">
        <f>VLOOKUP(Orders!E199,Products!A:F,2,FALSE)</f>
        <v>Green Tea Pack</v>
      </c>
      <c r="G200" s="2" t="s">
        <v>14</v>
      </c>
      <c r="H200" s="2" t="str">
        <f>VLOOKUP(G200,Employees!A:E,2,FALSE)</f>
        <v>Fatima Sheikh</v>
      </c>
      <c r="I200" s="2" t="str">
        <f>VLOOKUP(E200,Products!A:F,3,FALSE)</f>
        <v>Books</v>
      </c>
      <c r="J200" s="2" t="s">
        <v>15</v>
      </c>
      <c r="K200" s="2">
        <f>VLOOKUP(E200,Products!A:F,5,FALSE)</f>
        <v>1253.57</v>
      </c>
      <c r="L200" s="2">
        <v>5</v>
      </c>
      <c r="M200" s="2">
        <v>0.2</v>
      </c>
      <c r="N200" s="2">
        <f t="shared" si="9"/>
        <v>6267.8499999999995</v>
      </c>
      <c r="O200" s="2">
        <f t="shared" si="10"/>
        <v>5014.28</v>
      </c>
      <c r="P200" s="2" t="s">
        <v>565</v>
      </c>
      <c r="Q200" s="2" t="s">
        <v>17</v>
      </c>
      <c r="R200" t="str">
        <f t="shared" si="11"/>
        <v/>
      </c>
    </row>
    <row r="201" spans="1:18" x14ac:dyDescent="0.3">
      <c r="A201" s="2" t="s">
        <v>566</v>
      </c>
      <c r="B201" s="5">
        <v>45743</v>
      </c>
      <c r="C201" s="2" t="s">
        <v>253</v>
      </c>
      <c r="D201" s="2" t="s">
        <v>1044</v>
      </c>
      <c r="E201" s="2" t="s">
        <v>67</v>
      </c>
      <c r="F201" s="2" t="str">
        <f>VLOOKUP(Orders!E200,Products!A:F,2,FALSE)</f>
        <v>Comic Book</v>
      </c>
      <c r="G201" s="2" t="s">
        <v>21</v>
      </c>
      <c r="H201" s="2" t="str">
        <f>VLOOKUP(G201,Employees!A:E,2,FALSE)</f>
        <v>Karan Mehta</v>
      </c>
      <c r="I201" s="2" t="str">
        <f>VLOOKUP(E201,Products!A:F,3,FALSE)</f>
        <v>Toys</v>
      </c>
      <c r="J201" s="2" t="s">
        <v>35</v>
      </c>
      <c r="K201" s="2">
        <f>VLOOKUP(E201,Products!A:F,5,FALSE)</f>
        <v>3205.14</v>
      </c>
      <c r="L201" s="2">
        <v>8</v>
      </c>
      <c r="M201" s="2">
        <v>0.2</v>
      </c>
      <c r="N201" s="2">
        <f t="shared" si="9"/>
        <v>25641.119999999999</v>
      </c>
      <c r="O201" s="2">
        <f t="shared" si="10"/>
        <v>20512.896000000001</v>
      </c>
      <c r="P201" s="2" t="s">
        <v>88</v>
      </c>
      <c r="Q201" s="2" t="s">
        <v>42</v>
      </c>
      <c r="R201" t="str">
        <f t="shared" si="11"/>
        <v/>
      </c>
    </row>
    <row r="202" spans="1:18" x14ac:dyDescent="0.3">
      <c r="A202" s="2" t="s">
        <v>567</v>
      </c>
      <c r="B202" s="5">
        <v>45832</v>
      </c>
      <c r="C202" s="2" t="s">
        <v>291</v>
      </c>
      <c r="D202" s="2" t="s">
        <v>1131</v>
      </c>
      <c r="E202" s="2" t="s">
        <v>249</v>
      </c>
      <c r="F202" s="2" t="str">
        <f>VLOOKUP(Orders!E201,Products!A:F,2,FALSE)</f>
        <v>Remote Car</v>
      </c>
      <c r="G202" s="2" t="s">
        <v>14</v>
      </c>
      <c r="H202" s="2" t="str">
        <f>VLOOKUP(G202,Employees!A:E,2,FALSE)</f>
        <v>Fatima Sheikh</v>
      </c>
      <c r="I202" s="2" t="str">
        <f>VLOOKUP(E202,Products!A:F,3,FALSE)</f>
        <v>Clothing</v>
      </c>
      <c r="J202" s="2" t="s">
        <v>15</v>
      </c>
      <c r="K202" s="2">
        <f>VLOOKUP(E202,Products!A:F,5,FALSE)</f>
        <v>1309.58</v>
      </c>
      <c r="L202" s="2">
        <v>7</v>
      </c>
      <c r="M202" s="2">
        <v>0</v>
      </c>
      <c r="N202" s="2">
        <f t="shared" si="9"/>
        <v>9167.06</v>
      </c>
      <c r="O202" s="2">
        <f t="shared" si="10"/>
        <v>9167.06</v>
      </c>
      <c r="P202" s="2" t="s">
        <v>569</v>
      </c>
      <c r="Q202" s="2" t="s">
        <v>17</v>
      </c>
      <c r="R202" t="str">
        <f t="shared" si="11"/>
        <v/>
      </c>
    </row>
    <row r="203" spans="1:18" x14ac:dyDescent="0.3">
      <c r="A203" s="2" t="s">
        <v>570</v>
      </c>
      <c r="B203" s="5">
        <v>45345</v>
      </c>
      <c r="C203" s="2" t="s">
        <v>110</v>
      </c>
      <c r="D203" s="2" t="s">
        <v>983</v>
      </c>
      <c r="E203" s="2" t="s">
        <v>20</v>
      </c>
      <c r="F203" s="2" t="str">
        <f>VLOOKUP(Orders!E202,Products!A:F,2,FALSE)</f>
        <v>Sports Jacket</v>
      </c>
      <c r="G203" s="2" t="s">
        <v>82</v>
      </c>
      <c r="H203" s="2" t="str">
        <f>VLOOKUP(G203,Employees!A:E,2,FALSE)</f>
        <v>Priya Nair</v>
      </c>
      <c r="I203" s="2" t="str">
        <f>VLOOKUP(E203,Products!A:F,3,FALSE)</f>
        <v>Home &amp; Kitchen</v>
      </c>
      <c r="J203" s="2" t="s">
        <v>73</v>
      </c>
      <c r="K203" s="2">
        <f>VLOOKUP(E203,Products!A:F,5,FALSE)</f>
        <v>3772.12</v>
      </c>
      <c r="L203" s="2">
        <v>0</v>
      </c>
      <c r="M203" s="2">
        <v>0.2</v>
      </c>
      <c r="N203" s="2">
        <f t="shared" si="9"/>
        <v>0</v>
      </c>
      <c r="O203" s="2">
        <f t="shared" si="10"/>
        <v>0</v>
      </c>
      <c r="P203" s="2" t="s">
        <v>572</v>
      </c>
      <c r="Q203" s="2" t="s">
        <v>42</v>
      </c>
      <c r="R203" t="str">
        <f t="shared" si="11"/>
        <v>Missing Quantity</v>
      </c>
    </row>
    <row r="204" spans="1:18" x14ac:dyDescent="0.3">
      <c r="A204" s="2" t="s">
        <v>573</v>
      </c>
      <c r="B204" s="5">
        <v>45419</v>
      </c>
      <c r="C204" s="2" t="s">
        <v>190</v>
      </c>
      <c r="D204" s="2" t="s">
        <v>1119</v>
      </c>
      <c r="E204" s="2" t="s">
        <v>130</v>
      </c>
      <c r="F204" s="2" t="str">
        <f>VLOOKUP(Orders!E203,Products!A:F,2,FALSE)</f>
        <v>LED Lamp</v>
      </c>
      <c r="G204" s="2" t="s">
        <v>82</v>
      </c>
      <c r="H204" s="2" t="str">
        <f>VLOOKUP(G204,Employees!A:E,2,FALSE)</f>
        <v>Priya Nair</v>
      </c>
      <c r="I204" s="2" t="str">
        <f>VLOOKUP(E204,Products!A:F,3,FALSE)</f>
        <v>Sports</v>
      </c>
      <c r="J204" s="2" t="s">
        <v>22</v>
      </c>
      <c r="K204" s="2">
        <f>VLOOKUP(E204,Products!A:F,5,FALSE)</f>
        <v>3128.51</v>
      </c>
      <c r="L204" s="2">
        <v>5</v>
      </c>
      <c r="M204" s="2">
        <v>0</v>
      </c>
      <c r="N204" s="2">
        <f t="shared" si="9"/>
        <v>15642.550000000001</v>
      </c>
      <c r="O204" s="2">
        <f t="shared" si="10"/>
        <v>15642.550000000001</v>
      </c>
      <c r="P204" s="2" t="s">
        <v>238</v>
      </c>
      <c r="Q204" s="2" t="s">
        <v>30</v>
      </c>
      <c r="R204" t="str">
        <f t="shared" si="11"/>
        <v/>
      </c>
    </row>
    <row r="205" spans="1:18" x14ac:dyDescent="0.3">
      <c r="A205" s="2" t="s">
        <v>574</v>
      </c>
      <c r="B205" s="5">
        <v>45817</v>
      </c>
      <c r="C205" s="2" t="s">
        <v>190</v>
      </c>
      <c r="D205" s="2" t="s">
        <v>1119</v>
      </c>
      <c r="E205" s="2" t="s">
        <v>90</v>
      </c>
      <c r="F205" s="2" t="str">
        <f>VLOOKUP(Orders!E204,Products!A:F,2,FALSE)</f>
        <v>Cricket Bat</v>
      </c>
      <c r="G205" s="2" t="s">
        <v>82</v>
      </c>
      <c r="H205" s="2" t="str">
        <f>VLOOKUP(G205,Employees!A:E,2,FALSE)</f>
        <v>Priya Nair</v>
      </c>
      <c r="I205" s="2" t="str">
        <f>VLOOKUP(E205,Products!A:F,3,FALSE)</f>
        <v>Beauty</v>
      </c>
      <c r="J205" s="2" t="s">
        <v>73</v>
      </c>
      <c r="K205" s="2">
        <f>VLOOKUP(E205,Products!A:F,5,FALSE)</f>
        <v>928.72</v>
      </c>
      <c r="L205" s="2">
        <v>3</v>
      </c>
      <c r="M205" s="2">
        <v>0.2</v>
      </c>
      <c r="N205" s="2">
        <f t="shared" si="9"/>
        <v>2786.16</v>
      </c>
      <c r="O205" s="2">
        <f t="shared" si="10"/>
        <v>2228.9279999999999</v>
      </c>
      <c r="P205" s="2" t="s">
        <v>575</v>
      </c>
      <c r="Q205" s="2" t="s">
        <v>60</v>
      </c>
      <c r="R205" t="str">
        <f t="shared" si="11"/>
        <v/>
      </c>
    </row>
    <row r="206" spans="1:18" x14ac:dyDescent="0.3">
      <c r="A206" s="2" t="s">
        <v>576</v>
      </c>
      <c r="B206" s="5">
        <v>45753</v>
      </c>
      <c r="C206" s="2" t="s">
        <v>356</v>
      </c>
      <c r="D206" s="2" t="s">
        <v>1133</v>
      </c>
      <c r="E206" s="2" t="s">
        <v>389</v>
      </c>
      <c r="F206" s="2" t="str">
        <f>VLOOKUP(Orders!E205,Products!A:F,2,FALSE)</f>
        <v>Face Wash</v>
      </c>
      <c r="G206" s="2" t="s">
        <v>82</v>
      </c>
      <c r="H206" s="2" t="str">
        <f>VLOOKUP(G206,Employees!A:E,2,FALSE)</f>
        <v>Priya Nair</v>
      </c>
      <c r="I206" s="2" t="str">
        <f>VLOOKUP(E206,Products!A:F,3,FALSE)</f>
        <v>Electronics</v>
      </c>
      <c r="J206" s="2" t="s">
        <v>73</v>
      </c>
      <c r="K206" s="2">
        <f>VLOOKUP(E206,Products!A:F,5,FALSE)</f>
        <v>991.59</v>
      </c>
      <c r="L206" s="2">
        <v>6</v>
      </c>
      <c r="M206" s="2">
        <v>0</v>
      </c>
      <c r="N206" s="2">
        <f t="shared" si="9"/>
        <v>5949.54</v>
      </c>
      <c r="O206" s="2">
        <f t="shared" si="10"/>
        <v>5949.54</v>
      </c>
      <c r="P206" s="2" t="s">
        <v>577</v>
      </c>
      <c r="Q206" s="2" t="s">
        <v>30</v>
      </c>
      <c r="R206" t="str">
        <f t="shared" si="11"/>
        <v/>
      </c>
    </row>
    <row r="207" spans="1:18" x14ac:dyDescent="0.3">
      <c r="A207" s="2" t="s">
        <v>578</v>
      </c>
      <c r="B207" s="5">
        <v>45806</v>
      </c>
      <c r="C207" s="2" t="s">
        <v>115</v>
      </c>
      <c r="D207" s="2" t="s">
        <v>996</v>
      </c>
      <c r="E207" s="2" t="s">
        <v>400</v>
      </c>
      <c r="F207" s="2" t="str">
        <f>VLOOKUP(Orders!E206,Products!A:F,2,FALSE)</f>
        <v>Bluetooth Speaker</v>
      </c>
      <c r="G207" s="2" t="s">
        <v>34</v>
      </c>
      <c r="H207" s="2" t="str">
        <f>VLOOKUP(G207,Employees!A:E,2,FALSE)</f>
        <v>Rohit Sinha</v>
      </c>
      <c r="I207" s="2" t="str">
        <f>VLOOKUP(E207,Products!A:F,3,FALSE)</f>
        <v>Toys</v>
      </c>
      <c r="J207" s="2" t="s">
        <v>73</v>
      </c>
      <c r="K207" s="2">
        <f>VLOOKUP(E207,Products!A:F,5,FALSE)</f>
        <v>588.75</v>
      </c>
      <c r="L207" s="2">
        <v>6</v>
      </c>
      <c r="M207" s="2">
        <v>0</v>
      </c>
      <c r="N207" s="2">
        <f t="shared" si="9"/>
        <v>3532.5</v>
      </c>
      <c r="O207" s="2">
        <f t="shared" si="10"/>
        <v>3532.5</v>
      </c>
      <c r="P207" s="2" t="s">
        <v>580</v>
      </c>
      <c r="Q207" s="2" t="s">
        <v>17</v>
      </c>
      <c r="R207" t="str">
        <f t="shared" si="11"/>
        <v/>
      </c>
    </row>
    <row r="208" spans="1:18" x14ac:dyDescent="0.3">
      <c r="A208" s="2" t="s">
        <v>581</v>
      </c>
      <c r="B208" s="5">
        <v>45521</v>
      </c>
      <c r="C208" s="2" t="s">
        <v>115</v>
      </c>
      <c r="D208" s="2" t="s">
        <v>996</v>
      </c>
      <c r="E208" s="2" t="s">
        <v>33</v>
      </c>
      <c r="F208" s="2" t="str">
        <f>VLOOKUP(Orders!E207,Products!A:F,2,FALSE)</f>
        <v>Building Blocks</v>
      </c>
      <c r="G208" s="2" t="s">
        <v>34</v>
      </c>
      <c r="H208" s="2" t="str">
        <f>VLOOKUP(G208,Employees!A:E,2,FALSE)</f>
        <v>Rohit Sinha</v>
      </c>
      <c r="I208" s="2" t="str">
        <f>VLOOKUP(E208,Products!A:F,3,FALSE)</f>
        <v>Grocery</v>
      </c>
      <c r="J208" s="2" t="s">
        <v>22</v>
      </c>
      <c r="K208" s="2">
        <f>VLOOKUP(E208,Products!A:F,5,FALSE)</f>
        <v>620.89</v>
      </c>
      <c r="L208" s="2">
        <v>1</v>
      </c>
      <c r="M208" s="2">
        <v>0</v>
      </c>
      <c r="N208" s="2">
        <f t="shared" si="9"/>
        <v>620.89</v>
      </c>
      <c r="O208" s="2">
        <f t="shared" si="10"/>
        <v>620.89</v>
      </c>
      <c r="P208" s="2" t="s">
        <v>257</v>
      </c>
      <c r="Q208" s="2" t="s">
        <v>60</v>
      </c>
      <c r="R208" t="str">
        <f t="shared" si="11"/>
        <v/>
      </c>
    </row>
    <row r="209" spans="1:18" x14ac:dyDescent="0.3">
      <c r="A209" s="2" t="s">
        <v>582</v>
      </c>
      <c r="B209" s="5">
        <v>45432</v>
      </c>
      <c r="C209" s="2" t="s">
        <v>71</v>
      </c>
      <c r="D209" s="2" t="s">
        <v>980</v>
      </c>
      <c r="E209" s="2" t="s">
        <v>226</v>
      </c>
      <c r="F209" s="2" t="str">
        <f>VLOOKUP(Orders!E208,Products!A:F,2,FALSE)</f>
        <v>Cooking Oil 1L</v>
      </c>
      <c r="G209" s="2" t="s">
        <v>34</v>
      </c>
      <c r="H209" s="2" t="str">
        <f>VLOOKUP(G209,Employees!A:E,2,FALSE)</f>
        <v>Rohit Sinha</v>
      </c>
      <c r="I209" s="2" t="str">
        <f>VLOOKUP(E209,Products!A:F,3,FALSE)</f>
        <v>Beauty</v>
      </c>
      <c r="J209" s="2" t="s">
        <v>15</v>
      </c>
      <c r="K209" s="2">
        <f>VLOOKUP(E209,Products!A:F,5,FALSE)</f>
        <v>2359.5</v>
      </c>
      <c r="L209" s="2">
        <v>1</v>
      </c>
      <c r="M209" s="2">
        <v>0</v>
      </c>
      <c r="N209" s="2">
        <f t="shared" si="9"/>
        <v>2359.5</v>
      </c>
      <c r="O209" s="2">
        <f t="shared" si="10"/>
        <v>2359.5</v>
      </c>
      <c r="P209" s="2" t="s">
        <v>583</v>
      </c>
      <c r="Q209" s="2" t="s">
        <v>30</v>
      </c>
      <c r="R209" t="str">
        <f t="shared" si="11"/>
        <v/>
      </c>
    </row>
    <row r="210" spans="1:18" x14ac:dyDescent="0.3">
      <c r="A210" s="2" t="s">
        <v>584</v>
      </c>
      <c r="B210" s="5">
        <v>45751</v>
      </c>
      <c r="C210" s="2" t="s">
        <v>214</v>
      </c>
      <c r="D210" s="2" t="s">
        <v>1125</v>
      </c>
      <c r="E210" s="2" t="s">
        <v>226</v>
      </c>
      <c r="F210" s="2" t="str">
        <f>VLOOKUP(Orders!E209,Products!A:F,2,FALSE)</f>
        <v>Moisturizer</v>
      </c>
      <c r="G210" s="2" t="s">
        <v>21</v>
      </c>
      <c r="H210" s="2" t="str">
        <f>VLOOKUP(G210,Employees!A:E,2,FALSE)</f>
        <v>Karan Mehta</v>
      </c>
      <c r="I210" s="2" t="str">
        <f>VLOOKUP(E210,Products!A:F,3,FALSE)</f>
        <v>Beauty</v>
      </c>
      <c r="J210" s="2" t="s">
        <v>73</v>
      </c>
      <c r="K210" s="2">
        <f>VLOOKUP(E210,Products!A:F,5,FALSE)</f>
        <v>2359.5</v>
      </c>
      <c r="L210" s="2">
        <v>10</v>
      </c>
      <c r="M210" s="2">
        <v>0</v>
      </c>
      <c r="N210" s="2">
        <f t="shared" si="9"/>
        <v>23595</v>
      </c>
      <c r="O210" s="2">
        <f t="shared" si="10"/>
        <v>23595</v>
      </c>
      <c r="P210" s="2" t="s">
        <v>423</v>
      </c>
      <c r="Q210" s="2" t="s">
        <v>17</v>
      </c>
      <c r="R210" t="str">
        <f t="shared" si="11"/>
        <v/>
      </c>
    </row>
    <row r="211" spans="1:18" x14ac:dyDescent="0.3">
      <c r="A211" s="2" t="s">
        <v>586</v>
      </c>
      <c r="B211" s="5">
        <v>45512</v>
      </c>
      <c r="C211" s="2" t="s">
        <v>27</v>
      </c>
      <c r="D211" s="2" t="s">
        <v>1105</v>
      </c>
      <c r="E211" s="2" t="s">
        <v>468</v>
      </c>
      <c r="F211" s="2" t="str">
        <f>VLOOKUP(Orders!E210,Products!A:F,2,FALSE)</f>
        <v>Moisturizer</v>
      </c>
      <c r="G211" s="2" t="s">
        <v>82</v>
      </c>
      <c r="H211" s="2" t="str">
        <f>VLOOKUP(G211,Employees!A:E,2,FALSE)</f>
        <v>Priya Nair</v>
      </c>
      <c r="I211" s="2" t="str">
        <f>VLOOKUP(E211,Products!A:F,3,FALSE)</f>
        <v>Toys</v>
      </c>
      <c r="J211" s="2" t="s">
        <v>35</v>
      </c>
      <c r="K211" s="2">
        <f>VLOOKUP(E211,Products!A:F,5,FALSE)</f>
        <v>2113.67</v>
      </c>
      <c r="L211" s="2">
        <v>3</v>
      </c>
      <c r="M211" s="2">
        <v>0.1</v>
      </c>
      <c r="N211" s="2">
        <f t="shared" si="9"/>
        <v>6341.01</v>
      </c>
      <c r="O211" s="2">
        <f t="shared" si="10"/>
        <v>5706.9090000000006</v>
      </c>
      <c r="P211" s="2" t="s">
        <v>158</v>
      </c>
      <c r="Q211" s="2" t="s">
        <v>24</v>
      </c>
      <c r="R211" t="str">
        <f t="shared" si="11"/>
        <v/>
      </c>
    </row>
    <row r="212" spans="1:18" x14ac:dyDescent="0.3">
      <c r="A212" s="2" t="s">
        <v>587</v>
      </c>
      <c r="B212" s="5">
        <v>45587</v>
      </c>
      <c r="C212" s="2" t="s">
        <v>141</v>
      </c>
      <c r="D212" s="2" t="s">
        <v>1115</v>
      </c>
      <c r="E212" s="2" t="s">
        <v>33</v>
      </c>
      <c r="F212" s="2" t="str">
        <f>VLOOKUP(Orders!E211,Products!A:F,2,FALSE)</f>
        <v>Puzzle Set</v>
      </c>
      <c r="G212" s="2" t="s">
        <v>82</v>
      </c>
      <c r="H212" s="2" t="str">
        <f>VLOOKUP(G212,Employees!A:E,2,FALSE)</f>
        <v>Priya Nair</v>
      </c>
      <c r="I212" s="2" t="str">
        <f>VLOOKUP(E212,Products!A:F,3,FALSE)</f>
        <v>Grocery</v>
      </c>
      <c r="J212" s="2" t="s">
        <v>73</v>
      </c>
      <c r="K212" s="2">
        <f>VLOOKUP(E212,Products!A:F,5,FALSE)</f>
        <v>620.89</v>
      </c>
      <c r="L212" s="2">
        <v>4</v>
      </c>
      <c r="M212" s="2">
        <v>0</v>
      </c>
      <c r="N212" s="2">
        <f t="shared" si="9"/>
        <v>2483.56</v>
      </c>
      <c r="O212" s="2">
        <f t="shared" si="10"/>
        <v>2483.56</v>
      </c>
      <c r="P212" s="2" t="s">
        <v>507</v>
      </c>
      <c r="Q212" s="2" t="s">
        <v>60</v>
      </c>
      <c r="R212" t="str">
        <f t="shared" si="11"/>
        <v/>
      </c>
    </row>
    <row r="213" spans="1:18" x14ac:dyDescent="0.3">
      <c r="A213" s="2" t="s">
        <v>589</v>
      </c>
      <c r="B213" s="5">
        <v>45721</v>
      </c>
      <c r="C213" s="2" t="s">
        <v>590</v>
      </c>
      <c r="D213" s="2" t="s">
        <v>1140</v>
      </c>
      <c r="E213" s="2" t="s">
        <v>468</v>
      </c>
      <c r="F213" s="2" t="str">
        <f>VLOOKUP(Orders!E212,Products!A:F,2,FALSE)</f>
        <v>Cooking Oil 1L</v>
      </c>
      <c r="G213" s="2" t="s">
        <v>21</v>
      </c>
      <c r="H213" s="2" t="str">
        <f>VLOOKUP(G213,Employees!A:E,2,FALSE)</f>
        <v>Karan Mehta</v>
      </c>
      <c r="I213" s="2" t="str">
        <f>VLOOKUP(E213,Products!A:F,3,FALSE)</f>
        <v>Toys</v>
      </c>
      <c r="J213" s="2" t="s">
        <v>73</v>
      </c>
      <c r="K213" s="2">
        <f>VLOOKUP(E213,Products!A:F,5,FALSE)</f>
        <v>2113.67</v>
      </c>
      <c r="L213" s="2">
        <v>10</v>
      </c>
      <c r="M213" s="2">
        <v>0.05</v>
      </c>
      <c r="N213" s="2">
        <f t="shared" si="9"/>
        <v>21136.7</v>
      </c>
      <c r="O213" s="2">
        <f t="shared" si="10"/>
        <v>20079.864999999998</v>
      </c>
      <c r="P213" s="2" t="s">
        <v>591</v>
      </c>
      <c r="Q213" s="2" t="s">
        <v>30</v>
      </c>
      <c r="R213" t="str">
        <f t="shared" si="11"/>
        <v/>
      </c>
    </row>
    <row r="214" spans="1:18" x14ac:dyDescent="0.3">
      <c r="A214" s="2" t="s">
        <v>592</v>
      </c>
      <c r="B214" s="5">
        <v>45308</v>
      </c>
      <c r="C214" s="2" t="s">
        <v>176</v>
      </c>
      <c r="D214" s="2" t="s">
        <v>1120</v>
      </c>
      <c r="E214" s="2" t="s">
        <v>40</v>
      </c>
      <c r="F214" s="2" t="str">
        <f>VLOOKUP(Orders!E213,Products!A:F,2,FALSE)</f>
        <v>Puzzle Set</v>
      </c>
      <c r="G214" s="2" t="s">
        <v>21</v>
      </c>
      <c r="H214" s="2" t="str">
        <f>VLOOKUP(G214,Employees!A:E,2,FALSE)</f>
        <v>Karan Mehta</v>
      </c>
      <c r="I214" s="2" t="str">
        <f>VLOOKUP(E214,Products!A:F,3,FALSE)</f>
        <v>Toys</v>
      </c>
      <c r="J214" s="2" t="s">
        <v>15</v>
      </c>
      <c r="K214" s="2">
        <f>VLOOKUP(E214,Products!A:F,5,FALSE)</f>
        <v>136.91</v>
      </c>
      <c r="L214" s="2">
        <v>9</v>
      </c>
      <c r="M214" s="2">
        <v>0.1</v>
      </c>
      <c r="N214" s="2">
        <f t="shared" si="9"/>
        <v>1232.19</v>
      </c>
      <c r="O214" s="2">
        <f t="shared" si="10"/>
        <v>1108.971</v>
      </c>
      <c r="P214" s="2" t="s">
        <v>119</v>
      </c>
      <c r="Q214" s="2" t="s">
        <v>17</v>
      </c>
      <c r="R214" t="str">
        <f t="shared" si="11"/>
        <v/>
      </c>
    </row>
    <row r="215" spans="1:18" x14ac:dyDescent="0.3">
      <c r="A215" s="2" t="s">
        <v>594</v>
      </c>
      <c r="B215" s="5">
        <v>45731</v>
      </c>
      <c r="C215" s="2" t="s">
        <v>115</v>
      </c>
      <c r="D215" s="2" t="s">
        <v>996</v>
      </c>
      <c r="E215" s="2" t="s">
        <v>106</v>
      </c>
      <c r="F215" s="2" t="str">
        <f>VLOOKUP(Orders!E214,Products!A:F,2,FALSE)</f>
        <v>Board Game</v>
      </c>
      <c r="G215" s="2" t="s">
        <v>45</v>
      </c>
      <c r="H215" s="2" t="str">
        <f>VLOOKUP(G215,Employees!A:E,2,FALSE)</f>
        <v>Rajesh Iyer</v>
      </c>
      <c r="I215" s="2" t="str">
        <f>VLOOKUP(E215,Products!A:F,3,FALSE)</f>
        <v>Clothing</v>
      </c>
      <c r="J215" s="2" t="s">
        <v>15</v>
      </c>
      <c r="K215" s="2">
        <f>VLOOKUP(E215,Products!A:F,5,FALSE)</f>
        <v>1559.65</v>
      </c>
      <c r="L215" s="2">
        <v>1</v>
      </c>
      <c r="M215" s="2">
        <v>0.1</v>
      </c>
      <c r="N215" s="2">
        <f t="shared" si="9"/>
        <v>1559.65</v>
      </c>
      <c r="O215" s="2">
        <f t="shared" si="10"/>
        <v>1403.6850000000002</v>
      </c>
      <c r="P215" s="2" t="s">
        <v>595</v>
      </c>
      <c r="Q215" s="2" t="s">
        <v>42</v>
      </c>
      <c r="R215" t="str">
        <f t="shared" si="11"/>
        <v/>
      </c>
    </row>
    <row r="216" spans="1:18" x14ac:dyDescent="0.3">
      <c r="A216" s="2" t="s">
        <v>596</v>
      </c>
      <c r="B216" s="5">
        <v>45718</v>
      </c>
      <c r="C216" s="2" t="s">
        <v>403</v>
      </c>
      <c r="D216" s="2" t="s">
        <v>1135</v>
      </c>
      <c r="E216" s="2" t="s">
        <v>254</v>
      </c>
      <c r="F216" s="2" t="str">
        <f>VLOOKUP(Orders!E215,Products!A:F,2,FALSE)</f>
        <v>Winter Scarf</v>
      </c>
      <c r="G216" s="2" t="s">
        <v>14</v>
      </c>
      <c r="H216" s="2" t="str">
        <f>VLOOKUP(G216,Employees!A:E,2,FALSE)</f>
        <v>Fatima Sheikh</v>
      </c>
      <c r="I216" s="2" t="str">
        <f>VLOOKUP(E216,Products!A:F,3,FALSE)</f>
        <v>Books</v>
      </c>
      <c r="J216" s="2" t="s">
        <v>22</v>
      </c>
      <c r="K216" s="2">
        <f>VLOOKUP(E216,Products!A:F,5,FALSE)</f>
        <v>605.26</v>
      </c>
      <c r="L216" s="2">
        <v>3</v>
      </c>
      <c r="M216" s="2">
        <v>0.15</v>
      </c>
      <c r="N216" s="2">
        <f t="shared" si="9"/>
        <v>1815.78</v>
      </c>
      <c r="O216" s="2">
        <f t="shared" si="10"/>
        <v>1543.413</v>
      </c>
      <c r="P216" s="2" t="s">
        <v>597</v>
      </c>
      <c r="Q216" s="2" t="s">
        <v>24</v>
      </c>
      <c r="R216" t="str">
        <f t="shared" si="11"/>
        <v/>
      </c>
    </row>
    <row r="217" spans="1:18" x14ac:dyDescent="0.3">
      <c r="A217" s="2" t="s">
        <v>598</v>
      </c>
      <c r="B217" s="5">
        <v>45830</v>
      </c>
      <c r="C217" s="2" t="s">
        <v>311</v>
      </c>
      <c r="D217" s="2" t="s">
        <v>1132</v>
      </c>
      <c r="E217" s="2" t="s">
        <v>254</v>
      </c>
      <c r="F217" s="2" t="str">
        <f>VLOOKUP(Orders!E216,Products!A:F,2,FALSE)</f>
        <v>Self-Help Book</v>
      </c>
      <c r="G217" s="2" t="s">
        <v>14</v>
      </c>
      <c r="H217" s="2" t="str">
        <f>VLOOKUP(G217,Employees!A:E,2,FALSE)</f>
        <v>Fatima Sheikh</v>
      </c>
      <c r="I217" s="2" t="str">
        <f>VLOOKUP(E217,Products!A:F,3,FALSE)</f>
        <v>Books</v>
      </c>
      <c r="J217" s="2" t="s">
        <v>73</v>
      </c>
      <c r="K217" s="2">
        <f>VLOOKUP(E217,Products!A:F,5,FALSE)</f>
        <v>605.26</v>
      </c>
      <c r="L217" s="2">
        <v>9</v>
      </c>
      <c r="M217" s="2">
        <v>0.1</v>
      </c>
      <c r="N217" s="2">
        <f t="shared" si="9"/>
        <v>5447.34</v>
      </c>
      <c r="O217" s="2">
        <f t="shared" si="10"/>
        <v>4902.6060000000007</v>
      </c>
      <c r="P217" s="2" t="s">
        <v>600</v>
      </c>
      <c r="Q217" s="2" t="s">
        <v>30</v>
      </c>
      <c r="R217" t="str">
        <f t="shared" si="11"/>
        <v/>
      </c>
    </row>
    <row r="218" spans="1:18" x14ac:dyDescent="0.3">
      <c r="A218" s="2" t="s">
        <v>601</v>
      </c>
      <c r="B218" s="5">
        <v>45773</v>
      </c>
      <c r="C218" s="2" t="s">
        <v>98</v>
      </c>
      <c r="D218" s="2" t="s">
        <v>1110</v>
      </c>
      <c r="E218" s="2" t="s">
        <v>121</v>
      </c>
      <c r="F218" s="2" t="str">
        <f>VLOOKUP(Orders!E217,Products!A:F,2,FALSE)</f>
        <v>Self-Help Book</v>
      </c>
      <c r="G218" s="2" t="s">
        <v>14</v>
      </c>
      <c r="H218" s="2" t="str">
        <f>VLOOKUP(G218,Employees!A:E,2,FALSE)</f>
        <v>Fatima Sheikh</v>
      </c>
      <c r="I218" s="2" t="str">
        <f>VLOOKUP(E218,Products!A:F,3,FALSE)</f>
        <v>Beauty</v>
      </c>
      <c r="J218" s="2" t="s">
        <v>22</v>
      </c>
      <c r="K218" s="2">
        <f>VLOOKUP(E218,Products!A:F,5,FALSE)</f>
        <v>3414.07</v>
      </c>
      <c r="L218" s="2">
        <v>1</v>
      </c>
      <c r="M218" s="2">
        <v>0.15</v>
      </c>
      <c r="N218" s="2">
        <f t="shared" si="9"/>
        <v>3414.07</v>
      </c>
      <c r="O218" s="2">
        <f t="shared" si="10"/>
        <v>2901.9594999999999</v>
      </c>
      <c r="P218" s="2" t="s">
        <v>165</v>
      </c>
      <c r="Q218" s="2" t="s">
        <v>17</v>
      </c>
      <c r="R218" t="str">
        <f t="shared" si="11"/>
        <v/>
      </c>
    </row>
    <row r="219" spans="1:18" x14ac:dyDescent="0.3">
      <c r="A219" s="2" t="s">
        <v>602</v>
      </c>
      <c r="B219" s="5">
        <v>45308</v>
      </c>
      <c r="C219" s="2" t="s">
        <v>66</v>
      </c>
      <c r="D219" s="2" t="s">
        <v>1108</v>
      </c>
      <c r="E219" s="2" t="s">
        <v>85</v>
      </c>
      <c r="F219" s="2" t="str">
        <f>VLOOKUP(Orders!E218,Products!A:F,2,FALSE)</f>
        <v>Hair Serum</v>
      </c>
      <c r="G219" s="2" t="s">
        <v>82</v>
      </c>
      <c r="H219" s="2" t="str">
        <f>VLOOKUP(G219,Employees!A:E,2,FALSE)</f>
        <v>Priya Nair</v>
      </c>
      <c r="I219" s="2" t="str">
        <f>VLOOKUP(E219,Products!A:F,3,FALSE)</f>
        <v>Grocery</v>
      </c>
      <c r="J219" s="2" t="s">
        <v>22</v>
      </c>
      <c r="K219" s="2">
        <f>VLOOKUP(E219,Products!A:F,5,FALSE)</f>
        <v>3457.28</v>
      </c>
      <c r="L219" s="2">
        <v>6</v>
      </c>
      <c r="M219" s="2">
        <v>0.2</v>
      </c>
      <c r="N219" s="2">
        <f t="shared" si="9"/>
        <v>20743.68</v>
      </c>
      <c r="O219" s="2">
        <f t="shared" si="10"/>
        <v>16594.944</v>
      </c>
      <c r="P219" s="2" t="s">
        <v>375</v>
      </c>
      <c r="Q219" s="2" t="s">
        <v>60</v>
      </c>
      <c r="R219" t="str">
        <f t="shared" si="11"/>
        <v/>
      </c>
    </row>
    <row r="220" spans="1:18" x14ac:dyDescent="0.3">
      <c r="A220" s="2" t="s">
        <v>603</v>
      </c>
      <c r="B220" s="5">
        <v>45398</v>
      </c>
      <c r="C220" s="2" t="s">
        <v>605</v>
      </c>
      <c r="D220" s="2" t="s">
        <v>1023</v>
      </c>
      <c r="E220" s="2" t="s">
        <v>50</v>
      </c>
      <c r="F220" s="2" t="str">
        <f>VLOOKUP(Orders!E219,Products!A:F,2,FALSE)</f>
        <v>Almonds 500g</v>
      </c>
      <c r="G220" s="2" t="s">
        <v>21</v>
      </c>
      <c r="H220" s="2" t="str">
        <f>VLOOKUP(G220,Employees!A:E,2,FALSE)</f>
        <v>Karan Mehta</v>
      </c>
      <c r="I220" s="2" t="str">
        <f>VLOOKUP(E220,Products!A:F,3,FALSE)</f>
        <v>Grocery</v>
      </c>
      <c r="J220" s="2" t="s">
        <v>15</v>
      </c>
      <c r="K220" s="2">
        <f>VLOOKUP(E220,Products!A:F,5,FALSE)</f>
        <v>2041.83</v>
      </c>
      <c r="L220" s="2">
        <v>10</v>
      </c>
      <c r="M220" s="2">
        <v>0.15</v>
      </c>
      <c r="N220" s="2">
        <f t="shared" si="9"/>
        <v>20418.3</v>
      </c>
      <c r="O220" s="2">
        <f t="shared" si="10"/>
        <v>17355.555</v>
      </c>
      <c r="P220" s="2" t="s">
        <v>556</v>
      </c>
      <c r="Q220" s="2" t="s">
        <v>24</v>
      </c>
      <c r="R220" t="str">
        <f t="shared" si="11"/>
        <v/>
      </c>
    </row>
    <row r="221" spans="1:18" x14ac:dyDescent="0.3">
      <c r="A221" s="2" t="s">
        <v>606</v>
      </c>
      <c r="B221" s="5">
        <v>45652</v>
      </c>
      <c r="C221" s="2" t="s">
        <v>607</v>
      </c>
      <c r="D221" s="2" t="s">
        <v>1141</v>
      </c>
      <c r="E221" s="2" t="s">
        <v>40</v>
      </c>
      <c r="F221" s="2" t="str">
        <f>VLOOKUP(Orders!E220,Products!A:F,2,FALSE)</f>
        <v>Spice Combo</v>
      </c>
      <c r="G221" s="2" t="s">
        <v>21</v>
      </c>
      <c r="H221" s="2" t="str">
        <f>VLOOKUP(G221,Employees!A:E,2,FALSE)</f>
        <v>Karan Mehta</v>
      </c>
      <c r="I221" s="2" t="str">
        <f>VLOOKUP(E221,Products!A:F,3,FALSE)</f>
        <v>Toys</v>
      </c>
      <c r="J221" s="2" t="s">
        <v>35</v>
      </c>
      <c r="K221" s="2">
        <f>VLOOKUP(E221,Products!A:F,5,FALSE)</f>
        <v>136.91</v>
      </c>
      <c r="L221" s="2">
        <v>9</v>
      </c>
      <c r="M221" s="2">
        <v>0</v>
      </c>
      <c r="N221" s="2">
        <f t="shared" si="9"/>
        <v>1232.19</v>
      </c>
      <c r="O221" s="2">
        <f t="shared" si="10"/>
        <v>1232.19</v>
      </c>
      <c r="P221" s="2" t="s">
        <v>608</v>
      </c>
      <c r="Q221" s="2" t="s">
        <v>30</v>
      </c>
      <c r="R221" t="str">
        <f t="shared" si="11"/>
        <v/>
      </c>
    </row>
    <row r="222" spans="1:18" x14ac:dyDescent="0.3">
      <c r="A222" s="2" t="s">
        <v>609</v>
      </c>
      <c r="B222" s="5">
        <v>45478</v>
      </c>
      <c r="C222" s="2" t="s">
        <v>124</v>
      </c>
      <c r="D222" s="2" t="s">
        <v>1112</v>
      </c>
      <c r="E222" s="2" t="s">
        <v>81</v>
      </c>
      <c r="F222" s="2" t="str">
        <f>VLOOKUP(Orders!E221,Products!A:F,2,FALSE)</f>
        <v>Board Game</v>
      </c>
      <c r="G222" s="2" t="s">
        <v>82</v>
      </c>
      <c r="H222" s="2" t="str">
        <f>VLOOKUP(G222,Employees!A:E,2,FALSE)</f>
        <v>Priya Nair</v>
      </c>
      <c r="I222" s="2" t="str">
        <f>VLOOKUP(E222,Products!A:F,3,FALSE)</f>
        <v>Electronics</v>
      </c>
      <c r="J222" s="2" t="s">
        <v>73</v>
      </c>
      <c r="K222" s="2">
        <f>VLOOKUP(E222,Products!A:F,5,FALSE)</f>
        <v>1044.7</v>
      </c>
      <c r="L222" s="2">
        <v>3</v>
      </c>
      <c r="M222" s="2">
        <v>0</v>
      </c>
      <c r="N222" s="2">
        <f t="shared" si="9"/>
        <v>3134.1000000000004</v>
      </c>
      <c r="O222" s="2">
        <f t="shared" si="10"/>
        <v>3134.1000000000004</v>
      </c>
      <c r="P222" s="2" t="s">
        <v>388</v>
      </c>
      <c r="Q222" s="2" t="s">
        <v>17</v>
      </c>
      <c r="R222" t="str">
        <f t="shared" si="11"/>
        <v/>
      </c>
    </row>
    <row r="223" spans="1:18" x14ac:dyDescent="0.3">
      <c r="A223" s="2" t="s">
        <v>610</v>
      </c>
      <c r="B223" s="5">
        <v>45498</v>
      </c>
      <c r="C223" s="2" t="s">
        <v>58</v>
      </c>
      <c r="D223" s="2" t="s">
        <v>1014</v>
      </c>
      <c r="E223" s="2" t="s">
        <v>54</v>
      </c>
      <c r="F223" s="2" t="str">
        <f>VLOOKUP(Orders!E222,Products!A:F,2,FALSE)</f>
        <v>Earbuds</v>
      </c>
      <c r="G223" s="2" t="s">
        <v>34</v>
      </c>
      <c r="H223" s="2" t="str">
        <f>VLOOKUP(G223,Employees!A:E,2,FALSE)</f>
        <v>Rohit Sinha</v>
      </c>
      <c r="I223" s="2" t="str">
        <f>VLOOKUP(E223,Products!A:F,3,FALSE)</f>
        <v>Clothing</v>
      </c>
      <c r="J223" s="2" t="s">
        <v>73</v>
      </c>
      <c r="K223" s="2">
        <f>VLOOKUP(E223,Products!A:F,5,FALSE)</f>
        <v>3929.31</v>
      </c>
      <c r="L223" s="2">
        <v>1</v>
      </c>
      <c r="M223" s="2">
        <v>0.2</v>
      </c>
      <c r="N223" s="2">
        <f t="shared" si="9"/>
        <v>3929.31</v>
      </c>
      <c r="O223" s="2">
        <f t="shared" si="10"/>
        <v>3143.4480000000003</v>
      </c>
      <c r="P223" s="2" t="s">
        <v>612</v>
      </c>
      <c r="Q223" s="2" t="s">
        <v>17</v>
      </c>
      <c r="R223" t="str">
        <f t="shared" si="11"/>
        <v/>
      </c>
    </row>
    <row r="224" spans="1:18" x14ac:dyDescent="0.3">
      <c r="A224" s="2" t="s">
        <v>613</v>
      </c>
      <c r="B224" s="5">
        <v>45609</v>
      </c>
      <c r="C224" s="2" t="s">
        <v>187</v>
      </c>
      <c r="D224" s="2" t="s">
        <v>1122</v>
      </c>
      <c r="E224" s="2" t="s">
        <v>130</v>
      </c>
      <c r="F224" s="2" t="str">
        <f>VLOOKUP(Orders!E223,Products!A:F,2,FALSE)</f>
        <v>Hoodie</v>
      </c>
      <c r="G224" s="2" t="s">
        <v>82</v>
      </c>
      <c r="H224" s="2" t="str">
        <f>VLOOKUP(G224,Employees!A:E,2,FALSE)</f>
        <v>Priya Nair</v>
      </c>
      <c r="I224" s="2" t="str">
        <f>VLOOKUP(E224,Products!A:F,3,FALSE)</f>
        <v>Sports</v>
      </c>
      <c r="J224" s="2" t="s">
        <v>35</v>
      </c>
      <c r="K224" s="2">
        <f>VLOOKUP(E224,Products!A:F,5,FALSE)</f>
        <v>3128.51</v>
      </c>
      <c r="L224" s="2">
        <v>9</v>
      </c>
      <c r="M224" s="2">
        <v>0.05</v>
      </c>
      <c r="N224" s="2">
        <f t="shared" si="9"/>
        <v>28156.590000000004</v>
      </c>
      <c r="O224" s="2">
        <f t="shared" si="10"/>
        <v>26748.760500000004</v>
      </c>
      <c r="P224" s="2" t="s">
        <v>393</v>
      </c>
      <c r="Q224" s="2" t="s">
        <v>17</v>
      </c>
      <c r="R224" t="str">
        <f t="shared" si="11"/>
        <v/>
      </c>
    </row>
    <row r="225" spans="1:18" x14ac:dyDescent="0.3">
      <c r="A225" s="2" t="s">
        <v>614</v>
      </c>
      <c r="B225" s="5">
        <v>45329</v>
      </c>
      <c r="C225" s="2" t="s">
        <v>590</v>
      </c>
      <c r="D225" s="2" t="s">
        <v>1140</v>
      </c>
      <c r="E225" s="2" t="s">
        <v>316</v>
      </c>
      <c r="F225" s="2" t="str">
        <f>VLOOKUP(Orders!E224,Products!A:F,2,FALSE)</f>
        <v>Cricket Bat</v>
      </c>
      <c r="G225" s="2" t="s">
        <v>14</v>
      </c>
      <c r="H225" s="2" t="str">
        <f>VLOOKUP(G225,Employees!A:E,2,FALSE)</f>
        <v>Fatima Sheikh</v>
      </c>
      <c r="I225" s="2" t="str">
        <f>VLOOKUP(E225,Products!A:F,3,FALSE)</f>
        <v>Beauty</v>
      </c>
      <c r="J225" s="2" t="s">
        <v>73</v>
      </c>
      <c r="K225" s="2">
        <f>VLOOKUP(E225,Products!A:F,5,FALSE)</f>
        <v>2405.98</v>
      </c>
      <c r="L225" s="2">
        <v>4</v>
      </c>
      <c r="M225" s="2">
        <v>0</v>
      </c>
      <c r="N225" s="2">
        <f t="shared" si="9"/>
        <v>9623.92</v>
      </c>
      <c r="O225" s="2">
        <f t="shared" si="10"/>
        <v>9623.92</v>
      </c>
      <c r="P225" s="2" t="s">
        <v>308</v>
      </c>
      <c r="Q225" s="2" t="s">
        <v>17</v>
      </c>
      <c r="R225" t="str">
        <f t="shared" si="11"/>
        <v/>
      </c>
    </row>
    <row r="226" spans="1:18" x14ac:dyDescent="0.3">
      <c r="A226" s="2" t="s">
        <v>615</v>
      </c>
      <c r="B226" s="5">
        <v>45571</v>
      </c>
      <c r="C226" s="2" t="s">
        <v>331</v>
      </c>
      <c r="D226" s="2" t="s">
        <v>1006</v>
      </c>
      <c r="E226" s="2" t="s">
        <v>345</v>
      </c>
      <c r="F226" s="2" t="str">
        <f>VLOOKUP(Orders!E225,Products!A:F,2,FALSE)</f>
        <v>Sunscreen</v>
      </c>
      <c r="G226" s="2" t="s">
        <v>45</v>
      </c>
      <c r="H226" s="2" t="str">
        <f>VLOOKUP(G226,Employees!A:E,2,FALSE)</f>
        <v>Rajesh Iyer</v>
      </c>
      <c r="I226" s="2" t="str">
        <f>VLOOKUP(E226,Products!A:F,3,FALSE)</f>
        <v>Toys</v>
      </c>
      <c r="J226" s="2" t="s">
        <v>35</v>
      </c>
      <c r="K226" s="2">
        <f>VLOOKUP(E226,Products!A:F,5,FALSE)</f>
        <v>1212.79</v>
      </c>
      <c r="L226" s="2">
        <v>2</v>
      </c>
      <c r="M226" s="2">
        <v>0.2</v>
      </c>
      <c r="N226" s="2">
        <f t="shared" si="9"/>
        <v>2425.58</v>
      </c>
      <c r="O226" s="2">
        <f t="shared" si="10"/>
        <v>1940.4639999999999</v>
      </c>
      <c r="P226" s="2" t="s">
        <v>195</v>
      </c>
      <c r="Q226" s="2" t="s">
        <v>30</v>
      </c>
      <c r="R226" t="str">
        <f t="shared" si="11"/>
        <v/>
      </c>
    </row>
    <row r="227" spans="1:18" x14ac:dyDescent="0.3">
      <c r="A227" s="2" t="s">
        <v>616</v>
      </c>
      <c r="B227" s="5">
        <v>45742</v>
      </c>
      <c r="C227" s="2" t="s">
        <v>199</v>
      </c>
      <c r="D227" s="2" t="s">
        <v>1123</v>
      </c>
      <c r="E227" s="2" t="s">
        <v>454</v>
      </c>
      <c r="F227" s="2" t="str">
        <f>VLOOKUP(Orders!E226,Products!A:F,2,FALSE)</f>
        <v>Soft Toy</v>
      </c>
      <c r="G227" s="2" t="s">
        <v>34</v>
      </c>
      <c r="H227" s="2" t="str">
        <f>VLOOKUP(G227,Employees!A:E,2,FALSE)</f>
        <v>Rohit Sinha</v>
      </c>
      <c r="I227" s="2" t="str">
        <f>VLOOKUP(E227,Products!A:F,3,FALSE)</f>
        <v>Books</v>
      </c>
      <c r="J227" s="2" t="s">
        <v>35</v>
      </c>
      <c r="K227" s="2">
        <f>VLOOKUP(E227,Products!A:F,5,FALSE)</f>
        <v>1253.57</v>
      </c>
      <c r="L227" s="2">
        <v>7</v>
      </c>
      <c r="M227" s="2">
        <v>0</v>
      </c>
      <c r="N227" s="2">
        <f t="shared" si="9"/>
        <v>8774.99</v>
      </c>
      <c r="O227" s="2">
        <f t="shared" si="10"/>
        <v>8774.99</v>
      </c>
      <c r="P227" s="2" t="s">
        <v>618</v>
      </c>
      <c r="Q227" s="2" t="s">
        <v>30</v>
      </c>
      <c r="R227" t="str">
        <f t="shared" si="11"/>
        <v/>
      </c>
    </row>
    <row r="228" spans="1:18" x14ac:dyDescent="0.3">
      <c r="A228" s="2" t="s">
        <v>619</v>
      </c>
      <c r="B228" s="5">
        <v>45668</v>
      </c>
      <c r="C228" s="2" t="s">
        <v>245</v>
      </c>
      <c r="D228" s="2" t="s">
        <v>1128</v>
      </c>
      <c r="E228" s="2" t="s">
        <v>206</v>
      </c>
      <c r="F228" s="2" t="str">
        <f>VLOOKUP(Orders!E227,Products!A:F,2,FALSE)</f>
        <v>Comic Book</v>
      </c>
      <c r="G228" s="2" t="s">
        <v>82</v>
      </c>
      <c r="H228" s="2" t="str">
        <f>VLOOKUP(G228,Employees!A:E,2,FALSE)</f>
        <v>Priya Nair</v>
      </c>
      <c r="I228" s="2" t="str">
        <f>VLOOKUP(E228,Products!A:F,3,FALSE)</f>
        <v>Electronics</v>
      </c>
      <c r="J228" s="2" t="s">
        <v>35</v>
      </c>
      <c r="K228" s="2">
        <f>VLOOKUP(E228,Products!A:F,5,FALSE)</f>
        <v>2779.58</v>
      </c>
      <c r="L228" s="2">
        <v>9</v>
      </c>
      <c r="M228" s="2">
        <v>0</v>
      </c>
      <c r="N228" s="2">
        <f t="shared" si="9"/>
        <v>25016.22</v>
      </c>
      <c r="O228" s="2">
        <f t="shared" si="10"/>
        <v>25016.22</v>
      </c>
      <c r="P228" s="2" t="s">
        <v>620</v>
      </c>
      <c r="Q228" s="2" t="s">
        <v>24</v>
      </c>
      <c r="R228" t="str">
        <f t="shared" si="11"/>
        <v/>
      </c>
    </row>
    <row r="229" spans="1:18" x14ac:dyDescent="0.3">
      <c r="A229" s="2" t="s">
        <v>621</v>
      </c>
      <c r="B229" s="5">
        <v>45732</v>
      </c>
      <c r="C229" s="2" t="s">
        <v>462</v>
      </c>
      <c r="D229" s="2" t="s">
        <v>1137</v>
      </c>
      <c r="E229" s="2" t="s">
        <v>116</v>
      </c>
      <c r="F229" s="2" t="str">
        <f>VLOOKUP(Orders!E228,Products!A:F,2,FALSE)</f>
        <v>Power Bank</v>
      </c>
      <c r="G229" s="2" t="s">
        <v>14</v>
      </c>
      <c r="H229" s="2" t="str">
        <f>VLOOKUP(G229,Employees!A:E,2,FALSE)</f>
        <v>Fatima Sheikh</v>
      </c>
      <c r="I229" s="2" t="str">
        <f>VLOOKUP(E229,Products!A:F,3,FALSE)</f>
        <v>Clothing</v>
      </c>
      <c r="J229" s="2" t="s">
        <v>22</v>
      </c>
      <c r="K229" s="2">
        <f>VLOOKUP(E229,Products!A:F,5,FALSE)</f>
        <v>1156.02</v>
      </c>
      <c r="L229" s="2">
        <v>10</v>
      </c>
      <c r="M229" s="2">
        <v>0.2</v>
      </c>
      <c r="N229" s="2">
        <f t="shared" si="9"/>
        <v>11560.2</v>
      </c>
      <c r="O229" s="2">
        <f t="shared" si="10"/>
        <v>9248.1600000000017</v>
      </c>
      <c r="P229" s="2" t="s">
        <v>186</v>
      </c>
      <c r="Q229" s="2" t="s">
        <v>17</v>
      </c>
      <c r="R229" t="str">
        <f t="shared" si="11"/>
        <v/>
      </c>
    </row>
    <row r="230" spans="1:18" x14ac:dyDescent="0.3">
      <c r="A230" s="2" t="s">
        <v>622</v>
      </c>
      <c r="B230" s="5">
        <v>45397</v>
      </c>
      <c r="C230" s="2" t="s">
        <v>176</v>
      </c>
      <c r="D230" s="2" t="s">
        <v>1120</v>
      </c>
      <c r="E230" s="2" t="s">
        <v>210</v>
      </c>
      <c r="F230" s="2" t="str">
        <f>VLOOKUP(Orders!E229,Products!A:F,2,FALSE)</f>
        <v>Formal Shirt</v>
      </c>
      <c r="G230" s="2" t="s">
        <v>82</v>
      </c>
      <c r="H230" s="2" t="str">
        <f>VLOOKUP(G230,Employees!A:E,2,FALSE)</f>
        <v>Priya Nair</v>
      </c>
      <c r="I230" s="2" t="str">
        <f>VLOOKUP(E230,Products!A:F,3,FALSE)</f>
        <v>Sports</v>
      </c>
      <c r="J230" s="2" t="s">
        <v>22</v>
      </c>
      <c r="K230" s="2">
        <f>VLOOKUP(E230,Products!A:F,5,FALSE)</f>
        <v>1187.29</v>
      </c>
      <c r="L230" s="2">
        <v>2</v>
      </c>
      <c r="M230" s="2">
        <v>0</v>
      </c>
      <c r="N230" s="2">
        <f t="shared" si="9"/>
        <v>2374.58</v>
      </c>
      <c r="O230" s="2">
        <f t="shared" si="10"/>
        <v>2374.58</v>
      </c>
      <c r="P230" s="2" t="s">
        <v>412</v>
      </c>
      <c r="Q230" s="2" t="s">
        <v>30</v>
      </c>
      <c r="R230" t="str">
        <f t="shared" si="11"/>
        <v/>
      </c>
    </row>
    <row r="231" spans="1:18" x14ac:dyDescent="0.3">
      <c r="A231" s="2" t="s">
        <v>623</v>
      </c>
      <c r="B231" s="5">
        <v>45728</v>
      </c>
      <c r="C231" s="2" t="s">
        <v>171</v>
      </c>
      <c r="D231" s="2" t="s">
        <v>1010</v>
      </c>
      <c r="E231" s="2" t="s">
        <v>196</v>
      </c>
      <c r="F231" s="2" t="str">
        <f>VLOOKUP(Orders!E230,Products!A:F,2,FALSE)</f>
        <v>Skipping Rope</v>
      </c>
      <c r="G231" s="2" t="s">
        <v>45</v>
      </c>
      <c r="H231" s="2" t="str">
        <f>VLOOKUP(G231,Employees!A:E,2,FALSE)</f>
        <v>Rajesh Iyer</v>
      </c>
      <c r="I231" s="2" t="str">
        <f>VLOOKUP(E231,Products!A:F,3,FALSE)</f>
        <v>Electronics</v>
      </c>
      <c r="J231" s="2" t="s">
        <v>22</v>
      </c>
      <c r="K231" s="2">
        <f>VLOOKUP(E231,Products!A:F,5,FALSE)</f>
        <v>2184.5100000000002</v>
      </c>
      <c r="L231" s="2">
        <v>3</v>
      </c>
      <c r="M231" s="2">
        <v>0.15</v>
      </c>
      <c r="N231" s="2">
        <f t="shared" si="9"/>
        <v>6553.5300000000007</v>
      </c>
      <c r="O231" s="2">
        <f t="shared" si="10"/>
        <v>5570.5005000000001</v>
      </c>
      <c r="P231" s="2" t="s">
        <v>78</v>
      </c>
      <c r="Q231" s="2" t="s">
        <v>30</v>
      </c>
      <c r="R231" t="str">
        <f t="shared" si="11"/>
        <v/>
      </c>
    </row>
    <row r="232" spans="1:18" x14ac:dyDescent="0.3">
      <c r="A232" s="2" t="s">
        <v>624</v>
      </c>
      <c r="B232" s="5">
        <v>45335</v>
      </c>
      <c r="C232" s="2" t="s">
        <v>27</v>
      </c>
      <c r="D232" s="2" t="s">
        <v>1105</v>
      </c>
      <c r="E232" s="2" t="s">
        <v>13</v>
      </c>
      <c r="F232" s="2" t="str">
        <f>VLOOKUP(Orders!E231,Products!A:F,2,FALSE)</f>
        <v>Laptop Stand</v>
      </c>
      <c r="G232" s="2" t="s">
        <v>14</v>
      </c>
      <c r="H232" s="2" t="str">
        <f>VLOOKUP(G232,Employees!A:E,2,FALSE)</f>
        <v>Fatima Sheikh</v>
      </c>
      <c r="I232" s="2" t="str">
        <f>VLOOKUP(E232,Products!A:F,3,FALSE)</f>
        <v>Sports</v>
      </c>
      <c r="J232" s="2" t="s">
        <v>22</v>
      </c>
      <c r="K232" s="2">
        <f>VLOOKUP(E232,Products!A:F,5,FALSE)</f>
        <v>3493.54</v>
      </c>
      <c r="L232" s="2">
        <v>6</v>
      </c>
      <c r="M232" s="2">
        <v>0.1</v>
      </c>
      <c r="N232" s="2">
        <f t="shared" si="9"/>
        <v>20961.239999999998</v>
      </c>
      <c r="O232" s="2">
        <f t="shared" si="10"/>
        <v>18865.115999999998</v>
      </c>
      <c r="P232" s="2" t="s">
        <v>298</v>
      </c>
      <c r="Q232" s="2" t="s">
        <v>24</v>
      </c>
      <c r="R232" t="str">
        <f t="shared" si="11"/>
        <v/>
      </c>
    </row>
    <row r="233" spans="1:18" x14ac:dyDescent="0.3">
      <c r="A233" s="2" t="s">
        <v>625</v>
      </c>
      <c r="B233" s="5">
        <v>45368</v>
      </c>
      <c r="C233" s="2" t="s">
        <v>187</v>
      </c>
      <c r="D233" s="2" t="s">
        <v>1122</v>
      </c>
      <c r="E233" s="2" t="s">
        <v>148</v>
      </c>
      <c r="F233" s="2" t="str">
        <f>VLOOKUP(Orders!E232,Products!A:F,2,FALSE)</f>
        <v>Football</v>
      </c>
      <c r="G233" s="2" t="s">
        <v>34</v>
      </c>
      <c r="H233" s="2" t="str">
        <f>VLOOKUP(G233,Employees!A:E,2,FALSE)</f>
        <v>Rohit Sinha</v>
      </c>
      <c r="I233" s="2" t="str">
        <f>VLOOKUP(E233,Products!A:F,3,FALSE)</f>
        <v>Grocery</v>
      </c>
      <c r="J233" s="2" t="s">
        <v>15</v>
      </c>
      <c r="K233" s="2">
        <f>VLOOKUP(E233,Products!A:F,5,FALSE)</f>
        <v>3576.75</v>
      </c>
      <c r="L233" s="2">
        <v>7</v>
      </c>
      <c r="M233" s="2">
        <v>0</v>
      </c>
      <c r="N233" s="2">
        <f t="shared" si="9"/>
        <v>25037.25</v>
      </c>
      <c r="O233" s="2">
        <f t="shared" si="10"/>
        <v>25037.25</v>
      </c>
      <c r="P233" s="2" t="s">
        <v>626</v>
      </c>
      <c r="Q233" s="2" t="s">
        <v>24</v>
      </c>
      <c r="R233" t="str">
        <f t="shared" si="11"/>
        <v/>
      </c>
    </row>
    <row r="234" spans="1:18" x14ac:dyDescent="0.3">
      <c r="A234" s="2" t="s">
        <v>627</v>
      </c>
      <c r="B234" s="5">
        <v>45438</v>
      </c>
      <c r="C234" s="2" t="s">
        <v>32</v>
      </c>
      <c r="D234" s="2" t="s">
        <v>1106</v>
      </c>
      <c r="E234" s="2" t="s">
        <v>54</v>
      </c>
      <c r="F234" s="2" t="str">
        <f>VLOOKUP(Orders!E233,Products!A:F,2,FALSE)</f>
        <v>Green Tea Pack</v>
      </c>
      <c r="G234" s="2" t="s">
        <v>82</v>
      </c>
      <c r="H234" s="2" t="str">
        <f>VLOOKUP(G234,Employees!A:E,2,FALSE)</f>
        <v>Priya Nair</v>
      </c>
      <c r="I234" s="2" t="str">
        <f>VLOOKUP(E234,Products!A:F,3,FALSE)</f>
        <v>Clothing</v>
      </c>
      <c r="J234" s="2" t="s">
        <v>73</v>
      </c>
      <c r="K234" s="2">
        <f>VLOOKUP(E234,Products!A:F,5,FALSE)</f>
        <v>3929.31</v>
      </c>
      <c r="L234" s="2">
        <v>10</v>
      </c>
      <c r="M234" s="2">
        <v>0.15</v>
      </c>
      <c r="N234" s="2">
        <f t="shared" si="9"/>
        <v>39293.1</v>
      </c>
      <c r="O234" s="2">
        <f t="shared" si="10"/>
        <v>33399.134999999995</v>
      </c>
      <c r="P234" s="2" t="s">
        <v>628</v>
      </c>
      <c r="Q234" s="2" t="s">
        <v>60</v>
      </c>
      <c r="R234" t="str">
        <f t="shared" si="11"/>
        <v/>
      </c>
    </row>
    <row r="235" spans="1:18" x14ac:dyDescent="0.3">
      <c r="A235" s="2" t="s">
        <v>629</v>
      </c>
      <c r="B235" s="5">
        <v>45360</v>
      </c>
      <c r="C235" s="2" t="s">
        <v>607</v>
      </c>
      <c r="D235" s="2" t="s">
        <v>1141</v>
      </c>
      <c r="E235" s="2" t="s">
        <v>77</v>
      </c>
      <c r="F235" s="2" t="str">
        <f>VLOOKUP(Orders!E234,Products!A:F,2,FALSE)</f>
        <v>Hoodie</v>
      </c>
      <c r="G235" s="2" t="s">
        <v>21</v>
      </c>
      <c r="H235" s="2" t="str">
        <f>VLOOKUP(G235,Employees!A:E,2,FALSE)</f>
        <v>Karan Mehta</v>
      </c>
      <c r="I235" s="2" t="str">
        <f>VLOOKUP(E235,Products!A:F,3,FALSE)</f>
        <v>Electronics</v>
      </c>
      <c r="J235" s="2" t="s">
        <v>22</v>
      </c>
      <c r="K235" s="2">
        <f>VLOOKUP(E235,Products!A:F,5,FALSE)</f>
        <v>3550.89</v>
      </c>
      <c r="L235" s="2">
        <v>4</v>
      </c>
      <c r="M235" s="2">
        <v>0.2</v>
      </c>
      <c r="N235" s="2">
        <f t="shared" si="9"/>
        <v>14203.56</v>
      </c>
      <c r="O235" s="2">
        <f t="shared" si="10"/>
        <v>11362.848</v>
      </c>
      <c r="P235" s="2" t="s">
        <v>65</v>
      </c>
      <c r="Q235" s="2" t="s">
        <v>30</v>
      </c>
      <c r="R235" t="str">
        <f t="shared" si="11"/>
        <v/>
      </c>
    </row>
    <row r="236" spans="1:18" x14ac:dyDescent="0.3">
      <c r="A236" s="2" t="s">
        <v>631</v>
      </c>
      <c r="B236" s="5">
        <v>45325</v>
      </c>
      <c r="C236" s="2" t="s">
        <v>171</v>
      </c>
      <c r="D236" s="2" t="s">
        <v>1010</v>
      </c>
      <c r="E236" s="2" t="s">
        <v>94</v>
      </c>
      <c r="F236" s="2" t="str">
        <f>VLOOKUP(Orders!E235,Products!A:F,2,FALSE)</f>
        <v>USB-C Charger</v>
      </c>
      <c r="G236" s="2" t="s">
        <v>34</v>
      </c>
      <c r="H236" s="2" t="str">
        <f>VLOOKUP(G236,Employees!A:E,2,FALSE)</f>
        <v>Rohit Sinha</v>
      </c>
      <c r="I236" s="2" t="str">
        <f>VLOOKUP(E236,Products!A:F,3,FALSE)</f>
        <v>Grocery</v>
      </c>
      <c r="J236" s="2" t="s">
        <v>22</v>
      </c>
      <c r="K236" s="2">
        <f>VLOOKUP(E236,Products!A:F,5,FALSE)</f>
        <v>3610.44</v>
      </c>
      <c r="L236" s="2">
        <v>10</v>
      </c>
      <c r="M236" s="2">
        <v>0</v>
      </c>
      <c r="N236" s="2">
        <f t="shared" si="9"/>
        <v>36104.400000000001</v>
      </c>
      <c r="O236" s="2">
        <f t="shared" si="10"/>
        <v>36104.400000000001</v>
      </c>
      <c r="P236" s="2" t="s">
        <v>297</v>
      </c>
      <c r="Q236" s="2" t="s">
        <v>17</v>
      </c>
      <c r="R236" t="str">
        <f t="shared" si="11"/>
        <v/>
      </c>
    </row>
    <row r="237" spans="1:18" x14ac:dyDescent="0.3">
      <c r="A237" s="2" t="s">
        <v>632</v>
      </c>
      <c r="B237" s="5">
        <v>45746</v>
      </c>
      <c r="C237" s="2" t="s">
        <v>152</v>
      </c>
      <c r="D237" s="2" t="s">
        <v>944</v>
      </c>
      <c r="E237" s="2" t="s">
        <v>389</v>
      </c>
      <c r="F237" s="2" t="str">
        <f>VLOOKUP(Orders!E236,Products!A:F,2,FALSE)</f>
        <v>Honey Jar</v>
      </c>
      <c r="G237" s="2" t="s">
        <v>21</v>
      </c>
      <c r="H237" s="2" t="str">
        <f>VLOOKUP(G237,Employees!A:E,2,FALSE)</f>
        <v>Karan Mehta</v>
      </c>
      <c r="I237" s="2" t="str">
        <f>VLOOKUP(E237,Products!A:F,3,FALSE)</f>
        <v>Electronics</v>
      </c>
      <c r="J237" s="2" t="s">
        <v>22</v>
      </c>
      <c r="K237" s="2">
        <f>VLOOKUP(E237,Products!A:F,5,FALSE)</f>
        <v>991.59</v>
      </c>
      <c r="L237" s="2">
        <v>2</v>
      </c>
      <c r="M237" s="2">
        <v>0.1</v>
      </c>
      <c r="N237" s="2">
        <f t="shared" si="9"/>
        <v>1983.18</v>
      </c>
      <c r="O237" s="2">
        <f t="shared" si="10"/>
        <v>1784.8620000000001</v>
      </c>
      <c r="P237" s="2" t="s">
        <v>337</v>
      </c>
      <c r="Q237" s="2" t="s">
        <v>30</v>
      </c>
      <c r="R237" t="str">
        <f t="shared" si="11"/>
        <v/>
      </c>
    </row>
    <row r="238" spans="1:18" x14ac:dyDescent="0.3">
      <c r="A238" s="2" t="s">
        <v>633</v>
      </c>
      <c r="B238" s="5">
        <v>45613</v>
      </c>
      <c r="C238" s="2" t="s">
        <v>392</v>
      </c>
      <c r="D238" s="2" t="s">
        <v>1134</v>
      </c>
      <c r="E238" s="2" t="s">
        <v>67</v>
      </c>
      <c r="F238" s="2" t="str">
        <f>VLOOKUP(Orders!E237,Products!A:F,2,FALSE)</f>
        <v>Bluetooth Speaker</v>
      </c>
      <c r="G238" s="2" t="s">
        <v>82</v>
      </c>
      <c r="H238" s="2" t="str">
        <f>VLOOKUP(G238,Employees!A:E,2,FALSE)</f>
        <v>Priya Nair</v>
      </c>
      <c r="I238" s="2" t="str">
        <f>VLOOKUP(E238,Products!A:F,3,FALSE)</f>
        <v>Toys</v>
      </c>
      <c r="J238" s="2" t="s">
        <v>73</v>
      </c>
      <c r="K238" s="2">
        <f>VLOOKUP(E238,Products!A:F,5,FALSE)</f>
        <v>3205.14</v>
      </c>
      <c r="L238" s="2">
        <v>5</v>
      </c>
      <c r="M238" s="2">
        <v>0</v>
      </c>
      <c r="N238" s="2">
        <f t="shared" si="9"/>
        <v>16025.699999999999</v>
      </c>
      <c r="O238" s="2">
        <f t="shared" si="10"/>
        <v>16025.699999999999</v>
      </c>
      <c r="P238" s="2" t="s">
        <v>513</v>
      </c>
      <c r="Q238" s="2" t="s">
        <v>60</v>
      </c>
      <c r="R238" t="str">
        <f t="shared" si="11"/>
        <v/>
      </c>
    </row>
    <row r="239" spans="1:18" x14ac:dyDescent="0.3">
      <c r="A239" s="2" t="s">
        <v>635</v>
      </c>
      <c r="B239" s="5">
        <v>45803</v>
      </c>
      <c r="C239" s="2" t="s">
        <v>110</v>
      </c>
      <c r="D239" s="2" t="s">
        <v>983</v>
      </c>
      <c r="E239" s="2" t="s">
        <v>121</v>
      </c>
      <c r="F239" s="2" t="str">
        <f>VLOOKUP(Orders!E238,Products!A:F,2,FALSE)</f>
        <v>Remote Car</v>
      </c>
      <c r="G239" s="2" t="s">
        <v>82</v>
      </c>
      <c r="H239" s="2" t="str">
        <f>VLOOKUP(G239,Employees!A:E,2,FALSE)</f>
        <v>Priya Nair</v>
      </c>
      <c r="I239" s="2" t="str">
        <f>VLOOKUP(E239,Products!A:F,3,FALSE)</f>
        <v>Beauty</v>
      </c>
      <c r="J239" s="2" t="s">
        <v>73</v>
      </c>
      <c r="K239" s="2">
        <f>VLOOKUP(E239,Products!A:F,5,FALSE)</f>
        <v>3414.07</v>
      </c>
      <c r="L239" s="2">
        <v>9</v>
      </c>
      <c r="M239" s="2">
        <v>0.05</v>
      </c>
      <c r="N239" s="2">
        <f t="shared" si="9"/>
        <v>30726.63</v>
      </c>
      <c r="O239" s="2">
        <f t="shared" si="10"/>
        <v>29190.298500000001</v>
      </c>
      <c r="P239" s="2" t="s">
        <v>288</v>
      </c>
      <c r="Q239" s="2" t="s">
        <v>17</v>
      </c>
      <c r="R239" t="str">
        <f t="shared" si="11"/>
        <v/>
      </c>
    </row>
    <row r="240" spans="1:18" x14ac:dyDescent="0.3">
      <c r="A240" s="2" t="s">
        <v>636</v>
      </c>
      <c r="B240" s="5">
        <v>45558</v>
      </c>
      <c r="C240" s="2" t="s">
        <v>152</v>
      </c>
      <c r="D240" s="2" t="s">
        <v>944</v>
      </c>
      <c r="E240" s="2" t="s">
        <v>206</v>
      </c>
      <c r="F240" s="2" t="str">
        <f>VLOOKUP(Orders!E239,Products!A:F,2,FALSE)</f>
        <v>Hair Serum</v>
      </c>
      <c r="G240" s="2" t="s">
        <v>21</v>
      </c>
      <c r="H240" s="2" t="str">
        <f>VLOOKUP(G240,Employees!A:E,2,FALSE)</f>
        <v>Karan Mehta</v>
      </c>
      <c r="I240" s="2" t="str">
        <f>VLOOKUP(E240,Products!A:F,3,FALSE)</f>
        <v>Electronics</v>
      </c>
      <c r="J240" s="2" t="s">
        <v>22</v>
      </c>
      <c r="K240" s="2">
        <f>VLOOKUP(E240,Products!A:F,5,FALSE)</f>
        <v>2779.58</v>
      </c>
      <c r="L240" s="2">
        <v>0</v>
      </c>
      <c r="M240" s="2">
        <v>0</v>
      </c>
      <c r="N240" s="2">
        <f t="shared" si="9"/>
        <v>0</v>
      </c>
      <c r="O240" s="2">
        <f t="shared" si="10"/>
        <v>0</v>
      </c>
      <c r="P240" s="2" t="s">
        <v>637</v>
      </c>
      <c r="Q240" s="2" t="s">
        <v>30</v>
      </c>
      <c r="R240" t="str">
        <f t="shared" si="11"/>
        <v>Missing Quantity</v>
      </c>
    </row>
    <row r="241" spans="1:18" x14ac:dyDescent="0.3">
      <c r="A241" s="2" t="s">
        <v>638</v>
      </c>
      <c r="B241" s="5">
        <v>45496</v>
      </c>
      <c r="C241" s="2" t="s">
        <v>141</v>
      </c>
      <c r="D241" s="2" t="s">
        <v>1115</v>
      </c>
      <c r="E241" s="2" t="s">
        <v>260</v>
      </c>
      <c r="F241" s="2" t="str">
        <f>VLOOKUP(Orders!E240,Products!A:F,2,FALSE)</f>
        <v>Power Bank</v>
      </c>
      <c r="G241" s="2" t="s">
        <v>82</v>
      </c>
      <c r="H241" s="2" t="str">
        <f>VLOOKUP(G241,Employees!A:E,2,FALSE)</f>
        <v>Priya Nair</v>
      </c>
      <c r="I241" s="2" t="str">
        <f>VLOOKUP(E241,Products!A:F,3,FALSE)</f>
        <v>Home &amp; Kitchen</v>
      </c>
      <c r="J241" s="2" t="s">
        <v>35</v>
      </c>
      <c r="K241" s="2">
        <f>VLOOKUP(E241,Products!A:F,5,FALSE)</f>
        <v>3981.64</v>
      </c>
      <c r="L241" s="2">
        <v>2</v>
      </c>
      <c r="M241" s="2">
        <v>0</v>
      </c>
      <c r="N241" s="2">
        <f t="shared" si="9"/>
        <v>7963.28</v>
      </c>
      <c r="O241" s="2">
        <f t="shared" si="10"/>
        <v>7963.28</v>
      </c>
      <c r="P241" s="2" t="s">
        <v>611</v>
      </c>
      <c r="Q241" s="2" t="s">
        <v>60</v>
      </c>
      <c r="R241" t="str">
        <f t="shared" si="11"/>
        <v/>
      </c>
    </row>
    <row r="242" spans="1:18" x14ac:dyDescent="0.3">
      <c r="A242" s="2" t="s">
        <v>639</v>
      </c>
      <c r="B242" s="5">
        <v>45747</v>
      </c>
      <c r="C242" s="2" t="s">
        <v>120</v>
      </c>
      <c r="D242" s="2" t="s">
        <v>993</v>
      </c>
      <c r="E242" s="2" t="s">
        <v>116</v>
      </c>
      <c r="F242" s="2" t="str">
        <f>VLOOKUP(Orders!E241,Products!A:F,2,FALSE)</f>
        <v>Non-stick Pan</v>
      </c>
      <c r="G242" s="2" t="s">
        <v>21</v>
      </c>
      <c r="H242" s="2" t="str">
        <f>VLOOKUP(G242,Employees!A:E,2,FALSE)</f>
        <v>Karan Mehta</v>
      </c>
      <c r="I242" s="2" t="str">
        <f>VLOOKUP(E242,Products!A:F,3,FALSE)</f>
        <v>Clothing</v>
      </c>
      <c r="J242" s="2" t="s">
        <v>22</v>
      </c>
      <c r="K242" s="2">
        <f>VLOOKUP(E242,Products!A:F,5,FALSE)</f>
        <v>1156.02</v>
      </c>
      <c r="L242" s="2">
        <v>2</v>
      </c>
      <c r="M242" s="2">
        <v>0.2</v>
      </c>
      <c r="N242" s="2">
        <f t="shared" si="9"/>
        <v>2312.04</v>
      </c>
      <c r="O242" s="2">
        <f t="shared" si="10"/>
        <v>1849.6320000000001</v>
      </c>
      <c r="P242" s="2" t="s">
        <v>423</v>
      </c>
      <c r="Q242" s="2" t="s">
        <v>24</v>
      </c>
      <c r="R242" t="str">
        <f t="shared" si="11"/>
        <v/>
      </c>
    </row>
    <row r="243" spans="1:18" x14ac:dyDescent="0.3">
      <c r="A243" s="2" t="s">
        <v>640</v>
      </c>
      <c r="B243" s="5">
        <v>45589</v>
      </c>
      <c r="C243" s="2" t="s">
        <v>245</v>
      </c>
      <c r="D243" s="2" t="s">
        <v>1128</v>
      </c>
      <c r="E243" s="2" t="s">
        <v>240</v>
      </c>
      <c r="F243" s="2" t="str">
        <f>VLOOKUP(Orders!E242,Products!A:F,2,FALSE)</f>
        <v>Formal Shirt</v>
      </c>
      <c r="G243" s="2" t="s">
        <v>82</v>
      </c>
      <c r="H243" s="2" t="str">
        <f>VLOOKUP(G243,Employees!A:E,2,FALSE)</f>
        <v>Priya Nair</v>
      </c>
      <c r="I243" s="2" t="str">
        <f>VLOOKUP(E243,Products!A:F,3,FALSE)</f>
        <v>Books</v>
      </c>
      <c r="J243" s="2" t="s">
        <v>15</v>
      </c>
      <c r="K243" s="2">
        <f>VLOOKUP(E243,Products!A:F,5,FALSE)</f>
        <v>2036.67</v>
      </c>
      <c r="L243" s="2">
        <v>5</v>
      </c>
      <c r="M243" s="2">
        <v>0.2</v>
      </c>
      <c r="N243" s="2">
        <f t="shared" si="9"/>
        <v>10183.35</v>
      </c>
      <c r="O243" s="2">
        <f t="shared" si="10"/>
        <v>8146.68</v>
      </c>
      <c r="P243" s="2" t="s">
        <v>641</v>
      </c>
      <c r="Q243" s="2" t="s">
        <v>17</v>
      </c>
      <c r="R243" t="str">
        <f t="shared" si="11"/>
        <v/>
      </c>
    </row>
    <row r="244" spans="1:18" x14ac:dyDescent="0.3">
      <c r="A244" s="2" t="s">
        <v>642</v>
      </c>
      <c r="B244" s="5">
        <v>45812</v>
      </c>
      <c r="C244" s="2" t="s">
        <v>53</v>
      </c>
      <c r="D244" s="2" t="s">
        <v>1047</v>
      </c>
      <c r="E244" s="2" t="s">
        <v>468</v>
      </c>
      <c r="F244" s="2" t="str">
        <f>VLOOKUP(Orders!E243,Products!A:F,2,FALSE)</f>
        <v>Notebook Set</v>
      </c>
      <c r="G244" s="2" t="s">
        <v>82</v>
      </c>
      <c r="H244" s="2" t="str">
        <f>VLOOKUP(G244,Employees!A:E,2,FALSE)</f>
        <v>Priya Nair</v>
      </c>
      <c r="I244" s="2" t="str">
        <f>VLOOKUP(E244,Products!A:F,3,FALSE)</f>
        <v>Toys</v>
      </c>
      <c r="J244" s="2" t="s">
        <v>15</v>
      </c>
      <c r="K244" s="2">
        <f>VLOOKUP(E244,Products!A:F,5,FALSE)</f>
        <v>2113.67</v>
      </c>
      <c r="L244" s="2">
        <v>4</v>
      </c>
      <c r="M244" s="2">
        <v>0</v>
      </c>
      <c r="N244" s="2">
        <f t="shared" si="9"/>
        <v>8454.68</v>
      </c>
      <c r="O244" s="2">
        <f t="shared" si="10"/>
        <v>8454.68</v>
      </c>
      <c r="P244" s="2" t="s">
        <v>643</v>
      </c>
      <c r="Q244" s="2" t="s">
        <v>60</v>
      </c>
      <c r="R244" t="str">
        <f t="shared" si="11"/>
        <v/>
      </c>
    </row>
    <row r="245" spans="1:18" x14ac:dyDescent="0.3">
      <c r="A245" s="2" t="s">
        <v>644</v>
      </c>
      <c r="B245" s="5">
        <v>45797</v>
      </c>
      <c r="C245" s="2" t="s">
        <v>279</v>
      </c>
      <c r="D245" s="2" t="s">
        <v>1130</v>
      </c>
      <c r="E245" s="2" t="s">
        <v>196</v>
      </c>
      <c r="F245" s="2" t="str">
        <f>VLOOKUP(Orders!E244,Products!A:F,2,FALSE)</f>
        <v>Puzzle Set</v>
      </c>
      <c r="G245" s="2" t="s">
        <v>82</v>
      </c>
      <c r="H245" s="2" t="str">
        <f>VLOOKUP(G245,Employees!A:E,2,FALSE)</f>
        <v>Priya Nair</v>
      </c>
      <c r="I245" s="2" t="str">
        <f>VLOOKUP(E245,Products!A:F,3,FALSE)</f>
        <v>Electronics</v>
      </c>
      <c r="J245" s="2" t="s">
        <v>22</v>
      </c>
      <c r="K245" s="2">
        <f>VLOOKUP(E245,Products!A:F,5,FALSE)</f>
        <v>2184.5100000000002</v>
      </c>
      <c r="L245" s="2">
        <v>1</v>
      </c>
      <c r="M245" s="2">
        <v>0</v>
      </c>
      <c r="N245" s="2">
        <f t="shared" si="9"/>
        <v>2184.5100000000002</v>
      </c>
      <c r="O245" s="2">
        <f t="shared" si="10"/>
        <v>2184.5100000000002</v>
      </c>
      <c r="P245" s="2" t="s">
        <v>579</v>
      </c>
      <c r="Q245" s="2" t="s">
        <v>30</v>
      </c>
      <c r="R245" t="str">
        <f t="shared" si="11"/>
        <v/>
      </c>
    </row>
    <row r="246" spans="1:18" x14ac:dyDescent="0.3">
      <c r="A246" s="2" t="s">
        <v>645</v>
      </c>
      <c r="B246" s="5">
        <v>45424</v>
      </c>
      <c r="C246" s="2" t="s">
        <v>49</v>
      </c>
      <c r="D246" s="2" t="s">
        <v>1107</v>
      </c>
      <c r="E246" s="2" t="s">
        <v>116</v>
      </c>
      <c r="F246" s="2" t="str">
        <f>VLOOKUP(Orders!E245,Products!A:F,2,FALSE)</f>
        <v>Laptop Stand</v>
      </c>
      <c r="G246" s="2" t="s">
        <v>45</v>
      </c>
      <c r="H246" s="2" t="str">
        <f>VLOOKUP(G246,Employees!A:E,2,FALSE)</f>
        <v>Rajesh Iyer</v>
      </c>
      <c r="I246" s="2" t="str">
        <f>VLOOKUP(E246,Products!A:F,3,FALSE)</f>
        <v>Clothing</v>
      </c>
      <c r="J246" s="2" t="s">
        <v>22</v>
      </c>
      <c r="K246" s="2">
        <f>VLOOKUP(E246,Products!A:F,5,FALSE)</f>
        <v>1156.02</v>
      </c>
      <c r="L246" s="2">
        <v>10</v>
      </c>
      <c r="M246" s="2">
        <v>0</v>
      </c>
      <c r="N246" s="2">
        <f t="shared" si="9"/>
        <v>11560.2</v>
      </c>
      <c r="O246" s="2">
        <f t="shared" si="10"/>
        <v>11560.2</v>
      </c>
      <c r="P246" s="2" t="s">
        <v>319</v>
      </c>
      <c r="Q246" s="2" t="s">
        <v>30</v>
      </c>
      <c r="R246" t="str">
        <f t="shared" si="11"/>
        <v/>
      </c>
    </row>
    <row r="247" spans="1:18" x14ac:dyDescent="0.3">
      <c r="A247" s="2" t="s">
        <v>646</v>
      </c>
      <c r="B247" s="5">
        <v>45782</v>
      </c>
      <c r="C247" s="2" t="s">
        <v>89</v>
      </c>
      <c r="D247" s="2" t="s">
        <v>1059</v>
      </c>
      <c r="E247" s="2" t="s">
        <v>468</v>
      </c>
      <c r="F247" s="2" t="str">
        <f>VLOOKUP(Orders!E246,Products!A:F,2,FALSE)</f>
        <v>Formal Shirt</v>
      </c>
      <c r="G247" s="2" t="s">
        <v>45</v>
      </c>
      <c r="H247" s="2" t="str">
        <f>VLOOKUP(G247,Employees!A:E,2,FALSE)</f>
        <v>Rajesh Iyer</v>
      </c>
      <c r="I247" s="2" t="str">
        <f>VLOOKUP(E247,Products!A:F,3,FALSE)</f>
        <v>Toys</v>
      </c>
      <c r="J247" s="2" t="s">
        <v>73</v>
      </c>
      <c r="K247" s="2">
        <f>VLOOKUP(E247,Products!A:F,5,FALSE)</f>
        <v>2113.67</v>
      </c>
      <c r="L247" s="2">
        <v>9</v>
      </c>
      <c r="M247" s="2">
        <v>0.05</v>
      </c>
      <c r="N247" s="2">
        <f t="shared" si="9"/>
        <v>19023.03</v>
      </c>
      <c r="O247" s="2">
        <f t="shared" si="10"/>
        <v>18071.878499999999</v>
      </c>
      <c r="P247" s="2" t="s">
        <v>647</v>
      </c>
      <c r="Q247" s="2" t="s">
        <v>60</v>
      </c>
      <c r="R247" t="str">
        <f t="shared" si="11"/>
        <v/>
      </c>
    </row>
    <row r="248" spans="1:18" x14ac:dyDescent="0.3">
      <c r="A248" s="2" t="s">
        <v>648</v>
      </c>
      <c r="B248" s="5">
        <v>45616</v>
      </c>
      <c r="C248" s="2" t="s">
        <v>98</v>
      </c>
      <c r="D248" s="2" t="s">
        <v>1110</v>
      </c>
      <c r="E248" s="2" t="s">
        <v>468</v>
      </c>
      <c r="F248" s="2" t="str">
        <f>VLOOKUP(Orders!E247,Products!A:F,2,FALSE)</f>
        <v>Puzzle Set</v>
      </c>
      <c r="G248" s="2" t="s">
        <v>82</v>
      </c>
      <c r="H248" s="2" t="str">
        <f>VLOOKUP(G248,Employees!A:E,2,FALSE)</f>
        <v>Priya Nair</v>
      </c>
      <c r="I248" s="2" t="str">
        <f>VLOOKUP(E248,Products!A:F,3,FALSE)</f>
        <v>Toys</v>
      </c>
      <c r="J248" s="2" t="s">
        <v>22</v>
      </c>
      <c r="K248" s="2">
        <f>VLOOKUP(E248,Products!A:F,5,FALSE)</f>
        <v>2113.67</v>
      </c>
      <c r="L248" s="2">
        <v>2</v>
      </c>
      <c r="M248" s="2">
        <v>0.05</v>
      </c>
      <c r="N248" s="2">
        <f t="shared" si="9"/>
        <v>4227.34</v>
      </c>
      <c r="O248" s="2">
        <f t="shared" si="10"/>
        <v>4015.973</v>
      </c>
      <c r="P248" s="2" t="s">
        <v>365</v>
      </c>
      <c r="Q248" s="2" t="s">
        <v>60</v>
      </c>
      <c r="R248" t="str">
        <f t="shared" si="11"/>
        <v/>
      </c>
    </row>
    <row r="249" spans="1:18" x14ac:dyDescent="0.3">
      <c r="A249" s="2" t="s">
        <v>649</v>
      </c>
      <c r="B249" s="5">
        <v>45478</v>
      </c>
      <c r="C249" s="2" t="s">
        <v>476</v>
      </c>
      <c r="D249" s="2" t="s">
        <v>983</v>
      </c>
      <c r="E249" s="2" t="s">
        <v>468</v>
      </c>
      <c r="F249" s="2" t="str">
        <f>VLOOKUP(Orders!E248,Products!A:F,2,FALSE)</f>
        <v>Puzzle Set</v>
      </c>
      <c r="G249" s="2" t="s">
        <v>82</v>
      </c>
      <c r="H249" s="2" t="str">
        <f>VLOOKUP(G249,Employees!A:E,2,FALSE)</f>
        <v>Priya Nair</v>
      </c>
      <c r="I249" s="2" t="str">
        <f>VLOOKUP(E249,Products!A:F,3,FALSE)</f>
        <v>Toys</v>
      </c>
      <c r="J249" s="2" t="s">
        <v>73</v>
      </c>
      <c r="K249" s="2">
        <f>VLOOKUP(E249,Products!A:F,5,FALSE)</f>
        <v>2113.67</v>
      </c>
      <c r="L249" s="2">
        <v>3</v>
      </c>
      <c r="M249" s="2">
        <v>0.05</v>
      </c>
      <c r="N249" s="2">
        <f t="shared" si="9"/>
        <v>6341.01</v>
      </c>
      <c r="O249" s="2">
        <f t="shared" si="10"/>
        <v>6023.9594999999999</v>
      </c>
      <c r="P249" s="2" t="s">
        <v>330</v>
      </c>
      <c r="Q249" s="2" t="s">
        <v>24</v>
      </c>
      <c r="R249" t="str">
        <f t="shared" si="11"/>
        <v/>
      </c>
    </row>
    <row r="250" spans="1:18" x14ac:dyDescent="0.3">
      <c r="A250" s="2" t="s">
        <v>650</v>
      </c>
      <c r="B250" s="5">
        <v>45822</v>
      </c>
      <c r="C250" s="2" t="s">
        <v>80</v>
      </c>
      <c r="D250" s="2" t="s">
        <v>1109</v>
      </c>
      <c r="E250" s="2" t="s">
        <v>33</v>
      </c>
      <c r="F250" s="2" t="str">
        <f>VLOOKUP(Orders!E249,Products!A:F,2,FALSE)</f>
        <v>Puzzle Set</v>
      </c>
      <c r="G250" s="2" t="s">
        <v>82</v>
      </c>
      <c r="H250" s="2" t="str">
        <f>VLOOKUP(G250,Employees!A:E,2,FALSE)</f>
        <v>Priya Nair</v>
      </c>
      <c r="I250" s="2" t="str">
        <f>VLOOKUP(E250,Products!A:F,3,FALSE)</f>
        <v>Grocery</v>
      </c>
      <c r="J250" s="2" t="s">
        <v>15</v>
      </c>
      <c r="K250" s="2">
        <f>VLOOKUP(E250,Products!A:F,5,FALSE)</f>
        <v>620.89</v>
      </c>
      <c r="L250" s="2">
        <v>3</v>
      </c>
      <c r="M250" s="2">
        <v>0</v>
      </c>
      <c r="N250" s="2">
        <f t="shared" si="9"/>
        <v>1862.67</v>
      </c>
      <c r="O250" s="2">
        <f t="shared" si="10"/>
        <v>1862.67</v>
      </c>
      <c r="P250" s="2" t="s">
        <v>651</v>
      </c>
      <c r="Q250" s="2" t="s">
        <v>17</v>
      </c>
      <c r="R250" t="str">
        <f t="shared" si="11"/>
        <v/>
      </c>
    </row>
    <row r="251" spans="1:18" x14ac:dyDescent="0.3">
      <c r="A251" s="2" t="s">
        <v>652</v>
      </c>
      <c r="B251" s="5">
        <v>45522</v>
      </c>
      <c r="C251" s="2" t="s">
        <v>168</v>
      </c>
      <c r="D251" s="2" t="s">
        <v>1119</v>
      </c>
      <c r="E251" s="2" t="s">
        <v>345</v>
      </c>
      <c r="F251" s="2" t="str">
        <f>VLOOKUP(Orders!E250,Products!A:F,2,FALSE)</f>
        <v>Cooking Oil 1L</v>
      </c>
      <c r="G251" s="2" t="s">
        <v>45</v>
      </c>
      <c r="H251" s="2" t="str">
        <f>VLOOKUP(G251,Employees!A:E,2,FALSE)</f>
        <v>Rajesh Iyer</v>
      </c>
      <c r="I251" s="2" t="str">
        <f>VLOOKUP(E251,Products!A:F,3,FALSE)</f>
        <v>Toys</v>
      </c>
      <c r="J251" s="2" t="s">
        <v>73</v>
      </c>
      <c r="K251" s="2">
        <f>VLOOKUP(E251,Products!A:F,5,FALSE)</f>
        <v>1212.79</v>
      </c>
      <c r="L251" s="2">
        <v>6</v>
      </c>
      <c r="M251" s="2">
        <v>0.1</v>
      </c>
      <c r="N251" s="2">
        <f t="shared" si="9"/>
        <v>7276.74</v>
      </c>
      <c r="O251" s="2">
        <f t="shared" si="10"/>
        <v>6549.0659999999998</v>
      </c>
      <c r="P251" s="2" t="s">
        <v>653</v>
      </c>
      <c r="Q251" s="2" t="s">
        <v>17</v>
      </c>
      <c r="R251" t="str">
        <f t="shared" si="11"/>
        <v/>
      </c>
    </row>
    <row r="252" spans="1:18" x14ac:dyDescent="0.3">
      <c r="A252" s="2" t="s">
        <v>654</v>
      </c>
      <c r="B252" s="5">
        <v>45493</v>
      </c>
      <c r="C252" s="2" t="s">
        <v>279</v>
      </c>
      <c r="D252" s="2" t="s">
        <v>1130</v>
      </c>
      <c r="E252" s="2" t="s">
        <v>125</v>
      </c>
      <c r="F252" s="2" t="str">
        <f>VLOOKUP(Orders!E251,Products!A:F,2,FALSE)</f>
        <v>Soft Toy</v>
      </c>
      <c r="G252" s="2" t="s">
        <v>45</v>
      </c>
      <c r="H252" s="2" t="str">
        <f>VLOOKUP(G252,Employees!A:E,2,FALSE)</f>
        <v>Rajesh Iyer</v>
      </c>
      <c r="I252" s="2" t="str">
        <f>VLOOKUP(E252,Products!A:F,3,FALSE)</f>
        <v>Grocery</v>
      </c>
      <c r="J252" s="2" t="s">
        <v>22</v>
      </c>
      <c r="K252" s="2">
        <f>VLOOKUP(E252,Products!A:F,5,FALSE)</f>
        <v>2458.91</v>
      </c>
      <c r="L252" s="2">
        <v>9</v>
      </c>
      <c r="M252" s="2">
        <v>0</v>
      </c>
      <c r="N252" s="2">
        <f t="shared" si="9"/>
        <v>22130.19</v>
      </c>
      <c r="O252" s="2">
        <f t="shared" si="10"/>
        <v>22130.19</v>
      </c>
      <c r="P252" s="2" t="s">
        <v>63</v>
      </c>
      <c r="Q252" s="2" t="s">
        <v>42</v>
      </c>
      <c r="R252" t="str">
        <f t="shared" si="11"/>
        <v/>
      </c>
    </row>
    <row r="253" spans="1:18" x14ac:dyDescent="0.3">
      <c r="A253" s="2" t="s">
        <v>656</v>
      </c>
      <c r="B253" s="5">
        <v>45387</v>
      </c>
      <c r="C253" s="2" t="s">
        <v>168</v>
      </c>
      <c r="D253" s="2" t="s">
        <v>1119</v>
      </c>
      <c r="E253" s="2" t="s">
        <v>81</v>
      </c>
      <c r="F253" s="2" t="str">
        <f>VLOOKUP(Orders!E252,Products!A:F,2,FALSE)</f>
        <v>Basmati Rice 5kg</v>
      </c>
      <c r="G253" s="2" t="s">
        <v>82</v>
      </c>
      <c r="H253" s="2" t="str">
        <f>VLOOKUP(G253,Employees!A:E,2,FALSE)</f>
        <v>Priya Nair</v>
      </c>
      <c r="I253" s="2" t="str">
        <f>VLOOKUP(E253,Products!A:F,3,FALSE)</f>
        <v>Electronics</v>
      </c>
      <c r="J253" s="2" t="s">
        <v>15</v>
      </c>
      <c r="K253" s="2">
        <f>VLOOKUP(E253,Products!A:F,5,FALSE)</f>
        <v>1044.7</v>
      </c>
      <c r="L253" s="2">
        <v>9</v>
      </c>
      <c r="M253" s="2">
        <v>0.15</v>
      </c>
      <c r="N253" s="2">
        <f t="shared" si="9"/>
        <v>9402.3000000000011</v>
      </c>
      <c r="O253" s="2">
        <f t="shared" si="10"/>
        <v>7991.9550000000008</v>
      </c>
      <c r="P253" s="2" t="s">
        <v>657</v>
      </c>
      <c r="Q253" s="2" t="s">
        <v>60</v>
      </c>
      <c r="R253" t="str">
        <f t="shared" si="11"/>
        <v/>
      </c>
    </row>
    <row r="254" spans="1:18" x14ac:dyDescent="0.3">
      <c r="A254" s="2" t="s">
        <v>658</v>
      </c>
      <c r="B254" s="5">
        <v>45637</v>
      </c>
      <c r="C254" s="2" t="s">
        <v>27</v>
      </c>
      <c r="D254" s="2" t="s">
        <v>1105</v>
      </c>
      <c r="E254" s="2" t="s">
        <v>226</v>
      </c>
      <c r="F254" s="2" t="str">
        <f>VLOOKUP(Orders!E253,Products!A:F,2,FALSE)</f>
        <v>Earbuds</v>
      </c>
      <c r="G254" s="2" t="s">
        <v>45</v>
      </c>
      <c r="H254" s="2" t="str">
        <f>VLOOKUP(G254,Employees!A:E,2,FALSE)</f>
        <v>Rajesh Iyer</v>
      </c>
      <c r="I254" s="2" t="str">
        <f>VLOOKUP(E254,Products!A:F,3,FALSE)</f>
        <v>Beauty</v>
      </c>
      <c r="J254" s="2" t="s">
        <v>73</v>
      </c>
      <c r="K254" s="2">
        <f>VLOOKUP(E254,Products!A:F,5,FALSE)</f>
        <v>2359.5</v>
      </c>
      <c r="L254" s="2">
        <v>10</v>
      </c>
      <c r="M254" s="2">
        <v>0</v>
      </c>
      <c r="N254" s="2">
        <f t="shared" si="9"/>
        <v>23595</v>
      </c>
      <c r="O254" s="2">
        <f t="shared" si="10"/>
        <v>23595</v>
      </c>
      <c r="P254" s="2" t="s">
        <v>223</v>
      </c>
      <c r="Q254" s="2" t="s">
        <v>24</v>
      </c>
      <c r="R254" t="str">
        <f t="shared" si="11"/>
        <v/>
      </c>
    </row>
    <row r="255" spans="1:18" x14ac:dyDescent="0.3">
      <c r="A255" s="2" t="s">
        <v>659</v>
      </c>
      <c r="B255" s="5">
        <v>45563</v>
      </c>
      <c r="C255" s="2" t="s">
        <v>403</v>
      </c>
      <c r="D255" s="2" t="s">
        <v>1135</v>
      </c>
      <c r="E255" s="2" t="s">
        <v>33</v>
      </c>
      <c r="F255" s="2" t="str">
        <f>VLOOKUP(Orders!E254,Products!A:F,2,FALSE)</f>
        <v>Moisturizer</v>
      </c>
      <c r="G255" s="2" t="s">
        <v>45</v>
      </c>
      <c r="H255" s="2" t="str">
        <f>VLOOKUP(G255,Employees!A:E,2,FALSE)</f>
        <v>Rajesh Iyer</v>
      </c>
      <c r="I255" s="2" t="str">
        <f>VLOOKUP(E255,Products!A:F,3,FALSE)</f>
        <v>Grocery</v>
      </c>
      <c r="J255" s="2" t="s">
        <v>35</v>
      </c>
      <c r="K255" s="2">
        <f>VLOOKUP(E255,Products!A:F,5,FALSE)</f>
        <v>620.89</v>
      </c>
      <c r="L255" s="2">
        <v>4</v>
      </c>
      <c r="M255" s="2">
        <v>0.2</v>
      </c>
      <c r="N255" s="2">
        <f t="shared" si="9"/>
        <v>2483.56</v>
      </c>
      <c r="O255" s="2">
        <f t="shared" si="10"/>
        <v>1986.848</v>
      </c>
      <c r="P255" s="2" t="s">
        <v>97</v>
      </c>
      <c r="Q255" s="2" t="s">
        <v>42</v>
      </c>
      <c r="R255" t="str">
        <f t="shared" si="11"/>
        <v/>
      </c>
    </row>
    <row r="256" spans="1:18" x14ac:dyDescent="0.3">
      <c r="A256" s="2" t="s">
        <v>660</v>
      </c>
      <c r="B256" s="5">
        <v>45323</v>
      </c>
      <c r="C256" s="2" t="s">
        <v>180</v>
      </c>
      <c r="D256" s="2" t="s">
        <v>1121</v>
      </c>
      <c r="E256" s="2" t="s">
        <v>77</v>
      </c>
      <c r="F256" s="2" t="str">
        <f>VLOOKUP(Orders!E255,Products!A:F,2,FALSE)</f>
        <v>Cooking Oil 1L</v>
      </c>
      <c r="G256" s="2" t="s">
        <v>14</v>
      </c>
      <c r="H256" s="2" t="str">
        <f>VLOOKUP(G256,Employees!A:E,2,FALSE)</f>
        <v>Fatima Sheikh</v>
      </c>
      <c r="I256" s="2" t="str">
        <f>VLOOKUP(E256,Products!A:F,3,FALSE)</f>
        <v>Electronics</v>
      </c>
      <c r="J256" s="2" t="s">
        <v>22</v>
      </c>
      <c r="K256" s="2">
        <f>VLOOKUP(E256,Products!A:F,5,FALSE)</f>
        <v>3550.89</v>
      </c>
      <c r="L256" s="2">
        <v>8</v>
      </c>
      <c r="M256" s="2">
        <v>0.15</v>
      </c>
      <c r="N256" s="2">
        <f t="shared" si="9"/>
        <v>28407.119999999999</v>
      </c>
      <c r="O256" s="2">
        <f t="shared" si="10"/>
        <v>24146.052</v>
      </c>
      <c r="P256" s="2" t="s">
        <v>290</v>
      </c>
      <c r="Q256" s="2" t="s">
        <v>17</v>
      </c>
      <c r="R256" t="str">
        <f t="shared" si="11"/>
        <v/>
      </c>
    </row>
    <row r="257" spans="1:18" x14ac:dyDescent="0.3">
      <c r="A257" s="2" t="s">
        <v>661</v>
      </c>
      <c r="B257" s="5">
        <v>45786</v>
      </c>
      <c r="C257" s="2" t="s">
        <v>273</v>
      </c>
      <c r="D257" s="2" t="s">
        <v>1129</v>
      </c>
      <c r="E257" s="2" t="s">
        <v>77</v>
      </c>
      <c r="F257" s="2" t="str">
        <f>VLOOKUP(Orders!E256,Products!A:F,2,FALSE)</f>
        <v>USB-C Charger</v>
      </c>
      <c r="G257" s="2" t="s">
        <v>82</v>
      </c>
      <c r="H257" s="2" t="str">
        <f>VLOOKUP(G257,Employees!A:E,2,FALSE)</f>
        <v>Priya Nair</v>
      </c>
      <c r="I257" s="2" t="str">
        <f>VLOOKUP(E257,Products!A:F,3,FALSE)</f>
        <v>Electronics</v>
      </c>
      <c r="J257" s="2" t="s">
        <v>22</v>
      </c>
      <c r="K257" s="2">
        <f>VLOOKUP(E257,Products!A:F,5,FALSE)</f>
        <v>3550.89</v>
      </c>
      <c r="L257" s="2">
        <v>4</v>
      </c>
      <c r="M257" s="2">
        <v>0.2</v>
      </c>
      <c r="N257" s="2">
        <f t="shared" si="9"/>
        <v>14203.56</v>
      </c>
      <c r="O257" s="2">
        <f t="shared" si="10"/>
        <v>11362.848</v>
      </c>
      <c r="P257" s="2" t="s">
        <v>662</v>
      </c>
      <c r="Q257" s="2" t="s">
        <v>30</v>
      </c>
      <c r="R257" t="str">
        <f t="shared" si="11"/>
        <v/>
      </c>
    </row>
    <row r="258" spans="1:18" x14ac:dyDescent="0.3">
      <c r="A258" s="2" t="s">
        <v>663</v>
      </c>
      <c r="B258" s="5">
        <v>45366</v>
      </c>
      <c r="C258" s="2" t="s">
        <v>157</v>
      </c>
      <c r="D258" s="2" t="s">
        <v>1117</v>
      </c>
      <c r="E258" s="2" t="s">
        <v>20</v>
      </c>
      <c r="F258" s="2" t="str">
        <f>VLOOKUP(Orders!E257,Products!A:F,2,FALSE)</f>
        <v>USB-C Charger</v>
      </c>
      <c r="G258" s="2" t="s">
        <v>34</v>
      </c>
      <c r="H258" s="2" t="str">
        <f>VLOOKUP(G258,Employees!A:E,2,FALSE)</f>
        <v>Rohit Sinha</v>
      </c>
      <c r="I258" s="2" t="str">
        <f>VLOOKUP(E258,Products!A:F,3,FALSE)</f>
        <v>Home &amp; Kitchen</v>
      </c>
      <c r="J258" s="2" t="s">
        <v>35</v>
      </c>
      <c r="K258" s="2">
        <f>VLOOKUP(E258,Products!A:F,5,FALSE)</f>
        <v>3772.12</v>
      </c>
      <c r="L258" s="2">
        <v>1</v>
      </c>
      <c r="M258" s="2">
        <v>0</v>
      </c>
      <c r="N258" s="2">
        <f t="shared" ref="N258:N321" si="12">K258*L258</f>
        <v>3772.12</v>
      </c>
      <c r="O258" s="2">
        <f t="shared" ref="O258:O321" si="13">N258*(1-M258)</f>
        <v>3772.12</v>
      </c>
      <c r="P258" s="2" t="s">
        <v>664</v>
      </c>
      <c r="Q258" s="2" t="s">
        <v>30</v>
      </c>
      <c r="R258" t="str">
        <f t="shared" ref="R258:R321" si="14">IF(L258=0,"Missing Quantity","")</f>
        <v/>
      </c>
    </row>
    <row r="259" spans="1:18" x14ac:dyDescent="0.3">
      <c r="A259" s="2" t="s">
        <v>665</v>
      </c>
      <c r="B259" s="5">
        <v>45767</v>
      </c>
      <c r="C259" s="2" t="s">
        <v>124</v>
      </c>
      <c r="D259" s="2" t="s">
        <v>1112</v>
      </c>
      <c r="E259" s="2" t="s">
        <v>206</v>
      </c>
      <c r="F259" s="2" t="str">
        <f>VLOOKUP(Orders!E258,Products!A:F,2,FALSE)</f>
        <v>LED Lamp</v>
      </c>
      <c r="G259" s="2" t="s">
        <v>45</v>
      </c>
      <c r="H259" s="2" t="str">
        <f>VLOOKUP(G259,Employees!A:E,2,FALSE)</f>
        <v>Rajesh Iyer</v>
      </c>
      <c r="I259" s="2" t="str">
        <f>VLOOKUP(E259,Products!A:F,3,FALSE)</f>
        <v>Electronics</v>
      </c>
      <c r="J259" s="2" t="s">
        <v>15</v>
      </c>
      <c r="K259" s="2">
        <f>VLOOKUP(E259,Products!A:F,5,FALSE)</f>
        <v>2779.58</v>
      </c>
      <c r="L259" s="2">
        <v>4</v>
      </c>
      <c r="M259" s="2">
        <v>0</v>
      </c>
      <c r="N259" s="2">
        <f t="shared" si="12"/>
        <v>11118.32</v>
      </c>
      <c r="O259" s="2">
        <f t="shared" si="13"/>
        <v>11118.32</v>
      </c>
      <c r="P259" s="2" t="s">
        <v>666</v>
      </c>
      <c r="Q259" s="2" t="s">
        <v>17</v>
      </c>
      <c r="R259" t="str">
        <f t="shared" si="14"/>
        <v/>
      </c>
    </row>
    <row r="260" spans="1:18" x14ac:dyDescent="0.3">
      <c r="A260" s="2" t="s">
        <v>667</v>
      </c>
      <c r="B260" s="5">
        <v>45618</v>
      </c>
      <c r="C260" s="2" t="s">
        <v>120</v>
      </c>
      <c r="D260" s="2" t="s">
        <v>993</v>
      </c>
      <c r="E260" s="2" t="s">
        <v>254</v>
      </c>
      <c r="F260" s="2" t="str">
        <f>VLOOKUP(Orders!E259,Products!A:F,2,FALSE)</f>
        <v>Power Bank</v>
      </c>
      <c r="G260" s="2" t="s">
        <v>34</v>
      </c>
      <c r="H260" s="2" t="str">
        <f>VLOOKUP(G260,Employees!A:E,2,FALSE)</f>
        <v>Rohit Sinha</v>
      </c>
      <c r="I260" s="2" t="str">
        <f>VLOOKUP(E260,Products!A:F,3,FALSE)</f>
        <v>Books</v>
      </c>
      <c r="J260" s="2" t="s">
        <v>22</v>
      </c>
      <c r="K260" s="2">
        <f>VLOOKUP(E260,Products!A:F,5,FALSE)</f>
        <v>605.26</v>
      </c>
      <c r="L260" s="2">
        <v>6</v>
      </c>
      <c r="M260" s="2">
        <v>0.05</v>
      </c>
      <c r="N260" s="2">
        <f t="shared" si="12"/>
        <v>3631.56</v>
      </c>
      <c r="O260" s="2">
        <f t="shared" si="13"/>
        <v>3449.982</v>
      </c>
      <c r="P260" s="2" t="s">
        <v>48</v>
      </c>
      <c r="Q260" s="2" t="s">
        <v>42</v>
      </c>
      <c r="R260" t="str">
        <f t="shared" si="14"/>
        <v/>
      </c>
    </row>
    <row r="261" spans="1:18" x14ac:dyDescent="0.3">
      <c r="A261" s="2" t="s">
        <v>668</v>
      </c>
      <c r="B261" s="5">
        <v>45400</v>
      </c>
      <c r="C261" s="2" t="s">
        <v>141</v>
      </c>
      <c r="D261" s="2" t="s">
        <v>1115</v>
      </c>
      <c r="E261" s="2" t="s">
        <v>196</v>
      </c>
      <c r="F261" s="2" t="str">
        <f>VLOOKUP(Orders!E260,Products!A:F,2,FALSE)</f>
        <v>Self-Help Book</v>
      </c>
      <c r="G261" s="2" t="s">
        <v>82</v>
      </c>
      <c r="H261" s="2" t="str">
        <f>VLOOKUP(G261,Employees!A:E,2,FALSE)</f>
        <v>Priya Nair</v>
      </c>
      <c r="I261" s="2" t="str">
        <f>VLOOKUP(E261,Products!A:F,3,FALSE)</f>
        <v>Electronics</v>
      </c>
      <c r="J261" s="2" t="s">
        <v>73</v>
      </c>
      <c r="K261" s="2">
        <f>VLOOKUP(E261,Products!A:F,5,FALSE)</f>
        <v>2184.5100000000002</v>
      </c>
      <c r="L261" s="2">
        <v>6</v>
      </c>
      <c r="M261" s="2">
        <v>0</v>
      </c>
      <c r="N261" s="2">
        <f t="shared" si="12"/>
        <v>13107.060000000001</v>
      </c>
      <c r="O261" s="2">
        <f t="shared" si="13"/>
        <v>13107.060000000001</v>
      </c>
      <c r="P261" s="2" t="s">
        <v>670</v>
      </c>
      <c r="Q261" s="2" t="s">
        <v>17</v>
      </c>
      <c r="R261" t="str">
        <f t="shared" si="14"/>
        <v/>
      </c>
    </row>
    <row r="262" spans="1:18" x14ac:dyDescent="0.3">
      <c r="A262" s="2" t="s">
        <v>671</v>
      </c>
      <c r="B262" s="5">
        <v>45752</v>
      </c>
      <c r="C262" s="2" t="s">
        <v>120</v>
      </c>
      <c r="D262" s="2" t="s">
        <v>993</v>
      </c>
      <c r="E262" s="2" t="s">
        <v>300</v>
      </c>
      <c r="F262" s="2" t="str">
        <f>VLOOKUP(Orders!E261,Products!A:F,2,FALSE)</f>
        <v>Laptop Stand</v>
      </c>
      <c r="G262" s="2" t="s">
        <v>14</v>
      </c>
      <c r="H262" s="2" t="str">
        <f>VLOOKUP(G262,Employees!A:E,2,FALSE)</f>
        <v>Fatima Sheikh</v>
      </c>
      <c r="I262" s="2" t="str">
        <f>VLOOKUP(E262,Products!A:F,3,FALSE)</f>
        <v>Home &amp; Kitchen</v>
      </c>
      <c r="J262" s="2" t="s">
        <v>73</v>
      </c>
      <c r="K262" s="2">
        <f>VLOOKUP(E262,Products!A:F,5,FALSE)</f>
        <v>4174.32</v>
      </c>
      <c r="L262" s="2">
        <v>4</v>
      </c>
      <c r="M262" s="2">
        <v>0</v>
      </c>
      <c r="N262" s="2">
        <f t="shared" si="12"/>
        <v>16697.28</v>
      </c>
      <c r="O262" s="2">
        <f t="shared" si="13"/>
        <v>16697.28</v>
      </c>
      <c r="P262" s="2" t="s">
        <v>562</v>
      </c>
      <c r="Q262" s="2" t="s">
        <v>17</v>
      </c>
      <c r="R262" t="str">
        <f t="shared" si="14"/>
        <v/>
      </c>
    </row>
    <row r="263" spans="1:18" x14ac:dyDescent="0.3">
      <c r="A263" s="2" t="s">
        <v>673</v>
      </c>
      <c r="B263" s="5">
        <v>45685</v>
      </c>
      <c r="C263" s="2" t="s">
        <v>234</v>
      </c>
      <c r="D263" s="2" t="s">
        <v>1127</v>
      </c>
      <c r="E263" s="2" t="s">
        <v>153</v>
      </c>
      <c r="F263" s="2" t="str">
        <f>VLOOKUP(Orders!E262,Products!A:F,2,FALSE)</f>
        <v>Cushion Cover</v>
      </c>
      <c r="G263" s="2" t="s">
        <v>82</v>
      </c>
      <c r="H263" s="2" t="str">
        <f>VLOOKUP(G263,Employees!A:E,2,FALSE)</f>
        <v>Priya Nair</v>
      </c>
      <c r="I263" s="2" t="str">
        <f>VLOOKUP(E263,Products!A:F,3,FALSE)</f>
        <v>Books</v>
      </c>
      <c r="J263" s="2" t="s">
        <v>15</v>
      </c>
      <c r="K263" s="2">
        <f>VLOOKUP(E263,Products!A:F,5,FALSE)</f>
        <v>2128.4</v>
      </c>
      <c r="L263" s="2">
        <v>10</v>
      </c>
      <c r="M263" s="2">
        <v>0.05</v>
      </c>
      <c r="N263" s="2">
        <f t="shared" si="12"/>
        <v>21284</v>
      </c>
      <c r="O263" s="2">
        <f t="shared" si="13"/>
        <v>20219.8</v>
      </c>
      <c r="P263" s="2" t="s">
        <v>674</v>
      </c>
      <c r="Q263" s="2" t="s">
        <v>17</v>
      </c>
      <c r="R263" t="str">
        <f t="shared" si="14"/>
        <v/>
      </c>
    </row>
    <row r="264" spans="1:18" x14ac:dyDescent="0.3">
      <c r="A264" s="2" t="s">
        <v>675</v>
      </c>
      <c r="B264" s="5">
        <v>45612</v>
      </c>
      <c r="C264" s="2" t="s">
        <v>403</v>
      </c>
      <c r="D264" s="2" t="s">
        <v>1135</v>
      </c>
      <c r="E264" s="2" t="s">
        <v>454</v>
      </c>
      <c r="F264" s="2" t="str">
        <f>VLOOKUP(Orders!E263,Products!A:F,2,FALSE)</f>
        <v>Novel - Fiction</v>
      </c>
      <c r="G264" s="2" t="s">
        <v>82</v>
      </c>
      <c r="H264" s="2" t="str">
        <f>VLOOKUP(G264,Employees!A:E,2,FALSE)</f>
        <v>Priya Nair</v>
      </c>
      <c r="I264" s="2" t="str">
        <f>VLOOKUP(E264,Products!A:F,3,FALSE)</f>
        <v>Books</v>
      </c>
      <c r="J264" s="2" t="s">
        <v>35</v>
      </c>
      <c r="K264" s="2">
        <f>VLOOKUP(E264,Products!A:F,5,FALSE)</f>
        <v>1253.57</v>
      </c>
      <c r="L264" s="2">
        <v>4</v>
      </c>
      <c r="M264" s="2">
        <v>0.2</v>
      </c>
      <c r="N264" s="2">
        <f t="shared" si="12"/>
        <v>5014.28</v>
      </c>
      <c r="O264" s="2">
        <f t="shared" si="13"/>
        <v>4011.424</v>
      </c>
      <c r="P264" s="2" t="s">
        <v>513</v>
      </c>
      <c r="Q264" s="2" t="s">
        <v>42</v>
      </c>
      <c r="R264" t="str">
        <f t="shared" si="14"/>
        <v/>
      </c>
    </row>
    <row r="265" spans="1:18" x14ac:dyDescent="0.3">
      <c r="A265" s="2" t="s">
        <v>676</v>
      </c>
      <c r="B265" s="5">
        <v>45770</v>
      </c>
      <c r="C265" s="2" t="s">
        <v>199</v>
      </c>
      <c r="D265" s="2" t="s">
        <v>1123</v>
      </c>
      <c r="E265" s="2" t="s">
        <v>121</v>
      </c>
      <c r="F265" s="2" t="str">
        <f>VLOOKUP(Orders!E264,Products!A:F,2,FALSE)</f>
        <v>Comic Book</v>
      </c>
      <c r="G265" s="2" t="s">
        <v>14</v>
      </c>
      <c r="H265" s="2" t="str">
        <f>VLOOKUP(G265,Employees!A:E,2,FALSE)</f>
        <v>Fatima Sheikh</v>
      </c>
      <c r="I265" s="2" t="str">
        <f>VLOOKUP(E265,Products!A:F,3,FALSE)</f>
        <v>Beauty</v>
      </c>
      <c r="J265" s="2" t="s">
        <v>73</v>
      </c>
      <c r="K265" s="2">
        <f>VLOOKUP(E265,Products!A:F,5,FALSE)</f>
        <v>3414.07</v>
      </c>
      <c r="L265" s="2">
        <v>8</v>
      </c>
      <c r="M265" s="2">
        <v>0</v>
      </c>
      <c r="N265" s="2">
        <f t="shared" si="12"/>
        <v>27312.560000000001</v>
      </c>
      <c r="O265" s="2">
        <f t="shared" si="13"/>
        <v>27312.560000000001</v>
      </c>
      <c r="P265" s="2" t="s">
        <v>55</v>
      </c>
      <c r="Q265" s="2" t="s">
        <v>24</v>
      </c>
      <c r="R265" t="str">
        <f t="shared" si="14"/>
        <v/>
      </c>
    </row>
    <row r="266" spans="1:18" x14ac:dyDescent="0.3">
      <c r="A266" s="2" t="s">
        <v>677</v>
      </c>
      <c r="B266" s="5">
        <v>45694</v>
      </c>
      <c r="C266" s="2" t="s">
        <v>502</v>
      </c>
      <c r="D266" s="2" t="s">
        <v>1138</v>
      </c>
      <c r="E266" s="2" t="s">
        <v>206</v>
      </c>
      <c r="F266" s="2" t="str">
        <f>VLOOKUP(Orders!E265,Products!A:F,2,FALSE)</f>
        <v>Hair Serum</v>
      </c>
      <c r="G266" s="2" t="s">
        <v>34</v>
      </c>
      <c r="H266" s="2" t="str">
        <f>VLOOKUP(G266,Employees!A:E,2,FALSE)</f>
        <v>Rohit Sinha</v>
      </c>
      <c r="I266" s="2" t="str">
        <f>VLOOKUP(E266,Products!A:F,3,FALSE)</f>
        <v>Electronics</v>
      </c>
      <c r="J266" s="2" t="s">
        <v>15</v>
      </c>
      <c r="K266" s="2">
        <f>VLOOKUP(E266,Products!A:F,5,FALSE)</f>
        <v>2779.58</v>
      </c>
      <c r="L266" s="2">
        <v>9</v>
      </c>
      <c r="M266" s="2">
        <v>0.05</v>
      </c>
      <c r="N266" s="2">
        <f t="shared" si="12"/>
        <v>25016.22</v>
      </c>
      <c r="O266" s="2">
        <f t="shared" si="13"/>
        <v>23765.409</v>
      </c>
      <c r="P266" s="2" t="s">
        <v>501</v>
      </c>
      <c r="Q266" s="2" t="s">
        <v>42</v>
      </c>
      <c r="R266" t="str">
        <f t="shared" si="14"/>
        <v/>
      </c>
    </row>
    <row r="267" spans="1:18" x14ac:dyDescent="0.3">
      <c r="A267" s="2" t="s">
        <v>678</v>
      </c>
      <c r="B267" s="5">
        <v>45653</v>
      </c>
      <c r="C267" s="2" t="s">
        <v>12</v>
      </c>
      <c r="D267" s="2" t="s">
        <v>1103</v>
      </c>
      <c r="E267" s="2" t="s">
        <v>300</v>
      </c>
      <c r="F267" s="2" t="str">
        <f>VLOOKUP(Orders!E266,Products!A:F,2,FALSE)</f>
        <v>Power Bank</v>
      </c>
      <c r="G267" s="2" t="s">
        <v>14</v>
      </c>
      <c r="H267" s="2" t="str">
        <f>VLOOKUP(G267,Employees!A:E,2,FALSE)</f>
        <v>Fatima Sheikh</v>
      </c>
      <c r="I267" s="2" t="str">
        <f>VLOOKUP(E267,Products!A:F,3,FALSE)</f>
        <v>Home &amp; Kitchen</v>
      </c>
      <c r="J267" s="2" t="s">
        <v>35</v>
      </c>
      <c r="K267" s="2">
        <f>VLOOKUP(E267,Products!A:F,5,FALSE)</f>
        <v>4174.32</v>
      </c>
      <c r="L267" s="2">
        <v>1</v>
      </c>
      <c r="M267" s="2">
        <v>0</v>
      </c>
      <c r="N267" s="2">
        <f t="shared" si="12"/>
        <v>4174.32</v>
      </c>
      <c r="O267" s="2">
        <f t="shared" si="13"/>
        <v>4174.32</v>
      </c>
      <c r="P267" s="2" t="s">
        <v>438</v>
      </c>
      <c r="Q267" s="2" t="s">
        <v>42</v>
      </c>
      <c r="R267" t="str">
        <f t="shared" si="14"/>
        <v/>
      </c>
    </row>
    <row r="268" spans="1:18" x14ac:dyDescent="0.3">
      <c r="A268" s="2" t="s">
        <v>679</v>
      </c>
      <c r="B268" s="5">
        <v>45773</v>
      </c>
      <c r="C268" s="2" t="s">
        <v>199</v>
      </c>
      <c r="D268" s="2" t="s">
        <v>1123</v>
      </c>
      <c r="E268" s="2" t="s">
        <v>164</v>
      </c>
      <c r="F268" s="2" t="str">
        <f>VLOOKUP(Orders!E267,Products!A:F,2,FALSE)</f>
        <v>Cushion Cover</v>
      </c>
      <c r="G268" s="2" t="s">
        <v>34</v>
      </c>
      <c r="H268" s="2" t="str">
        <f>VLOOKUP(G268,Employees!A:E,2,FALSE)</f>
        <v>Rohit Sinha</v>
      </c>
      <c r="I268" s="2" t="str">
        <f>VLOOKUP(E268,Products!A:F,3,FALSE)</f>
        <v>Books</v>
      </c>
      <c r="J268" s="2" t="s">
        <v>73</v>
      </c>
      <c r="K268" s="2">
        <f>VLOOKUP(E268,Products!A:F,5,FALSE)</f>
        <v>2489.91</v>
      </c>
      <c r="L268" s="2">
        <v>5</v>
      </c>
      <c r="M268" s="2">
        <v>0.1</v>
      </c>
      <c r="N268" s="2">
        <f t="shared" si="12"/>
        <v>12449.55</v>
      </c>
      <c r="O268" s="2">
        <f t="shared" si="13"/>
        <v>11204.594999999999</v>
      </c>
      <c r="P268" s="2" t="s">
        <v>680</v>
      </c>
      <c r="Q268" s="2" t="s">
        <v>30</v>
      </c>
      <c r="R268" t="str">
        <f t="shared" si="14"/>
        <v/>
      </c>
    </row>
    <row r="269" spans="1:18" x14ac:dyDescent="0.3">
      <c r="A269" s="2" t="s">
        <v>681</v>
      </c>
      <c r="B269" s="5">
        <v>45429</v>
      </c>
      <c r="C269" s="2" t="s">
        <v>124</v>
      </c>
      <c r="D269" s="2" t="s">
        <v>1112</v>
      </c>
      <c r="E269" s="2" t="s">
        <v>454</v>
      </c>
      <c r="F269" s="2" t="str">
        <f>VLOOKUP(Orders!E268,Products!A:F,2,FALSE)</f>
        <v>Biography</v>
      </c>
      <c r="G269" s="2" t="s">
        <v>82</v>
      </c>
      <c r="H269" s="2" t="str">
        <f>VLOOKUP(G269,Employees!A:E,2,FALSE)</f>
        <v>Priya Nair</v>
      </c>
      <c r="I269" s="2" t="str">
        <f>VLOOKUP(E269,Products!A:F,3,FALSE)</f>
        <v>Books</v>
      </c>
      <c r="J269" s="2" t="s">
        <v>35</v>
      </c>
      <c r="K269" s="2">
        <f>VLOOKUP(E269,Products!A:F,5,FALSE)</f>
        <v>1253.57</v>
      </c>
      <c r="L269" s="2">
        <v>5</v>
      </c>
      <c r="M269" s="2">
        <v>0.15</v>
      </c>
      <c r="N269" s="2">
        <f t="shared" si="12"/>
        <v>6267.8499999999995</v>
      </c>
      <c r="O269" s="2">
        <f t="shared" si="13"/>
        <v>5327.6724999999997</v>
      </c>
      <c r="P269" s="2" t="s">
        <v>682</v>
      </c>
      <c r="Q269" s="2" t="s">
        <v>17</v>
      </c>
      <c r="R269" t="str">
        <f t="shared" si="14"/>
        <v/>
      </c>
    </row>
    <row r="270" spans="1:18" x14ac:dyDescent="0.3">
      <c r="A270" s="2" t="s">
        <v>683</v>
      </c>
      <c r="B270" s="5">
        <v>45338</v>
      </c>
      <c r="C270" s="2" t="s">
        <v>27</v>
      </c>
      <c r="D270" s="2" t="s">
        <v>1105</v>
      </c>
      <c r="E270" s="2" t="s">
        <v>20</v>
      </c>
      <c r="F270" s="2" t="str">
        <f>VLOOKUP(Orders!E269,Products!A:F,2,FALSE)</f>
        <v>Comic Book</v>
      </c>
      <c r="G270" s="2" t="s">
        <v>21</v>
      </c>
      <c r="H270" s="2" t="str">
        <f>VLOOKUP(G270,Employees!A:E,2,FALSE)</f>
        <v>Karan Mehta</v>
      </c>
      <c r="I270" s="2" t="str">
        <f>VLOOKUP(E270,Products!A:F,3,FALSE)</f>
        <v>Home &amp; Kitchen</v>
      </c>
      <c r="J270" s="2" t="s">
        <v>15</v>
      </c>
      <c r="K270" s="2">
        <f>VLOOKUP(E270,Products!A:F,5,FALSE)</f>
        <v>3772.12</v>
      </c>
      <c r="L270" s="2">
        <v>7</v>
      </c>
      <c r="M270" s="2">
        <v>0</v>
      </c>
      <c r="N270" s="2">
        <f t="shared" si="12"/>
        <v>26404.84</v>
      </c>
      <c r="O270" s="2">
        <f t="shared" si="13"/>
        <v>26404.84</v>
      </c>
      <c r="P270" s="2" t="s">
        <v>684</v>
      </c>
      <c r="Q270" s="2" t="s">
        <v>17</v>
      </c>
      <c r="R270" t="str">
        <f t="shared" si="14"/>
        <v/>
      </c>
    </row>
    <row r="271" spans="1:18" x14ac:dyDescent="0.3">
      <c r="A271" s="2" t="s">
        <v>685</v>
      </c>
      <c r="B271" s="5">
        <v>45587</v>
      </c>
      <c r="C271" s="2" t="s">
        <v>89</v>
      </c>
      <c r="D271" s="2" t="s">
        <v>1059</v>
      </c>
      <c r="E271" s="2" t="s">
        <v>260</v>
      </c>
      <c r="F271" s="2" t="str">
        <f>VLOOKUP(Orders!E270,Products!A:F,2,FALSE)</f>
        <v>LED Lamp</v>
      </c>
      <c r="G271" s="2" t="s">
        <v>34</v>
      </c>
      <c r="H271" s="2" t="str">
        <f>VLOOKUP(G271,Employees!A:E,2,FALSE)</f>
        <v>Rohit Sinha</v>
      </c>
      <c r="I271" s="2" t="str">
        <f>VLOOKUP(E271,Products!A:F,3,FALSE)</f>
        <v>Home &amp; Kitchen</v>
      </c>
      <c r="J271" s="2" t="s">
        <v>35</v>
      </c>
      <c r="K271" s="2">
        <f>VLOOKUP(E271,Products!A:F,5,FALSE)</f>
        <v>3981.64</v>
      </c>
      <c r="L271" s="2">
        <v>2</v>
      </c>
      <c r="M271" s="2">
        <v>0.05</v>
      </c>
      <c r="N271" s="2">
        <f t="shared" si="12"/>
        <v>7963.28</v>
      </c>
      <c r="O271" s="2">
        <f t="shared" si="13"/>
        <v>7565.1159999999991</v>
      </c>
      <c r="P271" s="2" t="s">
        <v>686</v>
      </c>
      <c r="Q271" s="2" t="s">
        <v>42</v>
      </c>
      <c r="R271" t="str">
        <f t="shared" si="14"/>
        <v/>
      </c>
    </row>
    <row r="272" spans="1:18" x14ac:dyDescent="0.3">
      <c r="A272" s="2" t="s">
        <v>687</v>
      </c>
      <c r="B272" s="5">
        <v>45578</v>
      </c>
      <c r="C272" s="2" t="s">
        <v>229</v>
      </c>
      <c r="D272" s="2" t="s">
        <v>1126</v>
      </c>
      <c r="E272" s="2" t="s">
        <v>304</v>
      </c>
      <c r="F272" s="2" t="str">
        <f>VLOOKUP(Orders!E271,Products!A:F,2,FALSE)</f>
        <v>Non-stick Pan</v>
      </c>
      <c r="G272" s="2" t="s">
        <v>45</v>
      </c>
      <c r="H272" s="2" t="str">
        <f>VLOOKUP(G272,Employees!A:E,2,FALSE)</f>
        <v>Rajesh Iyer</v>
      </c>
      <c r="I272" s="2" t="str">
        <f>VLOOKUP(E272,Products!A:F,3,FALSE)</f>
        <v>Clothing</v>
      </c>
      <c r="J272" s="2" t="s">
        <v>73</v>
      </c>
      <c r="K272" s="2">
        <f>VLOOKUP(E272,Products!A:F,5,FALSE)</f>
        <v>1498.91</v>
      </c>
      <c r="L272" s="2">
        <v>10</v>
      </c>
      <c r="M272" s="2">
        <v>0.15</v>
      </c>
      <c r="N272" s="2">
        <f t="shared" si="12"/>
        <v>14989.1</v>
      </c>
      <c r="O272" s="2">
        <f t="shared" si="13"/>
        <v>12740.735000000001</v>
      </c>
      <c r="P272" s="2" t="s">
        <v>361</v>
      </c>
      <c r="Q272" s="2" t="s">
        <v>60</v>
      </c>
      <c r="R272" t="str">
        <f t="shared" si="14"/>
        <v/>
      </c>
    </row>
    <row r="273" spans="1:18" x14ac:dyDescent="0.3">
      <c r="A273" s="2" t="s">
        <v>688</v>
      </c>
      <c r="B273" s="5">
        <v>45391</v>
      </c>
      <c r="C273" s="2" t="s">
        <v>137</v>
      </c>
      <c r="D273" s="2" t="s">
        <v>1114</v>
      </c>
      <c r="E273" s="2" t="s">
        <v>13</v>
      </c>
      <c r="F273" s="2" t="str">
        <f>VLOOKUP(Orders!E272,Products!A:F,2,FALSE)</f>
        <v>Denim Jeans</v>
      </c>
      <c r="G273" s="2" t="s">
        <v>14</v>
      </c>
      <c r="H273" s="2" t="str">
        <f>VLOOKUP(G273,Employees!A:E,2,FALSE)</f>
        <v>Fatima Sheikh</v>
      </c>
      <c r="I273" s="2" t="str">
        <f>VLOOKUP(E273,Products!A:F,3,FALSE)</f>
        <v>Sports</v>
      </c>
      <c r="J273" s="2" t="s">
        <v>22</v>
      </c>
      <c r="K273" s="2">
        <f>VLOOKUP(E273,Products!A:F,5,FALSE)</f>
        <v>3493.54</v>
      </c>
      <c r="L273" s="2">
        <v>7</v>
      </c>
      <c r="M273" s="2">
        <v>0</v>
      </c>
      <c r="N273" s="2">
        <f t="shared" si="12"/>
        <v>24454.78</v>
      </c>
      <c r="O273" s="2">
        <f t="shared" si="13"/>
        <v>24454.78</v>
      </c>
      <c r="P273" s="2" t="s">
        <v>264</v>
      </c>
      <c r="Q273" s="2" t="s">
        <v>60</v>
      </c>
      <c r="R273" t="str">
        <f t="shared" si="14"/>
        <v/>
      </c>
    </row>
    <row r="274" spans="1:18" x14ac:dyDescent="0.3">
      <c r="A274" s="2" t="s">
        <v>689</v>
      </c>
      <c r="B274" s="5">
        <v>45495</v>
      </c>
      <c r="C274" s="2" t="s">
        <v>690</v>
      </c>
      <c r="D274" s="2" t="s">
        <v>1142</v>
      </c>
      <c r="E274" s="2" t="s">
        <v>125</v>
      </c>
      <c r="F274" s="2" t="str">
        <f>VLOOKUP(Orders!E273,Products!A:F,2,FALSE)</f>
        <v>Football</v>
      </c>
      <c r="G274" s="2" t="s">
        <v>82</v>
      </c>
      <c r="H274" s="2" t="str">
        <f>VLOOKUP(G274,Employees!A:E,2,FALSE)</f>
        <v>Priya Nair</v>
      </c>
      <c r="I274" s="2" t="str">
        <f>VLOOKUP(E274,Products!A:F,3,FALSE)</f>
        <v>Grocery</v>
      </c>
      <c r="J274" s="2" t="s">
        <v>73</v>
      </c>
      <c r="K274" s="2">
        <f>VLOOKUP(E274,Products!A:F,5,FALSE)</f>
        <v>2458.91</v>
      </c>
      <c r="L274" s="2">
        <v>10</v>
      </c>
      <c r="M274" s="2">
        <v>0.1</v>
      </c>
      <c r="N274" s="2">
        <f t="shared" si="12"/>
        <v>24589.1</v>
      </c>
      <c r="O274" s="2">
        <f t="shared" si="13"/>
        <v>22130.19</v>
      </c>
      <c r="P274" s="2" t="s">
        <v>612</v>
      </c>
      <c r="Q274" s="2" t="s">
        <v>24</v>
      </c>
      <c r="R274" t="str">
        <f t="shared" si="14"/>
        <v/>
      </c>
    </row>
    <row r="275" spans="1:18" x14ac:dyDescent="0.3">
      <c r="A275" s="2" t="s">
        <v>691</v>
      </c>
      <c r="B275" s="5">
        <v>45331</v>
      </c>
      <c r="C275" s="2" t="s">
        <v>214</v>
      </c>
      <c r="D275" s="2" t="s">
        <v>1125</v>
      </c>
      <c r="E275" s="2" t="s">
        <v>254</v>
      </c>
      <c r="F275" s="2" t="str">
        <f>VLOOKUP(Orders!E274,Products!A:F,2,FALSE)</f>
        <v>Basmati Rice 5kg</v>
      </c>
      <c r="G275" s="2" t="s">
        <v>82</v>
      </c>
      <c r="H275" s="2" t="str">
        <f>VLOOKUP(G275,Employees!A:E,2,FALSE)</f>
        <v>Priya Nair</v>
      </c>
      <c r="I275" s="2" t="str">
        <f>VLOOKUP(E275,Products!A:F,3,FALSE)</f>
        <v>Books</v>
      </c>
      <c r="J275" s="2" t="s">
        <v>35</v>
      </c>
      <c r="K275" s="2">
        <f>VLOOKUP(E275,Products!A:F,5,FALSE)</f>
        <v>605.26</v>
      </c>
      <c r="L275" s="2">
        <v>3</v>
      </c>
      <c r="M275" s="2">
        <v>0.15</v>
      </c>
      <c r="N275" s="2">
        <f t="shared" si="12"/>
        <v>1815.78</v>
      </c>
      <c r="O275" s="2">
        <f t="shared" si="13"/>
        <v>1543.413</v>
      </c>
      <c r="P275" s="2" t="s">
        <v>693</v>
      </c>
      <c r="Q275" s="2" t="s">
        <v>42</v>
      </c>
      <c r="R275" t="str">
        <f t="shared" si="14"/>
        <v/>
      </c>
    </row>
    <row r="276" spans="1:18" x14ac:dyDescent="0.3">
      <c r="A276" s="2" t="s">
        <v>694</v>
      </c>
      <c r="B276" s="5">
        <v>45759</v>
      </c>
      <c r="C276" s="2" t="s">
        <v>157</v>
      </c>
      <c r="D276" s="2" t="s">
        <v>1117</v>
      </c>
      <c r="E276" s="2" t="s">
        <v>77</v>
      </c>
      <c r="F276" s="2" t="str">
        <f>VLOOKUP(Orders!E275,Products!A:F,2,FALSE)</f>
        <v>Self-Help Book</v>
      </c>
      <c r="G276" s="2" t="s">
        <v>34</v>
      </c>
      <c r="H276" s="2" t="str">
        <f>VLOOKUP(G276,Employees!A:E,2,FALSE)</f>
        <v>Rohit Sinha</v>
      </c>
      <c r="I276" s="2" t="str">
        <f>VLOOKUP(E276,Products!A:F,3,FALSE)</f>
        <v>Electronics</v>
      </c>
      <c r="J276" s="2" t="s">
        <v>15</v>
      </c>
      <c r="K276" s="2">
        <f>VLOOKUP(E276,Products!A:F,5,FALSE)</f>
        <v>3550.89</v>
      </c>
      <c r="L276" s="2">
        <v>3</v>
      </c>
      <c r="M276" s="2">
        <v>0.1</v>
      </c>
      <c r="N276" s="2">
        <f t="shared" si="12"/>
        <v>10652.67</v>
      </c>
      <c r="O276" s="2">
        <f t="shared" si="13"/>
        <v>9587.4030000000002</v>
      </c>
      <c r="P276" s="2" t="s">
        <v>695</v>
      </c>
      <c r="Q276" s="2" t="s">
        <v>17</v>
      </c>
      <c r="R276" t="str">
        <f t="shared" si="14"/>
        <v/>
      </c>
    </row>
    <row r="277" spans="1:18" x14ac:dyDescent="0.3">
      <c r="A277" s="2" t="s">
        <v>696</v>
      </c>
      <c r="B277" s="5">
        <v>45618</v>
      </c>
      <c r="C277" s="2" t="s">
        <v>39</v>
      </c>
      <c r="D277" s="2" t="s">
        <v>990</v>
      </c>
      <c r="E277" s="2" t="s">
        <v>106</v>
      </c>
      <c r="F277" s="2" t="str">
        <f>VLOOKUP(Orders!E276,Products!A:F,2,FALSE)</f>
        <v>USB-C Charger</v>
      </c>
      <c r="G277" s="2" t="s">
        <v>21</v>
      </c>
      <c r="H277" s="2" t="str">
        <f>VLOOKUP(G277,Employees!A:E,2,FALSE)</f>
        <v>Karan Mehta</v>
      </c>
      <c r="I277" s="2" t="str">
        <f>VLOOKUP(E277,Products!A:F,3,FALSE)</f>
        <v>Clothing</v>
      </c>
      <c r="J277" s="2" t="s">
        <v>22</v>
      </c>
      <c r="K277" s="2">
        <f>VLOOKUP(E277,Products!A:F,5,FALSE)</f>
        <v>1559.65</v>
      </c>
      <c r="L277" s="2">
        <v>3</v>
      </c>
      <c r="M277" s="2">
        <v>0.05</v>
      </c>
      <c r="N277" s="2">
        <f t="shared" si="12"/>
        <v>4678.9500000000007</v>
      </c>
      <c r="O277" s="2">
        <f t="shared" si="13"/>
        <v>4445.0025000000005</v>
      </c>
      <c r="P277" s="2" t="s">
        <v>697</v>
      </c>
      <c r="Q277" s="2" t="s">
        <v>42</v>
      </c>
      <c r="R277" t="str">
        <f t="shared" si="14"/>
        <v/>
      </c>
    </row>
    <row r="278" spans="1:18" x14ac:dyDescent="0.3">
      <c r="A278" s="2" t="s">
        <v>698</v>
      </c>
      <c r="B278" s="5">
        <v>45636</v>
      </c>
      <c r="C278" s="2" t="s">
        <v>115</v>
      </c>
      <c r="D278" s="2" t="s">
        <v>996</v>
      </c>
      <c r="E278" s="2" t="s">
        <v>44</v>
      </c>
      <c r="F278" s="2" t="str">
        <f>VLOOKUP(Orders!E277,Products!A:F,2,FALSE)</f>
        <v>Winter Scarf</v>
      </c>
      <c r="G278" s="2" t="s">
        <v>21</v>
      </c>
      <c r="H278" s="2" t="str">
        <f>VLOOKUP(G278,Employees!A:E,2,FALSE)</f>
        <v>Karan Mehta</v>
      </c>
      <c r="I278" s="2" t="str">
        <f>VLOOKUP(E278,Products!A:F,3,FALSE)</f>
        <v>Sports</v>
      </c>
      <c r="J278" s="2" t="s">
        <v>35</v>
      </c>
      <c r="K278" s="2">
        <f>VLOOKUP(E278,Products!A:F,5,FALSE)</f>
        <v>973.21</v>
      </c>
      <c r="L278" s="2">
        <v>9</v>
      </c>
      <c r="M278" s="2">
        <v>0.2</v>
      </c>
      <c r="N278" s="2">
        <f t="shared" si="12"/>
        <v>8758.89</v>
      </c>
      <c r="O278" s="2">
        <f t="shared" si="13"/>
        <v>7007.1120000000001</v>
      </c>
      <c r="P278" s="2" t="s">
        <v>699</v>
      </c>
      <c r="Q278" s="2" t="s">
        <v>42</v>
      </c>
      <c r="R278" t="str">
        <f t="shared" si="14"/>
        <v/>
      </c>
    </row>
    <row r="279" spans="1:18" x14ac:dyDescent="0.3">
      <c r="A279" s="2" t="s">
        <v>700</v>
      </c>
      <c r="B279" s="5">
        <v>45598</v>
      </c>
      <c r="C279" s="2" t="s">
        <v>110</v>
      </c>
      <c r="D279" s="2" t="s">
        <v>983</v>
      </c>
      <c r="E279" s="2" t="s">
        <v>125</v>
      </c>
      <c r="F279" s="2" t="str">
        <f>VLOOKUP(Orders!E278,Products!A:F,2,FALSE)</f>
        <v>Dumbbell Set</v>
      </c>
      <c r="G279" s="2" t="s">
        <v>45</v>
      </c>
      <c r="H279" s="2" t="str">
        <f>VLOOKUP(G279,Employees!A:E,2,FALSE)</f>
        <v>Rajesh Iyer</v>
      </c>
      <c r="I279" s="2" t="str">
        <f>VLOOKUP(E279,Products!A:F,3,FALSE)</f>
        <v>Grocery</v>
      </c>
      <c r="J279" s="2" t="s">
        <v>22</v>
      </c>
      <c r="K279" s="2">
        <f>VLOOKUP(E279,Products!A:F,5,FALSE)</f>
        <v>2458.91</v>
      </c>
      <c r="L279" s="2">
        <v>8</v>
      </c>
      <c r="M279" s="2">
        <v>0.2</v>
      </c>
      <c r="N279" s="2">
        <f t="shared" si="12"/>
        <v>19671.28</v>
      </c>
      <c r="O279" s="2">
        <f t="shared" si="13"/>
        <v>15737.023999999999</v>
      </c>
      <c r="P279" s="2" t="s">
        <v>26</v>
      </c>
      <c r="Q279" s="2" t="s">
        <v>17</v>
      </c>
      <c r="R279" t="str">
        <f t="shared" si="14"/>
        <v/>
      </c>
    </row>
    <row r="280" spans="1:18" x14ac:dyDescent="0.3">
      <c r="A280" s="2" t="s">
        <v>701</v>
      </c>
      <c r="B280" s="5">
        <v>45404</v>
      </c>
      <c r="C280" s="2" t="s">
        <v>199</v>
      </c>
      <c r="D280" s="2" t="s">
        <v>1123</v>
      </c>
      <c r="E280" s="2" t="s">
        <v>145</v>
      </c>
      <c r="F280" s="2" t="str">
        <f>VLOOKUP(Orders!E279,Products!A:F,2,FALSE)</f>
        <v>Basmati Rice 5kg</v>
      </c>
      <c r="G280" s="2" t="s">
        <v>45</v>
      </c>
      <c r="H280" s="2" t="str">
        <f>VLOOKUP(G280,Employees!A:E,2,FALSE)</f>
        <v>Rajesh Iyer</v>
      </c>
      <c r="I280" s="2" t="str">
        <f>VLOOKUP(E280,Products!A:F,3,FALSE)</f>
        <v>Home &amp; Kitchen</v>
      </c>
      <c r="J280" s="2" t="s">
        <v>73</v>
      </c>
      <c r="K280" s="2">
        <f>VLOOKUP(E280,Products!A:F,5,FALSE)</f>
        <v>2612.71</v>
      </c>
      <c r="L280" s="2">
        <v>7</v>
      </c>
      <c r="M280" s="2">
        <v>0.1</v>
      </c>
      <c r="N280" s="2">
        <f t="shared" si="12"/>
        <v>18288.97</v>
      </c>
      <c r="O280" s="2">
        <f t="shared" si="13"/>
        <v>16460.073</v>
      </c>
      <c r="P280" s="2" t="s">
        <v>278</v>
      </c>
      <c r="Q280" s="2" t="s">
        <v>42</v>
      </c>
      <c r="R280" t="str">
        <f t="shared" si="14"/>
        <v/>
      </c>
    </row>
    <row r="281" spans="1:18" x14ac:dyDescent="0.3">
      <c r="A281" s="2" t="s">
        <v>702</v>
      </c>
      <c r="B281" s="5">
        <v>45777</v>
      </c>
      <c r="C281" s="2" t="s">
        <v>403</v>
      </c>
      <c r="D281" s="2" t="s">
        <v>1135</v>
      </c>
      <c r="E281" s="2" t="s">
        <v>454</v>
      </c>
      <c r="F281" s="2" t="str">
        <f>VLOOKUP(Orders!E280,Products!A:F,2,FALSE)</f>
        <v>Storage Box</v>
      </c>
      <c r="G281" s="2" t="s">
        <v>45</v>
      </c>
      <c r="H281" s="2" t="str">
        <f>VLOOKUP(G281,Employees!A:E,2,FALSE)</f>
        <v>Rajesh Iyer</v>
      </c>
      <c r="I281" s="2" t="str">
        <f>VLOOKUP(E281,Products!A:F,3,FALSE)</f>
        <v>Books</v>
      </c>
      <c r="J281" s="2" t="s">
        <v>15</v>
      </c>
      <c r="K281" s="2">
        <f>VLOOKUP(E281,Products!A:F,5,FALSE)</f>
        <v>1253.57</v>
      </c>
      <c r="L281" s="2">
        <v>5</v>
      </c>
      <c r="M281" s="2">
        <v>0.15</v>
      </c>
      <c r="N281" s="2">
        <f t="shared" si="12"/>
        <v>6267.8499999999995</v>
      </c>
      <c r="O281" s="2">
        <f t="shared" si="13"/>
        <v>5327.6724999999997</v>
      </c>
      <c r="P281" s="2" t="s">
        <v>474</v>
      </c>
      <c r="Q281" s="2" t="s">
        <v>24</v>
      </c>
      <c r="R281" t="str">
        <f t="shared" si="14"/>
        <v/>
      </c>
    </row>
    <row r="282" spans="1:18" x14ac:dyDescent="0.3">
      <c r="A282" s="2" t="s">
        <v>703</v>
      </c>
      <c r="B282" s="5">
        <v>45783</v>
      </c>
      <c r="C282" s="2" t="s">
        <v>590</v>
      </c>
      <c r="D282" s="2" t="s">
        <v>1140</v>
      </c>
      <c r="E282" s="2" t="s">
        <v>468</v>
      </c>
      <c r="F282" s="2" t="str">
        <f>VLOOKUP(Orders!E281,Products!A:F,2,FALSE)</f>
        <v>Comic Book</v>
      </c>
      <c r="G282" s="2" t="s">
        <v>14</v>
      </c>
      <c r="H282" s="2" t="str">
        <f>VLOOKUP(G282,Employees!A:E,2,FALSE)</f>
        <v>Fatima Sheikh</v>
      </c>
      <c r="I282" s="2" t="str">
        <f>VLOOKUP(E282,Products!A:F,3,FALSE)</f>
        <v>Toys</v>
      </c>
      <c r="J282" s="2" t="s">
        <v>35</v>
      </c>
      <c r="K282" s="2">
        <f>VLOOKUP(E282,Products!A:F,5,FALSE)</f>
        <v>2113.67</v>
      </c>
      <c r="L282" s="2">
        <v>3</v>
      </c>
      <c r="M282" s="2">
        <v>0.1</v>
      </c>
      <c r="N282" s="2">
        <f t="shared" si="12"/>
        <v>6341.01</v>
      </c>
      <c r="O282" s="2">
        <f t="shared" si="13"/>
        <v>5706.9090000000006</v>
      </c>
      <c r="P282" s="2" t="s">
        <v>662</v>
      </c>
      <c r="Q282" s="2" t="s">
        <v>60</v>
      </c>
      <c r="R282" t="str">
        <f t="shared" si="14"/>
        <v/>
      </c>
    </row>
    <row r="283" spans="1:18" x14ac:dyDescent="0.3">
      <c r="A283" s="2" t="s">
        <v>704</v>
      </c>
      <c r="B283" s="5">
        <v>45540</v>
      </c>
      <c r="C283" s="2" t="s">
        <v>187</v>
      </c>
      <c r="D283" s="2" t="s">
        <v>1122</v>
      </c>
      <c r="E283" s="2" t="s">
        <v>125</v>
      </c>
      <c r="F283" s="2" t="str">
        <f>VLOOKUP(Orders!E282,Products!A:F,2,FALSE)</f>
        <v>Puzzle Set</v>
      </c>
      <c r="G283" s="2" t="s">
        <v>34</v>
      </c>
      <c r="H283" s="2" t="str">
        <f>VLOOKUP(G283,Employees!A:E,2,FALSE)</f>
        <v>Rohit Sinha</v>
      </c>
      <c r="I283" s="2" t="str">
        <f>VLOOKUP(E283,Products!A:F,3,FALSE)</f>
        <v>Grocery</v>
      </c>
      <c r="J283" s="2" t="s">
        <v>15</v>
      </c>
      <c r="K283" s="2">
        <f>VLOOKUP(E283,Products!A:F,5,FALSE)</f>
        <v>2458.91</v>
      </c>
      <c r="L283" s="2">
        <v>1</v>
      </c>
      <c r="M283" s="2">
        <v>0.1</v>
      </c>
      <c r="N283" s="2">
        <f t="shared" si="12"/>
        <v>2458.91</v>
      </c>
      <c r="O283" s="2">
        <f t="shared" si="13"/>
        <v>2213.0189999999998</v>
      </c>
      <c r="P283" s="2" t="s">
        <v>705</v>
      </c>
      <c r="Q283" s="2" t="s">
        <v>24</v>
      </c>
      <c r="R283" t="str">
        <f t="shared" si="14"/>
        <v/>
      </c>
    </row>
    <row r="284" spans="1:18" x14ac:dyDescent="0.3">
      <c r="A284" s="2" t="s">
        <v>706</v>
      </c>
      <c r="B284" s="5">
        <v>45743</v>
      </c>
      <c r="C284" s="2" t="s">
        <v>356</v>
      </c>
      <c r="D284" s="2" t="s">
        <v>1133</v>
      </c>
      <c r="E284" s="2" t="s">
        <v>125</v>
      </c>
      <c r="F284" s="2" t="str">
        <f>VLOOKUP(Orders!E283,Products!A:F,2,FALSE)</f>
        <v>Basmati Rice 5kg</v>
      </c>
      <c r="G284" s="2" t="s">
        <v>14</v>
      </c>
      <c r="H284" s="2" t="str">
        <f>VLOOKUP(G284,Employees!A:E,2,FALSE)</f>
        <v>Fatima Sheikh</v>
      </c>
      <c r="I284" s="2" t="str">
        <f>VLOOKUP(E284,Products!A:F,3,FALSE)</f>
        <v>Grocery</v>
      </c>
      <c r="J284" s="2" t="s">
        <v>35</v>
      </c>
      <c r="K284" s="2">
        <f>VLOOKUP(E284,Products!A:F,5,FALSE)</f>
        <v>2458.91</v>
      </c>
      <c r="L284" s="2">
        <v>6</v>
      </c>
      <c r="M284" s="2">
        <v>0.05</v>
      </c>
      <c r="N284" s="2">
        <f t="shared" si="12"/>
        <v>14753.46</v>
      </c>
      <c r="O284" s="2">
        <f t="shared" si="13"/>
        <v>14015.786999999998</v>
      </c>
      <c r="P284" s="2" t="s">
        <v>561</v>
      </c>
      <c r="Q284" s="2" t="s">
        <v>60</v>
      </c>
      <c r="R284" t="str">
        <f t="shared" si="14"/>
        <v/>
      </c>
    </row>
    <row r="285" spans="1:18" x14ac:dyDescent="0.3">
      <c r="A285" s="2" t="s">
        <v>707</v>
      </c>
      <c r="B285" s="5">
        <v>45712</v>
      </c>
      <c r="C285" s="2" t="s">
        <v>66</v>
      </c>
      <c r="D285" s="2" t="s">
        <v>1108</v>
      </c>
      <c r="E285" s="2" t="s">
        <v>377</v>
      </c>
      <c r="F285" s="2" t="str">
        <f>VLOOKUP(Orders!E284,Products!A:F,2,FALSE)</f>
        <v>Basmati Rice 5kg</v>
      </c>
      <c r="G285" s="2" t="s">
        <v>82</v>
      </c>
      <c r="H285" s="2" t="str">
        <f>VLOOKUP(G285,Employees!A:E,2,FALSE)</f>
        <v>Priya Nair</v>
      </c>
      <c r="I285" s="2" t="str">
        <f>VLOOKUP(E285,Products!A:F,3,FALSE)</f>
        <v>Sports</v>
      </c>
      <c r="J285" s="2" t="s">
        <v>35</v>
      </c>
      <c r="K285" s="2">
        <f>VLOOKUP(E285,Products!A:F,5,FALSE)</f>
        <v>4703.04</v>
      </c>
      <c r="L285" s="2">
        <v>9</v>
      </c>
      <c r="M285" s="2">
        <v>0.2</v>
      </c>
      <c r="N285" s="2">
        <f t="shared" si="12"/>
        <v>42327.360000000001</v>
      </c>
      <c r="O285" s="2">
        <f t="shared" si="13"/>
        <v>33861.887999999999</v>
      </c>
      <c r="P285" s="2" t="s">
        <v>708</v>
      </c>
      <c r="Q285" s="2" t="s">
        <v>24</v>
      </c>
      <c r="R285" t="str">
        <f t="shared" si="14"/>
        <v/>
      </c>
    </row>
    <row r="286" spans="1:18" x14ac:dyDescent="0.3">
      <c r="A286" s="2" t="s">
        <v>709</v>
      </c>
      <c r="B286" s="5">
        <v>45433</v>
      </c>
      <c r="C286" s="2" t="s">
        <v>279</v>
      </c>
      <c r="D286" s="2" t="s">
        <v>1130</v>
      </c>
      <c r="E286" s="2" t="s">
        <v>116</v>
      </c>
      <c r="F286" s="2" t="str">
        <f>VLOOKUP(Orders!E285,Products!A:F,2,FALSE)</f>
        <v>Yoga Mat</v>
      </c>
      <c r="G286" s="2" t="s">
        <v>82</v>
      </c>
      <c r="H286" s="2" t="str">
        <f>VLOOKUP(G286,Employees!A:E,2,FALSE)</f>
        <v>Priya Nair</v>
      </c>
      <c r="I286" s="2" t="str">
        <f>VLOOKUP(E286,Products!A:F,3,FALSE)</f>
        <v>Clothing</v>
      </c>
      <c r="J286" s="2" t="s">
        <v>22</v>
      </c>
      <c r="K286" s="2">
        <f>VLOOKUP(E286,Products!A:F,5,FALSE)</f>
        <v>1156.02</v>
      </c>
      <c r="L286" s="2">
        <v>9</v>
      </c>
      <c r="M286" s="2">
        <v>0</v>
      </c>
      <c r="N286" s="2">
        <f t="shared" si="12"/>
        <v>10404.18</v>
      </c>
      <c r="O286" s="2">
        <f t="shared" si="13"/>
        <v>10404.18</v>
      </c>
      <c r="P286" s="2" t="s">
        <v>710</v>
      </c>
      <c r="Q286" s="2" t="s">
        <v>30</v>
      </c>
      <c r="R286" t="str">
        <f t="shared" si="14"/>
        <v/>
      </c>
    </row>
    <row r="287" spans="1:18" x14ac:dyDescent="0.3">
      <c r="A287" s="2" t="s">
        <v>711</v>
      </c>
      <c r="B287" s="5">
        <v>45830</v>
      </c>
      <c r="C287" s="2" t="s">
        <v>80</v>
      </c>
      <c r="D287" s="2" t="s">
        <v>1109</v>
      </c>
      <c r="E287" s="2" t="s">
        <v>304</v>
      </c>
      <c r="F287" s="2" t="str">
        <f>VLOOKUP(Orders!E286,Products!A:F,2,FALSE)</f>
        <v>Formal Shirt</v>
      </c>
      <c r="G287" s="2" t="s">
        <v>82</v>
      </c>
      <c r="H287" s="2" t="str">
        <f>VLOOKUP(G287,Employees!A:E,2,FALSE)</f>
        <v>Priya Nair</v>
      </c>
      <c r="I287" s="2" t="str">
        <f>VLOOKUP(E287,Products!A:F,3,FALSE)</f>
        <v>Clothing</v>
      </c>
      <c r="J287" s="2" t="s">
        <v>35</v>
      </c>
      <c r="K287" s="2">
        <f>VLOOKUP(E287,Products!A:F,5,FALSE)</f>
        <v>1498.91</v>
      </c>
      <c r="L287" s="2">
        <v>7</v>
      </c>
      <c r="M287" s="2">
        <v>0</v>
      </c>
      <c r="N287" s="2">
        <f t="shared" si="12"/>
        <v>10492.37</v>
      </c>
      <c r="O287" s="2">
        <f t="shared" si="13"/>
        <v>10492.37</v>
      </c>
      <c r="P287" s="2" t="s">
        <v>538</v>
      </c>
      <c r="Q287" s="2" t="s">
        <v>42</v>
      </c>
      <c r="R287" t="str">
        <f t="shared" si="14"/>
        <v/>
      </c>
    </row>
    <row r="288" spans="1:18" x14ac:dyDescent="0.3">
      <c r="A288" s="2" t="s">
        <v>712</v>
      </c>
      <c r="B288" s="5">
        <v>45642</v>
      </c>
      <c r="C288" s="2" t="s">
        <v>199</v>
      </c>
      <c r="D288" s="2" t="s">
        <v>1123</v>
      </c>
      <c r="E288" s="2" t="s">
        <v>345</v>
      </c>
      <c r="F288" s="2" t="str">
        <f>VLOOKUP(Orders!E287,Products!A:F,2,FALSE)</f>
        <v>Denim Jeans</v>
      </c>
      <c r="G288" s="2" t="s">
        <v>21</v>
      </c>
      <c r="H288" s="2" t="str">
        <f>VLOOKUP(G288,Employees!A:E,2,FALSE)</f>
        <v>Karan Mehta</v>
      </c>
      <c r="I288" s="2" t="str">
        <f>VLOOKUP(E288,Products!A:F,3,FALSE)</f>
        <v>Toys</v>
      </c>
      <c r="J288" s="2" t="s">
        <v>35</v>
      </c>
      <c r="K288" s="2">
        <f>VLOOKUP(E288,Products!A:F,5,FALSE)</f>
        <v>1212.79</v>
      </c>
      <c r="L288" s="2">
        <v>9</v>
      </c>
      <c r="M288" s="2">
        <v>0</v>
      </c>
      <c r="N288" s="2">
        <f t="shared" si="12"/>
        <v>10915.11</v>
      </c>
      <c r="O288" s="2">
        <f t="shared" si="13"/>
        <v>10915.11</v>
      </c>
      <c r="P288" s="2" t="s">
        <v>713</v>
      </c>
      <c r="Q288" s="2" t="s">
        <v>60</v>
      </c>
      <c r="R288" t="str">
        <f t="shared" si="14"/>
        <v/>
      </c>
    </row>
    <row r="289" spans="1:18" x14ac:dyDescent="0.3">
      <c r="A289" s="2" t="s">
        <v>714</v>
      </c>
      <c r="B289" s="5">
        <v>45544</v>
      </c>
      <c r="C289" s="2" t="s">
        <v>550</v>
      </c>
      <c r="D289" s="2" t="s">
        <v>1127</v>
      </c>
      <c r="E289" s="2" t="s">
        <v>130</v>
      </c>
      <c r="F289" s="2" t="str">
        <f>VLOOKUP(Orders!E288,Products!A:F,2,FALSE)</f>
        <v>Soft Toy</v>
      </c>
      <c r="G289" s="2" t="s">
        <v>45</v>
      </c>
      <c r="H289" s="2" t="str">
        <f>VLOOKUP(G289,Employees!A:E,2,FALSE)</f>
        <v>Rajesh Iyer</v>
      </c>
      <c r="I289" s="2" t="str">
        <f>VLOOKUP(E289,Products!A:F,3,FALSE)</f>
        <v>Sports</v>
      </c>
      <c r="J289" s="2" t="s">
        <v>15</v>
      </c>
      <c r="K289" s="2">
        <f>VLOOKUP(E289,Products!A:F,5,FALSE)</f>
        <v>3128.51</v>
      </c>
      <c r="L289" s="2">
        <v>5</v>
      </c>
      <c r="M289" s="2">
        <v>0.1</v>
      </c>
      <c r="N289" s="2">
        <f t="shared" si="12"/>
        <v>15642.550000000001</v>
      </c>
      <c r="O289" s="2">
        <f t="shared" si="13"/>
        <v>14078.295000000002</v>
      </c>
      <c r="P289" s="2" t="s">
        <v>225</v>
      </c>
      <c r="Q289" s="2" t="s">
        <v>17</v>
      </c>
      <c r="R289" t="str">
        <f t="shared" si="14"/>
        <v/>
      </c>
    </row>
    <row r="290" spans="1:18" x14ac:dyDescent="0.3">
      <c r="A290" s="2" t="s">
        <v>715</v>
      </c>
      <c r="B290" s="5">
        <v>45587</v>
      </c>
      <c r="C290" s="2" t="s">
        <v>550</v>
      </c>
      <c r="D290" s="2" t="s">
        <v>1127</v>
      </c>
      <c r="E290" s="2" t="s">
        <v>389</v>
      </c>
      <c r="F290" s="2" t="str">
        <f>VLOOKUP(Orders!E289,Products!A:F,2,FALSE)</f>
        <v>Cricket Bat</v>
      </c>
      <c r="G290" s="2" t="s">
        <v>82</v>
      </c>
      <c r="H290" s="2" t="str">
        <f>VLOOKUP(G290,Employees!A:E,2,FALSE)</f>
        <v>Priya Nair</v>
      </c>
      <c r="I290" s="2" t="str">
        <f>VLOOKUP(E290,Products!A:F,3,FALSE)</f>
        <v>Electronics</v>
      </c>
      <c r="J290" s="2" t="s">
        <v>22</v>
      </c>
      <c r="K290" s="2">
        <f>VLOOKUP(E290,Products!A:F,5,FALSE)</f>
        <v>991.59</v>
      </c>
      <c r="L290" s="2">
        <v>4</v>
      </c>
      <c r="M290" s="2">
        <v>0.15</v>
      </c>
      <c r="N290" s="2">
        <f t="shared" si="12"/>
        <v>3966.36</v>
      </c>
      <c r="O290" s="2">
        <f t="shared" si="13"/>
        <v>3371.4059999999999</v>
      </c>
      <c r="P290" s="2" t="s">
        <v>716</v>
      </c>
      <c r="Q290" s="2" t="s">
        <v>30</v>
      </c>
      <c r="R290" t="str">
        <f t="shared" si="14"/>
        <v/>
      </c>
    </row>
    <row r="291" spans="1:18" x14ac:dyDescent="0.3">
      <c r="A291" s="2" t="s">
        <v>717</v>
      </c>
      <c r="B291" s="5">
        <v>45649</v>
      </c>
      <c r="C291" s="2" t="s">
        <v>49</v>
      </c>
      <c r="D291" s="2" t="s">
        <v>1107</v>
      </c>
      <c r="E291" s="2" t="s">
        <v>50</v>
      </c>
      <c r="F291" s="2" t="str">
        <f>VLOOKUP(Orders!E290,Products!A:F,2,FALSE)</f>
        <v>Bluetooth Speaker</v>
      </c>
      <c r="G291" s="2" t="s">
        <v>82</v>
      </c>
      <c r="H291" s="2" t="str">
        <f>VLOOKUP(G291,Employees!A:E,2,FALSE)</f>
        <v>Priya Nair</v>
      </c>
      <c r="I291" s="2" t="str">
        <f>VLOOKUP(E291,Products!A:F,3,FALSE)</f>
        <v>Grocery</v>
      </c>
      <c r="J291" s="2" t="s">
        <v>22</v>
      </c>
      <c r="K291" s="2">
        <f>VLOOKUP(E291,Products!A:F,5,FALSE)</f>
        <v>2041.83</v>
      </c>
      <c r="L291" s="2">
        <v>9</v>
      </c>
      <c r="M291" s="2">
        <v>0.2</v>
      </c>
      <c r="N291" s="2">
        <f t="shared" si="12"/>
        <v>18376.47</v>
      </c>
      <c r="O291" s="2">
        <f t="shared" si="13"/>
        <v>14701.176000000001</v>
      </c>
      <c r="P291" s="2" t="s">
        <v>305</v>
      </c>
      <c r="Q291" s="2" t="s">
        <v>24</v>
      </c>
      <c r="R291" t="str">
        <f t="shared" si="14"/>
        <v/>
      </c>
    </row>
    <row r="292" spans="1:18" x14ac:dyDescent="0.3">
      <c r="A292" s="2" t="s">
        <v>718</v>
      </c>
      <c r="B292" s="5">
        <v>45680</v>
      </c>
      <c r="C292" s="2" t="s">
        <v>27</v>
      </c>
      <c r="D292" s="2" t="s">
        <v>1105</v>
      </c>
      <c r="E292" s="2" t="s">
        <v>389</v>
      </c>
      <c r="F292" s="2" t="str">
        <f>VLOOKUP(Orders!E291,Products!A:F,2,FALSE)</f>
        <v>Spice Combo</v>
      </c>
      <c r="G292" s="2" t="s">
        <v>14</v>
      </c>
      <c r="H292" s="2" t="str">
        <f>VLOOKUP(G292,Employees!A:E,2,FALSE)</f>
        <v>Fatima Sheikh</v>
      </c>
      <c r="I292" s="2" t="str">
        <f>VLOOKUP(E292,Products!A:F,3,FALSE)</f>
        <v>Electronics</v>
      </c>
      <c r="J292" s="2" t="s">
        <v>15</v>
      </c>
      <c r="K292" s="2">
        <f>VLOOKUP(E292,Products!A:F,5,FALSE)</f>
        <v>991.59</v>
      </c>
      <c r="L292" s="2">
        <v>7</v>
      </c>
      <c r="M292" s="2">
        <v>0.2</v>
      </c>
      <c r="N292" s="2">
        <f t="shared" si="12"/>
        <v>6941.13</v>
      </c>
      <c r="O292" s="2">
        <f t="shared" si="13"/>
        <v>5552.9040000000005</v>
      </c>
      <c r="P292" s="2" t="s">
        <v>719</v>
      </c>
      <c r="Q292" s="2" t="s">
        <v>17</v>
      </c>
      <c r="R292" t="str">
        <f t="shared" si="14"/>
        <v/>
      </c>
    </row>
    <row r="293" spans="1:18" x14ac:dyDescent="0.3">
      <c r="A293" s="2" t="s">
        <v>720</v>
      </c>
      <c r="B293" s="5">
        <v>45335</v>
      </c>
      <c r="C293" s="2" t="s">
        <v>124</v>
      </c>
      <c r="D293" s="2" t="s">
        <v>1112</v>
      </c>
      <c r="E293" s="2" t="s">
        <v>13</v>
      </c>
      <c r="F293" s="2" t="str">
        <f>VLOOKUP(Orders!E292,Products!A:F,2,FALSE)</f>
        <v>Bluetooth Speaker</v>
      </c>
      <c r="G293" s="2" t="s">
        <v>21</v>
      </c>
      <c r="H293" s="2" t="str">
        <f>VLOOKUP(G293,Employees!A:E,2,FALSE)</f>
        <v>Karan Mehta</v>
      </c>
      <c r="I293" s="2" t="str">
        <f>VLOOKUP(E293,Products!A:F,3,FALSE)</f>
        <v>Sports</v>
      </c>
      <c r="J293" s="2" t="s">
        <v>22</v>
      </c>
      <c r="K293" s="2">
        <f>VLOOKUP(E293,Products!A:F,5,FALSE)</f>
        <v>3493.54</v>
      </c>
      <c r="L293" s="2">
        <v>5</v>
      </c>
      <c r="M293" s="2">
        <v>0.15</v>
      </c>
      <c r="N293" s="2">
        <f t="shared" si="12"/>
        <v>17467.7</v>
      </c>
      <c r="O293" s="2">
        <f t="shared" si="13"/>
        <v>14847.545</v>
      </c>
      <c r="P293" s="2" t="s">
        <v>693</v>
      </c>
      <c r="Q293" s="2" t="s">
        <v>30</v>
      </c>
      <c r="R293" t="str">
        <f t="shared" si="14"/>
        <v/>
      </c>
    </row>
    <row r="294" spans="1:18" x14ac:dyDescent="0.3">
      <c r="A294" s="2" t="s">
        <v>721</v>
      </c>
      <c r="B294" s="5">
        <v>45554</v>
      </c>
      <c r="C294" s="2" t="s">
        <v>476</v>
      </c>
      <c r="D294" s="2" t="s">
        <v>983</v>
      </c>
      <c r="E294" s="2" t="s">
        <v>465</v>
      </c>
      <c r="F294" s="2" t="str">
        <f>VLOOKUP(Orders!E293,Products!A:F,2,FALSE)</f>
        <v>Football</v>
      </c>
      <c r="G294" s="2" t="s">
        <v>45</v>
      </c>
      <c r="H294" s="2" t="str">
        <f>VLOOKUP(G294,Employees!A:E,2,FALSE)</f>
        <v>Rajesh Iyer</v>
      </c>
      <c r="I294" s="2" t="str">
        <f>VLOOKUP(E294,Products!A:F,3,FALSE)</f>
        <v>Beauty</v>
      </c>
      <c r="J294" s="2" t="s">
        <v>22</v>
      </c>
      <c r="K294" s="2">
        <f>VLOOKUP(E294,Products!A:F,5,FALSE)</f>
        <v>1140.8</v>
      </c>
      <c r="L294" s="2">
        <v>8</v>
      </c>
      <c r="M294" s="2">
        <v>0</v>
      </c>
      <c r="N294" s="2">
        <f t="shared" si="12"/>
        <v>9126.4</v>
      </c>
      <c r="O294" s="2">
        <f t="shared" si="13"/>
        <v>9126.4</v>
      </c>
      <c r="P294" s="2" t="s">
        <v>143</v>
      </c>
      <c r="Q294" s="2" t="s">
        <v>42</v>
      </c>
      <c r="R294" t="str">
        <f t="shared" si="14"/>
        <v/>
      </c>
    </row>
    <row r="295" spans="1:18" x14ac:dyDescent="0.3">
      <c r="A295" s="2" t="s">
        <v>722</v>
      </c>
      <c r="B295" s="5">
        <v>45570</v>
      </c>
      <c r="C295" s="2" t="s">
        <v>476</v>
      </c>
      <c r="D295" s="2" t="s">
        <v>983</v>
      </c>
      <c r="E295" s="2" t="s">
        <v>67</v>
      </c>
      <c r="F295" s="2" t="str">
        <f>VLOOKUP(Orders!E294,Products!A:F,2,FALSE)</f>
        <v>Perfume</v>
      </c>
      <c r="G295" s="2" t="s">
        <v>82</v>
      </c>
      <c r="H295" s="2" t="str">
        <f>VLOOKUP(G295,Employees!A:E,2,FALSE)</f>
        <v>Priya Nair</v>
      </c>
      <c r="I295" s="2" t="str">
        <f>VLOOKUP(E295,Products!A:F,3,FALSE)</f>
        <v>Toys</v>
      </c>
      <c r="J295" s="2" t="s">
        <v>15</v>
      </c>
      <c r="K295" s="2">
        <f>VLOOKUP(E295,Products!A:F,5,FALSE)</f>
        <v>3205.14</v>
      </c>
      <c r="L295" s="2">
        <v>3</v>
      </c>
      <c r="M295" s="2">
        <v>0</v>
      </c>
      <c r="N295" s="2">
        <f t="shared" si="12"/>
        <v>9615.42</v>
      </c>
      <c r="O295" s="2">
        <f t="shared" si="13"/>
        <v>9615.42</v>
      </c>
      <c r="P295" s="2" t="s">
        <v>723</v>
      </c>
      <c r="Q295" s="2" t="s">
        <v>60</v>
      </c>
      <c r="R295" t="str">
        <f t="shared" si="14"/>
        <v/>
      </c>
    </row>
    <row r="296" spans="1:18" x14ac:dyDescent="0.3">
      <c r="A296" s="2" t="s">
        <v>724</v>
      </c>
      <c r="B296" s="5">
        <v>45343</v>
      </c>
      <c r="C296" s="2" t="s">
        <v>605</v>
      </c>
      <c r="D296" s="2" t="s">
        <v>1023</v>
      </c>
      <c r="E296" s="2" t="s">
        <v>454</v>
      </c>
      <c r="F296" s="2" t="str">
        <f>VLOOKUP(Orders!E295,Products!A:F,2,FALSE)</f>
        <v>Remote Car</v>
      </c>
      <c r="G296" s="2" t="s">
        <v>34</v>
      </c>
      <c r="H296" s="2" t="str">
        <f>VLOOKUP(G296,Employees!A:E,2,FALSE)</f>
        <v>Rohit Sinha</v>
      </c>
      <c r="I296" s="2" t="str">
        <f>VLOOKUP(E296,Products!A:F,3,FALSE)</f>
        <v>Books</v>
      </c>
      <c r="J296" s="2" t="s">
        <v>73</v>
      </c>
      <c r="K296" s="2">
        <f>VLOOKUP(E296,Products!A:F,5,FALSE)</f>
        <v>1253.57</v>
      </c>
      <c r="L296" s="2">
        <v>9</v>
      </c>
      <c r="M296" s="2">
        <v>0</v>
      </c>
      <c r="N296" s="2">
        <f t="shared" si="12"/>
        <v>11282.13</v>
      </c>
      <c r="O296" s="2">
        <f t="shared" si="13"/>
        <v>11282.13</v>
      </c>
      <c r="P296" s="2" t="s">
        <v>726</v>
      </c>
      <c r="Q296" s="2" t="s">
        <v>24</v>
      </c>
      <c r="R296" t="str">
        <f t="shared" si="14"/>
        <v/>
      </c>
    </row>
    <row r="297" spans="1:18" x14ac:dyDescent="0.3">
      <c r="A297" s="2" t="s">
        <v>727</v>
      </c>
      <c r="B297" s="5">
        <v>45715</v>
      </c>
      <c r="C297" s="2" t="s">
        <v>590</v>
      </c>
      <c r="D297" s="2" t="s">
        <v>1140</v>
      </c>
      <c r="E297" s="2" t="s">
        <v>206</v>
      </c>
      <c r="F297" s="2" t="str">
        <f>VLOOKUP(Orders!E296,Products!A:F,2,FALSE)</f>
        <v>Comic Book</v>
      </c>
      <c r="G297" s="2" t="s">
        <v>34</v>
      </c>
      <c r="H297" s="2" t="str">
        <f>VLOOKUP(G297,Employees!A:E,2,FALSE)</f>
        <v>Rohit Sinha</v>
      </c>
      <c r="I297" s="2" t="str">
        <f>VLOOKUP(E297,Products!A:F,3,FALSE)</f>
        <v>Electronics</v>
      </c>
      <c r="J297" s="2" t="s">
        <v>73</v>
      </c>
      <c r="K297" s="2">
        <f>VLOOKUP(E297,Products!A:F,5,FALSE)</f>
        <v>2779.58</v>
      </c>
      <c r="L297" s="2">
        <v>6</v>
      </c>
      <c r="M297" s="2">
        <v>0.15</v>
      </c>
      <c r="N297" s="2">
        <f t="shared" si="12"/>
        <v>16677.48</v>
      </c>
      <c r="O297" s="2">
        <f t="shared" si="13"/>
        <v>14175.857999999998</v>
      </c>
      <c r="P297" s="2" t="s">
        <v>591</v>
      </c>
      <c r="Q297" s="2" t="s">
        <v>60</v>
      </c>
      <c r="R297" t="str">
        <f t="shared" si="14"/>
        <v/>
      </c>
    </row>
    <row r="298" spans="1:18" x14ac:dyDescent="0.3">
      <c r="A298" s="2" t="s">
        <v>728</v>
      </c>
      <c r="B298" s="5">
        <v>45297</v>
      </c>
      <c r="C298" s="2" t="s">
        <v>605</v>
      </c>
      <c r="D298" s="2" t="s">
        <v>1023</v>
      </c>
      <c r="E298" s="2" t="s">
        <v>729</v>
      </c>
      <c r="F298" s="2" t="str">
        <f>VLOOKUP(Orders!E297,Products!A:F,2,FALSE)</f>
        <v>Power Bank</v>
      </c>
      <c r="G298" s="2" t="s">
        <v>14</v>
      </c>
      <c r="H298" s="2" t="str">
        <f>VLOOKUP(G298,Employees!A:E,2,FALSE)</f>
        <v>Fatima Sheikh</v>
      </c>
      <c r="I298" s="2" t="str">
        <f>VLOOKUP(E298,Products!A:F,3,FALSE)</f>
        <v>Clothing</v>
      </c>
      <c r="J298" s="2" t="s">
        <v>35</v>
      </c>
      <c r="K298" s="2">
        <f>VLOOKUP(E298,Products!A:F,5,FALSE)</f>
        <v>2208.33</v>
      </c>
      <c r="L298" s="2">
        <v>9</v>
      </c>
      <c r="M298" s="2">
        <v>0</v>
      </c>
      <c r="N298" s="2">
        <f t="shared" si="12"/>
        <v>19874.97</v>
      </c>
      <c r="O298" s="2">
        <f t="shared" si="13"/>
        <v>19874.97</v>
      </c>
      <c r="P298" s="2" t="s">
        <v>270</v>
      </c>
      <c r="Q298" s="2" t="s">
        <v>30</v>
      </c>
      <c r="R298" t="str">
        <f t="shared" si="14"/>
        <v/>
      </c>
    </row>
    <row r="299" spans="1:18" x14ac:dyDescent="0.3">
      <c r="A299" s="2" t="s">
        <v>730</v>
      </c>
      <c r="B299" s="5">
        <v>45496</v>
      </c>
      <c r="C299" s="2" t="s">
        <v>202</v>
      </c>
      <c r="D299" s="2" t="s">
        <v>1124</v>
      </c>
      <c r="E299" s="2" t="s">
        <v>465</v>
      </c>
      <c r="F299" s="2" t="str">
        <f>VLOOKUP(Orders!E298,Products!A:F,2,FALSE)</f>
        <v>Cotton T-Shirt</v>
      </c>
      <c r="G299" s="2" t="s">
        <v>34</v>
      </c>
      <c r="H299" s="2" t="str">
        <f>VLOOKUP(G299,Employees!A:E,2,FALSE)</f>
        <v>Rohit Sinha</v>
      </c>
      <c r="I299" s="2" t="str">
        <f>VLOOKUP(E299,Products!A:F,3,FALSE)</f>
        <v>Beauty</v>
      </c>
      <c r="J299" s="2" t="s">
        <v>73</v>
      </c>
      <c r="K299" s="2">
        <f>VLOOKUP(E299,Products!A:F,5,FALSE)</f>
        <v>1140.8</v>
      </c>
      <c r="L299" s="2">
        <v>5</v>
      </c>
      <c r="M299" s="2">
        <v>0</v>
      </c>
      <c r="N299" s="2">
        <f t="shared" si="12"/>
        <v>5704</v>
      </c>
      <c r="O299" s="2">
        <f t="shared" si="13"/>
        <v>5704</v>
      </c>
      <c r="P299" s="2" t="s">
        <v>731</v>
      </c>
      <c r="Q299" s="2" t="s">
        <v>24</v>
      </c>
      <c r="R299" t="str">
        <f t="shared" si="14"/>
        <v/>
      </c>
    </row>
    <row r="300" spans="1:18" x14ac:dyDescent="0.3">
      <c r="A300" s="2" t="s">
        <v>732</v>
      </c>
      <c r="B300" s="5">
        <v>45529</v>
      </c>
      <c r="C300" s="2" t="s">
        <v>27</v>
      </c>
      <c r="D300" s="2" t="s">
        <v>1105</v>
      </c>
      <c r="E300" s="2" t="s">
        <v>153</v>
      </c>
      <c r="F300" s="2" t="str">
        <f>VLOOKUP(Orders!E299,Products!A:F,2,FALSE)</f>
        <v>Perfume</v>
      </c>
      <c r="G300" s="2" t="s">
        <v>34</v>
      </c>
      <c r="H300" s="2" t="str">
        <f>VLOOKUP(G300,Employees!A:E,2,FALSE)</f>
        <v>Rohit Sinha</v>
      </c>
      <c r="I300" s="2" t="str">
        <f>VLOOKUP(E300,Products!A:F,3,FALSE)</f>
        <v>Books</v>
      </c>
      <c r="J300" s="2" t="s">
        <v>15</v>
      </c>
      <c r="K300" s="2">
        <f>VLOOKUP(E300,Products!A:F,5,FALSE)</f>
        <v>2128.4</v>
      </c>
      <c r="L300" s="2">
        <v>9</v>
      </c>
      <c r="M300" s="2">
        <v>0.15</v>
      </c>
      <c r="N300" s="2">
        <f t="shared" si="12"/>
        <v>19155.600000000002</v>
      </c>
      <c r="O300" s="2">
        <f t="shared" si="13"/>
        <v>16282.260000000002</v>
      </c>
      <c r="P300" s="2" t="s">
        <v>733</v>
      </c>
      <c r="Q300" s="2" t="s">
        <v>30</v>
      </c>
      <c r="R300" t="str">
        <f t="shared" si="14"/>
        <v/>
      </c>
    </row>
    <row r="301" spans="1:18" x14ac:dyDescent="0.3">
      <c r="A301" s="2" t="s">
        <v>734</v>
      </c>
      <c r="B301" s="5">
        <v>45472</v>
      </c>
      <c r="C301" s="2" t="s">
        <v>547</v>
      </c>
      <c r="D301" s="2" t="s">
        <v>1139</v>
      </c>
      <c r="E301" s="2" t="s">
        <v>164</v>
      </c>
      <c r="F301" s="2" t="str">
        <f>VLOOKUP(Orders!E300,Products!A:F,2,FALSE)</f>
        <v>Novel - Fiction</v>
      </c>
      <c r="G301" s="2" t="s">
        <v>45</v>
      </c>
      <c r="H301" s="2" t="str">
        <f>VLOOKUP(G301,Employees!A:E,2,FALSE)</f>
        <v>Rajesh Iyer</v>
      </c>
      <c r="I301" s="2" t="str">
        <f>VLOOKUP(E301,Products!A:F,3,FALSE)</f>
        <v>Books</v>
      </c>
      <c r="J301" s="2" t="s">
        <v>35</v>
      </c>
      <c r="K301" s="2">
        <f>VLOOKUP(E301,Products!A:F,5,FALSE)</f>
        <v>2489.91</v>
      </c>
      <c r="L301" s="2">
        <v>1</v>
      </c>
      <c r="M301" s="2">
        <v>0.2</v>
      </c>
      <c r="N301" s="2">
        <f t="shared" si="12"/>
        <v>2489.91</v>
      </c>
      <c r="O301" s="2">
        <f t="shared" si="13"/>
        <v>1991.9279999999999</v>
      </c>
      <c r="P301" s="2" t="s">
        <v>735</v>
      </c>
      <c r="Q301" s="2" t="s">
        <v>60</v>
      </c>
      <c r="R301" t="str">
        <f t="shared" si="14"/>
        <v/>
      </c>
    </row>
    <row r="302" spans="1:18" x14ac:dyDescent="0.3">
      <c r="A302" s="2" t="s">
        <v>736</v>
      </c>
      <c r="B302" s="5">
        <v>45588</v>
      </c>
      <c r="C302" s="2" t="s">
        <v>32</v>
      </c>
      <c r="D302" s="2" t="s">
        <v>1106</v>
      </c>
      <c r="E302" s="2" t="s">
        <v>389</v>
      </c>
      <c r="F302" s="2" t="str">
        <f>VLOOKUP(Orders!E301,Products!A:F,2,FALSE)</f>
        <v>Biography</v>
      </c>
      <c r="G302" s="2" t="s">
        <v>14</v>
      </c>
      <c r="H302" s="2" t="str">
        <f>VLOOKUP(G302,Employees!A:E,2,FALSE)</f>
        <v>Fatima Sheikh</v>
      </c>
      <c r="I302" s="2" t="str">
        <f>VLOOKUP(E302,Products!A:F,3,FALSE)</f>
        <v>Electronics</v>
      </c>
      <c r="J302" s="2" t="s">
        <v>73</v>
      </c>
      <c r="K302" s="2">
        <f>VLOOKUP(E302,Products!A:F,5,FALSE)</f>
        <v>991.59</v>
      </c>
      <c r="L302" s="2">
        <v>1</v>
      </c>
      <c r="M302" s="2">
        <v>0</v>
      </c>
      <c r="N302" s="2">
        <f t="shared" si="12"/>
        <v>991.59</v>
      </c>
      <c r="O302" s="2">
        <f t="shared" si="13"/>
        <v>991.59</v>
      </c>
      <c r="P302" s="2" t="s">
        <v>737</v>
      </c>
      <c r="Q302" s="2" t="s">
        <v>17</v>
      </c>
      <c r="R302" t="str">
        <f t="shared" si="14"/>
        <v/>
      </c>
    </row>
    <row r="303" spans="1:18" x14ac:dyDescent="0.3">
      <c r="A303" s="2" t="s">
        <v>738</v>
      </c>
      <c r="B303" s="5">
        <v>45583</v>
      </c>
      <c r="C303" s="2" t="s">
        <v>547</v>
      </c>
      <c r="D303" s="2" t="s">
        <v>1139</v>
      </c>
      <c r="E303" s="2" t="s">
        <v>40</v>
      </c>
      <c r="F303" s="2" t="str">
        <f>VLOOKUP(Orders!E302,Products!A:F,2,FALSE)</f>
        <v>Bluetooth Speaker</v>
      </c>
      <c r="G303" s="2" t="s">
        <v>45</v>
      </c>
      <c r="H303" s="2" t="str">
        <f>VLOOKUP(G303,Employees!A:E,2,FALSE)</f>
        <v>Rajesh Iyer</v>
      </c>
      <c r="I303" s="2" t="str">
        <f>VLOOKUP(E303,Products!A:F,3,FALSE)</f>
        <v>Toys</v>
      </c>
      <c r="J303" s="2" t="s">
        <v>35</v>
      </c>
      <c r="K303" s="2">
        <f>VLOOKUP(E303,Products!A:F,5,FALSE)</f>
        <v>136.91</v>
      </c>
      <c r="L303" s="2">
        <v>8</v>
      </c>
      <c r="M303" s="2">
        <v>0.15</v>
      </c>
      <c r="N303" s="2">
        <f t="shared" si="12"/>
        <v>1095.28</v>
      </c>
      <c r="O303" s="2">
        <f t="shared" si="13"/>
        <v>930.98799999999994</v>
      </c>
      <c r="P303" s="2" t="s">
        <v>641</v>
      </c>
      <c r="Q303" s="2" t="s">
        <v>60</v>
      </c>
      <c r="R303" t="str">
        <f t="shared" si="14"/>
        <v/>
      </c>
    </row>
    <row r="304" spans="1:18" x14ac:dyDescent="0.3">
      <c r="A304" s="2" t="s">
        <v>739</v>
      </c>
      <c r="B304" s="5">
        <v>45808</v>
      </c>
      <c r="C304" s="2" t="s">
        <v>550</v>
      </c>
      <c r="D304" s="2" t="s">
        <v>1127</v>
      </c>
      <c r="E304" s="2" t="s">
        <v>468</v>
      </c>
      <c r="F304" s="2" t="str">
        <f>VLOOKUP(Orders!E303,Products!A:F,2,FALSE)</f>
        <v>Board Game</v>
      </c>
      <c r="G304" s="2" t="s">
        <v>14</v>
      </c>
      <c r="H304" s="2" t="str">
        <f>VLOOKUP(G304,Employees!A:E,2,FALSE)</f>
        <v>Fatima Sheikh</v>
      </c>
      <c r="I304" s="2" t="str">
        <f>VLOOKUP(E304,Products!A:F,3,FALSE)</f>
        <v>Toys</v>
      </c>
      <c r="J304" s="2" t="s">
        <v>73</v>
      </c>
      <c r="K304" s="2">
        <f>VLOOKUP(E304,Products!A:F,5,FALSE)</f>
        <v>2113.67</v>
      </c>
      <c r="L304" s="2">
        <v>8</v>
      </c>
      <c r="M304" s="2">
        <v>0</v>
      </c>
      <c r="N304" s="2">
        <f t="shared" si="12"/>
        <v>16909.36</v>
      </c>
      <c r="O304" s="2">
        <f t="shared" si="13"/>
        <v>16909.36</v>
      </c>
      <c r="P304" s="2" t="s">
        <v>288</v>
      </c>
      <c r="Q304" s="2" t="s">
        <v>17</v>
      </c>
      <c r="R304" t="str">
        <f t="shared" si="14"/>
        <v/>
      </c>
    </row>
    <row r="305" spans="1:18" x14ac:dyDescent="0.3">
      <c r="A305" s="2" t="s">
        <v>740</v>
      </c>
      <c r="B305" s="5">
        <v>45458</v>
      </c>
      <c r="C305" s="2" t="s">
        <v>89</v>
      </c>
      <c r="D305" s="2" t="s">
        <v>1059</v>
      </c>
      <c r="E305" s="2" t="s">
        <v>153</v>
      </c>
      <c r="F305" s="2" t="str">
        <f>VLOOKUP(Orders!E304,Products!A:F,2,FALSE)</f>
        <v>Puzzle Set</v>
      </c>
      <c r="G305" s="2" t="s">
        <v>21</v>
      </c>
      <c r="H305" s="2" t="str">
        <f>VLOOKUP(G305,Employees!A:E,2,FALSE)</f>
        <v>Karan Mehta</v>
      </c>
      <c r="I305" s="2" t="str">
        <f>VLOOKUP(E305,Products!A:F,3,FALSE)</f>
        <v>Books</v>
      </c>
      <c r="J305" s="2" t="s">
        <v>15</v>
      </c>
      <c r="K305" s="2">
        <f>VLOOKUP(E305,Products!A:F,5,FALSE)</f>
        <v>2128.4</v>
      </c>
      <c r="L305" s="2">
        <v>8</v>
      </c>
      <c r="M305" s="2">
        <v>0.15</v>
      </c>
      <c r="N305" s="2">
        <f t="shared" si="12"/>
        <v>17027.2</v>
      </c>
      <c r="O305" s="2">
        <f t="shared" si="13"/>
        <v>14473.12</v>
      </c>
      <c r="P305" s="2" t="s">
        <v>741</v>
      </c>
      <c r="Q305" s="2" t="s">
        <v>24</v>
      </c>
      <c r="R305" t="str">
        <f t="shared" si="14"/>
        <v/>
      </c>
    </row>
    <row r="306" spans="1:18" x14ac:dyDescent="0.3">
      <c r="A306" s="2" t="s">
        <v>742</v>
      </c>
      <c r="B306" s="5">
        <v>45637</v>
      </c>
      <c r="C306" s="2" t="s">
        <v>311</v>
      </c>
      <c r="D306" s="2" t="s">
        <v>1132</v>
      </c>
      <c r="E306" s="2" t="s">
        <v>33</v>
      </c>
      <c r="F306" s="2" t="str">
        <f>VLOOKUP(Orders!E305,Products!A:F,2,FALSE)</f>
        <v>Novel - Fiction</v>
      </c>
      <c r="G306" s="2" t="s">
        <v>34</v>
      </c>
      <c r="H306" s="2" t="str">
        <f>VLOOKUP(G306,Employees!A:E,2,FALSE)</f>
        <v>Rohit Sinha</v>
      </c>
      <c r="I306" s="2" t="str">
        <f>VLOOKUP(E306,Products!A:F,3,FALSE)</f>
        <v>Grocery</v>
      </c>
      <c r="J306" s="2" t="s">
        <v>15</v>
      </c>
      <c r="K306" s="2">
        <f>VLOOKUP(E306,Products!A:F,5,FALSE)</f>
        <v>620.89</v>
      </c>
      <c r="L306" s="2">
        <v>5</v>
      </c>
      <c r="M306" s="2">
        <v>0.1</v>
      </c>
      <c r="N306" s="2">
        <f t="shared" si="12"/>
        <v>3104.45</v>
      </c>
      <c r="O306" s="2">
        <f t="shared" si="13"/>
        <v>2794.0050000000001</v>
      </c>
      <c r="P306" s="2" t="s">
        <v>743</v>
      </c>
      <c r="Q306" s="2" t="s">
        <v>42</v>
      </c>
      <c r="R306" t="str">
        <f t="shared" si="14"/>
        <v/>
      </c>
    </row>
    <row r="307" spans="1:18" x14ac:dyDescent="0.3">
      <c r="A307" s="2" t="s">
        <v>744</v>
      </c>
      <c r="B307" s="5">
        <v>45707</v>
      </c>
      <c r="C307" s="2" t="s">
        <v>80</v>
      </c>
      <c r="D307" s="2" t="s">
        <v>1109</v>
      </c>
      <c r="E307" s="2" t="s">
        <v>77</v>
      </c>
      <c r="F307" s="2" t="str">
        <f>VLOOKUP(Orders!E306,Products!A:F,2,FALSE)</f>
        <v>Cooking Oil 1L</v>
      </c>
      <c r="G307" s="2" t="s">
        <v>82</v>
      </c>
      <c r="H307" s="2" t="str">
        <f>VLOOKUP(G307,Employees!A:E,2,FALSE)</f>
        <v>Priya Nair</v>
      </c>
      <c r="I307" s="2" t="str">
        <f>VLOOKUP(E307,Products!A:F,3,FALSE)</f>
        <v>Electronics</v>
      </c>
      <c r="J307" s="2" t="s">
        <v>73</v>
      </c>
      <c r="K307" s="2">
        <f>VLOOKUP(E307,Products!A:F,5,FALSE)</f>
        <v>3550.89</v>
      </c>
      <c r="L307" s="2">
        <v>7</v>
      </c>
      <c r="M307" s="2">
        <v>0.1</v>
      </c>
      <c r="N307" s="2">
        <f t="shared" si="12"/>
        <v>24856.23</v>
      </c>
      <c r="O307" s="2">
        <f t="shared" si="13"/>
        <v>22370.607</v>
      </c>
      <c r="P307" s="2" t="s">
        <v>746</v>
      </c>
      <c r="Q307" s="2" t="s">
        <v>30</v>
      </c>
      <c r="R307" t="str">
        <f t="shared" si="14"/>
        <v/>
      </c>
    </row>
    <row r="308" spans="1:18" x14ac:dyDescent="0.3">
      <c r="A308" s="2" t="s">
        <v>747</v>
      </c>
      <c r="B308" s="5">
        <v>45389</v>
      </c>
      <c r="C308" s="2" t="s">
        <v>311</v>
      </c>
      <c r="D308" s="2" t="s">
        <v>1132</v>
      </c>
      <c r="E308" s="2" t="s">
        <v>240</v>
      </c>
      <c r="F308" s="2" t="str">
        <f>VLOOKUP(Orders!E307,Products!A:F,2,FALSE)</f>
        <v>USB-C Charger</v>
      </c>
      <c r="G308" s="2" t="s">
        <v>34</v>
      </c>
      <c r="H308" s="2" t="str">
        <f>VLOOKUP(G308,Employees!A:E,2,FALSE)</f>
        <v>Rohit Sinha</v>
      </c>
      <c r="I308" s="2" t="str">
        <f>VLOOKUP(E308,Products!A:F,3,FALSE)</f>
        <v>Books</v>
      </c>
      <c r="J308" s="2" t="s">
        <v>22</v>
      </c>
      <c r="K308" s="2">
        <f>VLOOKUP(E308,Products!A:F,5,FALSE)</f>
        <v>2036.67</v>
      </c>
      <c r="L308" s="2">
        <v>3</v>
      </c>
      <c r="M308" s="2">
        <v>0</v>
      </c>
      <c r="N308" s="2">
        <f t="shared" si="12"/>
        <v>6110.01</v>
      </c>
      <c r="O308" s="2">
        <f t="shared" si="13"/>
        <v>6110.01</v>
      </c>
      <c r="P308" s="2" t="s">
        <v>264</v>
      </c>
      <c r="Q308" s="2" t="s">
        <v>60</v>
      </c>
      <c r="R308" t="str">
        <f t="shared" si="14"/>
        <v/>
      </c>
    </row>
    <row r="309" spans="1:18" x14ac:dyDescent="0.3">
      <c r="A309" s="2" t="s">
        <v>748</v>
      </c>
      <c r="B309" s="5">
        <v>45298</v>
      </c>
      <c r="C309" s="2" t="s">
        <v>144</v>
      </c>
      <c r="D309" s="2" t="s">
        <v>1116</v>
      </c>
      <c r="E309" s="2" t="s">
        <v>111</v>
      </c>
      <c r="F309" s="2" t="str">
        <f>VLOOKUP(Orders!E308,Products!A:F,2,FALSE)</f>
        <v>Notebook Set</v>
      </c>
      <c r="G309" s="2" t="s">
        <v>34</v>
      </c>
      <c r="H309" s="2" t="str">
        <f>VLOOKUP(G309,Employees!A:E,2,FALSE)</f>
        <v>Rohit Sinha</v>
      </c>
      <c r="I309" s="2" t="str">
        <f>VLOOKUP(E309,Products!A:F,3,FALSE)</f>
        <v>Toys</v>
      </c>
      <c r="J309" s="2" t="s">
        <v>35</v>
      </c>
      <c r="K309" s="2">
        <f>VLOOKUP(E309,Products!A:F,5,FALSE)</f>
        <v>4390.62</v>
      </c>
      <c r="L309" s="2">
        <v>5</v>
      </c>
      <c r="M309" s="2">
        <v>0.05</v>
      </c>
      <c r="N309" s="2">
        <f t="shared" si="12"/>
        <v>21953.1</v>
      </c>
      <c r="O309" s="2">
        <f t="shared" si="13"/>
        <v>20855.444999999996</v>
      </c>
      <c r="P309" s="2" t="s">
        <v>750</v>
      </c>
      <c r="Q309" s="2" t="s">
        <v>17</v>
      </c>
      <c r="R309" t="str">
        <f t="shared" si="14"/>
        <v/>
      </c>
    </row>
    <row r="310" spans="1:18" x14ac:dyDescent="0.3">
      <c r="A310" s="2" t="s">
        <v>751</v>
      </c>
      <c r="B310" s="5">
        <v>45629</v>
      </c>
      <c r="C310" s="2" t="s">
        <v>476</v>
      </c>
      <c r="D310" s="2" t="s">
        <v>983</v>
      </c>
      <c r="E310" s="2" t="s">
        <v>111</v>
      </c>
      <c r="F310" s="2" t="str">
        <f>VLOOKUP(Orders!E309,Products!A:F,2,FALSE)</f>
        <v>Action Figure</v>
      </c>
      <c r="G310" s="2" t="s">
        <v>34</v>
      </c>
      <c r="H310" s="2" t="str">
        <f>VLOOKUP(G310,Employees!A:E,2,FALSE)</f>
        <v>Rohit Sinha</v>
      </c>
      <c r="I310" s="2" t="str">
        <f>VLOOKUP(E310,Products!A:F,3,FALSE)</f>
        <v>Toys</v>
      </c>
      <c r="J310" s="2" t="s">
        <v>73</v>
      </c>
      <c r="K310" s="2">
        <f>VLOOKUP(E310,Products!A:F,5,FALSE)</f>
        <v>4390.62</v>
      </c>
      <c r="L310" s="2">
        <v>5</v>
      </c>
      <c r="M310" s="2">
        <v>0.1</v>
      </c>
      <c r="N310" s="2">
        <f t="shared" si="12"/>
        <v>21953.1</v>
      </c>
      <c r="O310" s="2">
        <f t="shared" si="13"/>
        <v>19757.79</v>
      </c>
      <c r="P310" s="2" t="s">
        <v>59</v>
      </c>
      <c r="Q310" s="2" t="s">
        <v>17</v>
      </c>
      <c r="R310" t="str">
        <f t="shared" si="14"/>
        <v/>
      </c>
    </row>
    <row r="311" spans="1:18" x14ac:dyDescent="0.3">
      <c r="A311" s="2" t="s">
        <v>752</v>
      </c>
      <c r="B311" s="5">
        <v>45660</v>
      </c>
      <c r="C311" s="2" t="s">
        <v>180</v>
      </c>
      <c r="D311" s="2" t="s">
        <v>1121</v>
      </c>
      <c r="E311" s="2" t="s">
        <v>148</v>
      </c>
      <c r="F311" s="2" t="str">
        <f>VLOOKUP(Orders!E310,Products!A:F,2,FALSE)</f>
        <v>Action Figure</v>
      </c>
      <c r="G311" s="2" t="s">
        <v>82</v>
      </c>
      <c r="H311" s="2" t="str">
        <f>VLOOKUP(G311,Employees!A:E,2,FALSE)</f>
        <v>Priya Nair</v>
      </c>
      <c r="I311" s="2" t="str">
        <f>VLOOKUP(E311,Products!A:F,3,FALSE)</f>
        <v>Grocery</v>
      </c>
      <c r="J311" s="2" t="s">
        <v>35</v>
      </c>
      <c r="K311" s="2">
        <f>VLOOKUP(E311,Products!A:F,5,FALSE)</f>
        <v>3576.75</v>
      </c>
      <c r="L311" s="2">
        <v>4</v>
      </c>
      <c r="M311" s="2">
        <v>0</v>
      </c>
      <c r="N311" s="2">
        <f t="shared" si="12"/>
        <v>14307</v>
      </c>
      <c r="O311" s="2">
        <f t="shared" si="13"/>
        <v>14307</v>
      </c>
      <c r="P311" s="2" t="s">
        <v>753</v>
      </c>
      <c r="Q311" s="2" t="s">
        <v>17</v>
      </c>
      <c r="R311" t="str">
        <f t="shared" si="14"/>
        <v/>
      </c>
    </row>
    <row r="312" spans="1:18" x14ac:dyDescent="0.3">
      <c r="A312" s="2" t="s">
        <v>754</v>
      </c>
      <c r="B312" s="5">
        <v>45455</v>
      </c>
      <c r="C312" s="2" t="s">
        <v>605</v>
      </c>
      <c r="D312" s="2" t="s">
        <v>1023</v>
      </c>
      <c r="E312" s="2" t="s">
        <v>316</v>
      </c>
      <c r="F312" s="2" t="str">
        <f>VLOOKUP(Orders!E311,Products!A:F,2,FALSE)</f>
        <v>Green Tea Pack</v>
      </c>
      <c r="G312" s="2" t="s">
        <v>21</v>
      </c>
      <c r="H312" s="2" t="str">
        <f>VLOOKUP(G312,Employees!A:E,2,FALSE)</f>
        <v>Karan Mehta</v>
      </c>
      <c r="I312" s="2" t="str">
        <f>VLOOKUP(E312,Products!A:F,3,FALSE)</f>
        <v>Beauty</v>
      </c>
      <c r="J312" s="2" t="s">
        <v>22</v>
      </c>
      <c r="K312" s="2">
        <f>VLOOKUP(E312,Products!A:F,5,FALSE)</f>
        <v>2405.98</v>
      </c>
      <c r="L312" s="2">
        <v>7</v>
      </c>
      <c r="M312" s="2">
        <v>0.15</v>
      </c>
      <c r="N312" s="2">
        <f t="shared" si="12"/>
        <v>16841.86</v>
      </c>
      <c r="O312" s="2">
        <f t="shared" si="13"/>
        <v>14315.581</v>
      </c>
      <c r="P312" s="2" t="s">
        <v>755</v>
      </c>
      <c r="Q312" s="2" t="s">
        <v>24</v>
      </c>
      <c r="R312" t="str">
        <f t="shared" si="14"/>
        <v/>
      </c>
    </row>
    <row r="313" spans="1:18" x14ac:dyDescent="0.3">
      <c r="A313" s="2" t="s">
        <v>756</v>
      </c>
      <c r="B313" s="5">
        <v>45594</v>
      </c>
      <c r="C313" s="2" t="s">
        <v>66</v>
      </c>
      <c r="D313" s="2" t="s">
        <v>1108</v>
      </c>
      <c r="E313" s="2" t="s">
        <v>377</v>
      </c>
      <c r="F313" s="2" t="str">
        <f>VLOOKUP(Orders!E312,Products!A:F,2,FALSE)</f>
        <v>Sunscreen</v>
      </c>
      <c r="G313" s="2" t="s">
        <v>21</v>
      </c>
      <c r="H313" s="2" t="str">
        <f>VLOOKUP(G313,Employees!A:E,2,FALSE)</f>
        <v>Karan Mehta</v>
      </c>
      <c r="I313" s="2" t="str">
        <f>VLOOKUP(E313,Products!A:F,3,FALSE)</f>
        <v>Sports</v>
      </c>
      <c r="J313" s="2" t="s">
        <v>15</v>
      </c>
      <c r="K313" s="2">
        <f>VLOOKUP(E313,Products!A:F,5,FALSE)</f>
        <v>4703.04</v>
      </c>
      <c r="L313" s="2">
        <v>6</v>
      </c>
      <c r="M313" s="2">
        <v>0.1</v>
      </c>
      <c r="N313" s="2">
        <f t="shared" si="12"/>
        <v>28218.239999999998</v>
      </c>
      <c r="O313" s="2">
        <f t="shared" si="13"/>
        <v>25396.415999999997</v>
      </c>
      <c r="P313" s="2" t="s">
        <v>36</v>
      </c>
      <c r="Q313" s="2" t="s">
        <v>60</v>
      </c>
      <c r="R313" t="str">
        <f t="shared" si="14"/>
        <v/>
      </c>
    </row>
    <row r="314" spans="1:18" x14ac:dyDescent="0.3">
      <c r="A314" s="2" t="s">
        <v>757</v>
      </c>
      <c r="B314" s="5">
        <v>45781</v>
      </c>
      <c r="C314" s="2" t="s">
        <v>476</v>
      </c>
      <c r="D314" s="2" t="s">
        <v>983</v>
      </c>
      <c r="E314" s="2" t="s">
        <v>145</v>
      </c>
      <c r="F314" s="2" t="str">
        <f>VLOOKUP(Orders!E313,Products!A:F,2,FALSE)</f>
        <v>Yoga Mat</v>
      </c>
      <c r="G314" s="2" t="s">
        <v>45</v>
      </c>
      <c r="H314" s="2" t="str">
        <f>VLOOKUP(G314,Employees!A:E,2,FALSE)</f>
        <v>Rajesh Iyer</v>
      </c>
      <c r="I314" s="2" t="str">
        <f>VLOOKUP(E314,Products!A:F,3,FALSE)</f>
        <v>Home &amp; Kitchen</v>
      </c>
      <c r="J314" s="2" t="s">
        <v>22</v>
      </c>
      <c r="K314" s="2">
        <f>VLOOKUP(E314,Products!A:F,5,FALSE)</f>
        <v>2612.71</v>
      </c>
      <c r="L314" s="2">
        <v>3</v>
      </c>
      <c r="M314" s="2">
        <v>0.05</v>
      </c>
      <c r="N314" s="2">
        <f t="shared" si="12"/>
        <v>7838.13</v>
      </c>
      <c r="O314" s="2">
        <f t="shared" si="13"/>
        <v>7446.2235000000001</v>
      </c>
      <c r="P314" s="2" t="s">
        <v>359</v>
      </c>
      <c r="Q314" s="2" t="s">
        <v>30</v>
      </c>
      <c r="R314" t="str">
        <f t="shared" si="14"/>
        <v/>
      </c>
    </row>
    <row r="315" spans="1:18" x14ac:dyDescent="0.3">
      <c r="A315" s="2" t="s">
        <v>758</v>
      </c>
      <c r="B315" s="5">
        <v>45774</v>
      </c>
      <c r="C315" s="2" t="s">
        <v>199</v>
      </c>
      <c r="D315" s="2" t="s">
        <v>1123</v>
      </c>
      <c r="E315" s="2" t="s">
        <v>226</v>
      </c>
      <c r="F315" s="2" t="str">
        <f>VLOOKUP(Orders!E314,Products!A:F,2,FALSE)</f>
        <v>Storage Box</v>
      </c>
      <c r="G315" s="2" t="s">
        <v>34</v>
      </c>
      <c r="H315" s="2" t="str">
        <f>VLOOKUP(G315,Employees!A:E,2,FALSE)</f>
        <v>Rohit Sinha</v>
      </c>
      <c r="I315" s="2" t="str">
        <f>VLOOKUP(E315,Products!A:F,3,FALSE)</f>
        <v>Beauty</v>
      </c>
      <c r="J315" s="2" t="s">
        <v>15</v>
      </c>
      <c r="K315" s="2">
        <f>VLOOKUP(E315,Products!A:F,5,FALSE)</f>
        <v>2359.5</v>
      </c>
      <c r="L315" s="2">
        <v>9</v>
      </c>
      <c r="M315" s="2">
        <v>0.2</v>
      </c>
      <c r="N315" s="2">
        <f t="shared" si="12"/>
        <v>21235.5</v>
      </c>
      <c r="O315" s="2">
        <f t="shared" si="13"/>
        <v>16988.400000000001</v>
      </c>
      <c r="P315" s="2" t="s">
        <v>55</v>
      </c>
      <c r="Q315" s="2" t="s">
        <v>42</v>
      </c>
      <c r="R315" t="str">
        <f t="shared" si="14"/>
        <v/>
      </c>
    </row>
    <row r="316" spans="1:18" x14ac:dyDescent="0.3">
      <c r="A316" s="2" t="s">
        <v>759</v>
      </c>
      <c r="B316" s="5">
        <v>45375</v>
      </c>
      <c r="C316" s="2" t="s">
        <v>80</v>
      </c>
      <c r="D316" s="2" t="s">
        <v>1109</v>
      </c>
      <c r="E316" s="2" t="s">
        <v>389</v>
      </c>
      <c r="F316" s="2" t="str">
        <f>VLOOKUP(Orders!E315,Products!A:F,2,FALSE)</f>
        <v>Moisturizer</v>
      </c>
      <c r="G316" s="2" t="s">
        <v>21</v>
      </c>
      <c r="H316" s="2" t="str">
        <f>VLOOKUP(G316,Employees!A:E,2,FALSE)</f>
        <v>Karan Mehta</v>
      </c>
      <c r="I316" s="2" t="str">
        <f>VLOOKUP(E316,Products!A:F,3,FALSE)</f>
        <v>Electronics</v>
      </c>
      <c r="J316" s="2" t="s">
        <v>22</v>
      </c>
      <c r="K316" s="2">
        <f>VLOOKUP(E316,Products!A:F,5,FALSE)</f>
        <v>991.59</v>
      </c>
      <c r="L316" s="2">
        <v>9</v>
      </c>
      <c r="M316" s="2">
        <v>0.05</v>
      </c>
      <c r="N316" s="2">
        <f t="shared" si="12"/>
        <v>8924.31</v>
      </c>
      <c r="O316" s="2">
        <f t="shared" si="13"/>
        <v>8478.0944999999992</v>
      </c>
      <c r="P316" s="2" t="s">
        <v>395</v>
      </c>
      <c r="Q316" s="2" t="s">
        <v>24</v>
      </c>
      <c r="R316" t="str">
        <f t="shared" si="14"/>
        <v/>
      </c>
    </row>
    <row r="317" spans="1:18" x14ac:dyDescent="0.3">
      <c r="A317" s="2" t="s">
        <v>761</v>
      </c>
      <c r="B317" s="5">
        <v>45406</v>
      </c>
      <c r="C317" s="2" t="s">
        <v>392</v>
      </c>
      <c r="D317" s="2" t="s">
        <v>1134</v>
      </c>
      <c r="E317" s="2" t="s">
        <v>72</v>
      </c>
      <c r="F317" s="2" t="str">
        <f>VLOOKUP(Orders!E316,Products!A:F,2,FALSE)</f>
        <v>Bluetooth Speaker</v>
      </c>
      <c r="G317" s="2" t="s">
        <v>34</v>
      </c>
      <c r="H317" s="2" t="str">
        <f>VLOOKUP(G317,Employees!A:E,2,FALSE)</f>
        <v>Rohit Sinha</v>
      </c>
      <c r="I317" s="2" t="str">
        <f>VLOOKUP(E317,Products!A:F,3,FALSE)</f>
        <v>Books</v>
      </c>
      <c r="J317" s="2" t="s">
        <v>15</v>
      </c>
      <c r="K317" s="2">
        <f>VLOOKUP(E317,Products!A:F,5,FALSE)</f>
        <v>2316.1999999999998</v>
      </c>
      <c r="L317" s="2">
        <v>1</v>
      </c>
      <c r="M317" s="2">
        <v>0.2</v>
      </c>
      <c r="N317" s="2">
        <f t="shared" si="12"/>
        <v>2316.1999999999998</v>
      </c>
      <c r="O317" s="2">
        <f t="shared" si="13"/>
        <v>1852.96</v>
      </c>
      <c r="P317" s="2" t="s">
        <v>762</v>
      </c>
      <c r="Q317" s="2" t="s">
        <v>42</v>
      </c>
      <c r="R317" t="str">
        <f t="shared" si="14"/>
        <v/>
      </c>
    </row>
    <row r="318" spans="1:18" x14ac:dyDescent="0.3">
      <c r="A318" s="2" t="s">
        <v>763</v>
      </c>
      <c r="B318" s="5">
        <v>45445</v>
      </c>
      <c r="C318" s="2" t="s">
        <v>53</v>
      </c>
      <c r="D318" s="2" t="s">
        <v>1047</v>
      </c>
      <c r="E318" s="2" t="s">
        <v>54</v>
      </c>
      <c r="F318" s="2" t="str">
        <f>VLOOKUP(Orders!E317,Products!A:F,2,FALSE)</f>
        <v>Cookbook</v>
      </c>
      <c r="G318" s="2" t="s">
        <v>14</v>
      </c>
      <c r="H318" s="2" t="str">
        <f>VLOOKUP(G318,Employees!A:E,2,FALSE)</f>
        <v>Fatima Sheikh</v>
      </c>
      <c r="I318" s="2" t="str">
        <f>VLOOKUP(E318,Products!A:F,3,FALSE)</f>
        <v>Clothing</v>
      </c>
      <c r="J318" s="2" t="s">
        <v>35</v>
      </c>
      <c r="K318" s="2">
        <f>VLOOKUP(E318,Products!A:F,5,FALSE)</f>
        <v>3929.31</v>
      </c>
      <c r="L318" s="2">
        <v>3</v>
      </c>
      <c r="M318" s="2">
        <v>0</v>
      </c>
      <c r="N318" s="2">
        <f t="shared" si="12"/>
        <v>11787.93</v>
      </c>
      <c r="O318" s="2">
        <f t="shared" si="13"/>
        <v>11787.93</v>
      </c>
      <c r="P318" s="2" t="s">
        <v>327</v>
      </c>
      <c r="Q318" s="2" t="s">
        <v>24</v>
      </c>
      <c r="R318" t="str">
        <f t="shared" si="14"/>
        <v/>
      </c>
    </row>
    <row r="319" spans="1:18" x14ac:dyDescent="0.3">
      <c r="A319" s="2" t="s">
        <v>764</v>
      </c>
      <c r="B319" s="5">
        <v>45502</v>
      </c>
      <c r="C319" s="2" t="s">
        <v>590</v>
      </c>
      <c r="D319" s="2" t="s">
        <v>1140</v>
      </c>
      <c r="E319" s="2" t="s">
        <v>130</v>
      </c>
      <c r="F319" s="2" t="str">
        <f>VLOOKUP(Orders!E318,Products!A:F,2,FALSE)</f>
        <v>Hoodie</v>
      </c>
      <c r="G319" s="2" t="s">
        <v>34</v>
      </c>
      <c r="H319" s="2" t="str">
        <f>VLOOKUP(G319,Employees!A:E,2,FALSE)</f>
        <v>Rohit Sinha</v>
      </c>
      <c r="I319" s="2" t="str">
        <f>VLOOKUP(E319,Products!A:F,3,FALSE)</f>
        <v>Sports</v>
      </c>
      <c r="J319" s="2" t="s">
        <v>35</v>
      </c>
      <c r="K319" s="2">
        <f>VLOOKUP(E319,Products!A:F,5,FALSE)</f>
        <v>3128.51</v>
      </c>
      <c r="L319" s="2">
        <v>10</v>
      </c>
      <c r="M319" s="2">
        <v>0.05</v>
      </c>
      <c r="N319" s="2">
        <f t="shared" si="12"/>
        <v>31285.100000000002</v>
      </c>
      <c r="O319" s="2">
        <f t="shared" si="13"/>
        <v>29720.845000000001</v>
      </c>
      <c r="P319" s="2" t="s">
        <v>432</v>
      </c>
      <c r="Q319" s="2" t="s">
        <v>24</v>
      </c>
      <c r="R319" t="str">
        <f t="shared" si="14"/>
        <v/>
      </c>
    </row>
    <row r="320" spans="1:18" x14ac:dyDescent="0.3">
      <c r="A320" s="2" t="s">
        <v>765</v>
      </c>
      <c r="B320" s="5">
        <v>45756</v>
      </c>
      <c r="C320" s="2" t="s">
        <v>392</v>
      </c>
      <c r="D320" s="2" t="s">
        <v>1134</v>
      </c>
      <c r="E320" s="2" t="s">
        <v>254</v>
      </c>
      <c r="F320" s="2" t="str">
        <f>VLOOKUP(Orders!E319,Products!A:F,2,FALSE)</f>
        <v>Cricket Bat</v>
      </c>
      <c r="G320" s="2" t="s">
        <v>14</v>
      </c>
      <c r="H320" s="2" t="str">
        <f>VLOOKUP(G320,Employees!A:E,2,FALSE)</f>
        <v>Fatima Sheikh</v>
      </c>
      <c r="I320" s="2" t="str">
        <f>VLOOKUP(E320,Products!A:F,3,FALSE)</f>
        <v>Books</v>
      </c>
      <c r="J320" s="2" t="s">
        <v>35</v>
      </c>
      <c r="K320" s="2">
        <f>VLOOKUP(E320,Products!A:F,5,FALSE)</f>
        <v>605.26</v>
      </c>
      <c r="L320" s="2">
        <v>3</v>
      </c>
      <c r="M320" s="2">
        <v>0.1</v>
      </c>
      <c r="N320" s="2">
        <f t="shared" si="12"/>
        <v>1815.78</v>
      </c>
      <c r="O320" s="2">
        <f t="shared" si="13"/>
        <v>1634.202</v>
      </c>
      <c r="P320" s="2" t="s">
        <v>509</v>
      </c>
      <c r="Q320" s="2" t="s">
        <v>42</v>
      </c>
      <c r="R320" t="str">
        <f t="shared" si="14"/>
        <v/>
      </c>
    </row>
    <row r="321" spans="1:18" x14ac:dyDescent="0.3">
      <c r="A321" s="2" t="s">
        <v>766</v>
      </c>
      <c r="B321" s="5">
        <v>45351</v>
      </c>
      <c r="C321" s="2" t="s">
        <v>49</v>
      </c>
      <c r="D321" s="2" t="s">
        <v>1107</v>
      </c>
      <c r="E321" s="2" t="s">
        <v>121</v>
      </c>
      <c r="F321" s="2" t="str">
        <f>VLOOKUP(Orders!E320,Products!A:F,2,FALSE)</f>
        <v>Self-Help Book</v>
      </c>
      <c r="G321" s="2" t="s">
        <v>45</v>
      </c>
      <c r="H321" s="2" t="str">
        <f>VLOOKUP(G321,Employees!A:E,2,FALSE)</f>
        <v>Rajesh Iyer</v>
      </c>
      <c r="I321" s="2" t="str">
        <f>VLOOKUP(E321,Products!A:F,3,FALSE)</f>
        <v>Beauty</v>
      </c>
      <c r="J321" s="2" t="s">
        <v>73</v>
      </c>
      <c r="K321" s="2">
        <f>VLOOKUP(E321,Products!A:F,5,FALSE)</f>
        <v>3414.07</v>
      </c>
      <c r="L321" s="2">
        <v>9</v>
      </c>
      <c r="M321" s="2">
        <v>0.05</v>
      </c>
      <c r="N321" s="2">
        <f t="shared" si="12"/>
        <v>30726.63</v>
      </c>
      <c r="O321" s="2">
        <f t="shared" si="13"/>
        <v>29190.298500000001</v>
      </c>
      <c r="P321" s="2" t="s">
        <v>767</v>
      </c>
      <c r="Q321" s="2" t="s">
        <v>30</v>
      </c>
      <c r="R321" t="str">
        <f t="shared" si="14"/>
        <v/>
      </c>
    </row>
    <row r="322" spans="1:18" x14ac:dyDescent="0.3">
      <c r="A322" s="2" t="s">
        <v>768</v>
      </c>
      <c r="B322" s="5">
        <v>45552</v>
      </c>
      <c r="C322" s="2" t="s">
        <v>49</v>
      </c>
      <c r="D322" s="2" t="s">
        <v>1107</v>
      </c>
      <c r="E322" s="2" t="s">
        <v>465</v>
      </c>
      <c r="F322" s="2" t="str">
        <f>VLOOKUP(Orders!E321,Products!A:F,2,FALSE)</f>
        <v>Hair Serum</v>
      </c>
      <c r="G322" s="2" t="s">
        <v>21</v>
      </c>
      <c r="H322" s="2" t="str">
        <f>VLOOKUP(G322,Employees!A:E,2,FALSE)</f>
        <v>Karan Mehta</v>
      </c>
      <c r="I322" s="2" t="str">
        <f>VLOOKUP(E322,Products!A:F,3,FALSE)</f>
        <v>Beauty</v>
      </c>
      <c r="J322" s="2" t="s">
        <v>73</v>
      </c>
      <c r="K322" s="2">
        <f>VLOOKUP(E322,Products!A:F,5,FALSE)</f>
        <v>1140.8</v>
      </c>
      <c r="L322" s="2">
        <v>1</v>
      </c>
      <c r="M322" s="2">
        <v>0.15</v>
      </c>
      <c r="N322" s="2">
        <f t="shared" ref="N322:N385" si="15">K322*L322</f>
        <v>1140.8</v>
      </c>
      <c r="O322" s="2">
        <f t="shared" ref="O322:O385" si="16">N322*(1-M322)</f>
        <v>969.68</v>
      </c>
      <c r="P322" s="2" t="s">
        <v>770</v>
      </c>
      <c r="Q322" s="2" t="s">
        <v>24</v>
      </c>
      <c r="R322" t="str">
        <f t="shared" ref="R322:R385" si="17">IF(L322=0,"Missing Quantity","")</f>
        <v/>
      </c>
    </row>
    <row r="323" spans="1:18" x14ac:dyDescent="0.3">
      <c r="A323" s="2" t="s">
        <v>771</v>
      </c>
      <c r="B323" s="5">
        <v>45725</v>
      </c>
      <c r="C323" s="2" t="s">
        <v>124</v>
      </c>
      <c r="D323" s="2" t="s">
        <v>1112</v>
      </c>
      <c r="E323" s="2" t="s">
        <v>67</v>
      </c>
      <c r="F323" s="2" t="str">
        <f>VLOOKUP(Orders!E322,Products!A:F,2,FALSE)</f>
        <v>Perfume</v>
      </c>
      <c r="G323" s="2" t="s">
        <v>34</v>
      </c>
      <c r="H323" s="2" t="str">
        <f>VLOOKUP(G323,Employees!A:E,2,FALSE)</f>
        <v>Rohit Sinha</v>
      </c>
      <c r="I323" s="2" t="str">
        <f>VLOOKUP(E323,Products!A:F,3,FALSE)</f>
        <v>Toys</v>
      </c>
      <c r="J323" s="2" t="s">
        <v>73</v>
      </c>
      <c r="K323" s="2">
        <f>VLOOKUP(E323,Products!A:F,5,FALSE)</f>
        <v>3205.14</v>
      </c>
      <c r="L323" s="2">
        <v>6</v>
      </c>
      <c r="M323" s="2">
        <v>0.15</v>
      </c>
      <c r="N323" s="2">
        <f t="shared" si="15"/>
        <v>19230.84</v>
      </c>
      <c r="O323" s="2">
        <f t="shared" si="16"/>
        <v>16346.214</v>
      </c>
      <c r="P323" s="2" t="s">
        <v>76</v>
      </c>
      <c r="Q323" s="2" t="s">
        <v>24</v>
      </c>
      <c r="R323" t="str">
        <f t="shared" si="17"/>
        <v/>
      </c>
    </row>
    <row r="324" spans="1:18" x14ac:dyDescent="0.3">
      <c r="A324" s="2" t="s">
        <v>772</v>
      </c>
      <c r="B324" s="5">
        <v>45775</v>
      </c>
      <c r="C324" s="2" t="s">
        <v>690</v>
      </c>
      <c r="D324" s="2" t="s">
        <v>1142</v>
      </c>
      <c r="E324" s="2" t="s">
        <v>304</v>
      </c>
      <c r="F324" s="2" t="str">
        <f>VLOOKUP(Orders!E323,Products!A:F,2,FALSE)</f>
        <v>Remote Car</v>
      </c>
      <c r="G324" s="2" t="s">
        <v>45</v>
      </c>
      <c r="H324" s="2" t="str">
        <f>VLOOKUP(G324,Employees!A:E,2,FALSE)</f>
        <v>Rajesh Iyer</v>
      </c>
      <c r="I324" s="2" t="str">
        <f>VLOOKUP(E324,Products!A:F,3,FALSE)</f>
        <v>Clothing</v>
      </c>
      <c r="J324" s="2" t="s">
        <v>15</v>
      </c>
      <c r="K324" s="2">
        <f>VLOOKUP(E324,Products!A:F,5,FALSE)</f>
        <v>1498.91</v>
      </c>
      <c r="L324" s="2">
        <v>1</v>
      </c>
      <c r="M324" s="2">
        <v>0</v>
      </c>
      <c r="N324" s="2">
        <f t="shared" si="15"/>
        <v>1498.91</v>
      </c>
      <c r="O324" s="2">
        <f t="shared" si="16"/>
        <v>1498.91</v>
      </c>
      <c r="P324" s="2" t="s">
        <v>154</v>
      </c>
      <c r="Q324" s="2" t="s">
        <v>60</v>
      </c>
      <c r="R324" t="str">
        <f t="shared" si="17"/>
        <v/>
      </c>
    </row>
    <row r="325" spans="1:18" x14ac:dyDescent="0.3">
      <c r="A325" s="2" t="s">
        <v>773</v>
      </c>
      <c r="B325" s="5">
        <v>45722</v>
      </c>
      <c r="C325" s="2" t="s">
        <v>19</v>
      </c>
      <c r="D325" s="2" t="s">
        <v>1104</v>
      </c>
      <c r="E325" s="2" t="s">
        <v>389</v>
      </c>
      <c r="F325" s="2" t="str">
        <f>VLOOKUP(Orders!E324,Products!A:F,2,FALSE)</f>
        <v>Denim Jeans</v>
      </c>
      <c r="G325" s="2" t="s">
        <v>14</v>
      </c>
      <c r="H325" s="2" t="str">
        <f>VLOOKUP(G325,Employees!A:E,2,FALSE)</f>
        <v>Fatima Sheikh</v>
      </c>
      <c r="I325" s="2" t="str">
        <f>VLOOKUP(E325,Products!A:F,3,FALSE)</f>
        <v>Electronics</v>
      </c>
      <c r="J325" s="2" t="s">
        <v>35</v>
      </c>
      <c r="K325" s="2">
        <f>VLOOKUP(E325,Products!A:F,5,FALSE)</f>
        <v>991.59</v>
      </c>
      <c r="L325" s="2">
        <v>6</v>
      </c>
      <c r="M325" s="2">
        <v>0.05</v>
      </c>
      <c r="N325" s="2">
        <f t="shared" si="15"/>
        <v>5949.54</v>
      </c>
      <c r="O325" s="2">
        <f t="shared" si="16"/>
        <v>5652.0630000000001</v>
      </c>
      <c r="P325" s="2" t="s">
        <v>140</v>
      </c>
      <c r="Q325" s="2" t="s">
        <v>30</v>
      </c>
      <c r="R325" t="str">
        <f t="shared" si="17"/>
        <v/>
      </c>
    </row>
    <row r="326" spans="1:18" x14ac:dyDescent="0.3">
      <c r="A326" s="2" t="s">
        <v>774</v>
      </c>
      <c r="B326" s="5">
        <v>45374</v>
      </c>
      <c r="C326" s="2" t="s">
        <v>392</v>
      </c>
      <c r="D326" s="2" t="s">
        <v>1134</v>
      </c>
      <c r="E326" s="2" t="s">
        <v>111</v>
      </c>
      <c r="F326" s="2" t="str">
        <f>VLOOKUP(Orders!E325,Products!A:F,2,FALSE)</f>
        <v>Bluetooth Speaker</v>
      </c>
      <c r="G326" s="2" t="s">
        <v>21</v>
      </c>
      <c r="H326" s="2" t="str">
        <f>VLOOKUP(G326,Employees!A:E,2,FALSE)</f>
        <v>Karan Mehta</v>
      </c>
      <c r="I326" s="2" t="str">
        <f>VLOOKUP(E326,Products!A:F,3,FALSE)</f>
        <v>Toys</v>
      </c>
      <c r="J326" s="2" t="s">
        <v>73</v>
      </c>
      <c r="K326" s="2">
        <f>VLOOKUP(E326,Products!A:F,5,FALSE)</f>
        <v>4390.62</v>
      </c>
      <c r="L326" s="2">
        <v>9</v>
      </c>
      <c r="M326" s="2">
        <v>0</v>
      </c>
      <c r="N326" s="2">
        <f t="shared" si="15"/>
        <v>39515.58</v>
      </c>
      <c r="O326" s="2">
        <f t="shared" si="16"/>
        <v>39515.58</v>
      </c>
      <c r="P326" s="2" t="s">
        <v>775</v>
      </c>
      <c r="Q326" s="2" t="s">
        <v>60</v>
      </c>
      <c r="R326" t="str">
        <f t="shared" si="17"/>
        <v/>
      </c>
    </row>
    <row r="327" spans="1:18" x14ac:dyDescent="0.3">
      <c r="A327" s="2" t="s">
        <v>776</v>
      </c>
      <c r="B327" s="5">
        <v>45694</v>
      </c>
      <c r="C327" s="2" t="s">
        <v>214</v>
      </c>
      <c r="D327" s="2" t="s">
        <v>1125</v>
      </c>
      <c r="E327" s="2" t="s">
        <v>54</v>
      </c>
      <c r="F327" s="2" t="str">
        <f>VLOOKUP(Orders!E326,Products!A:F,2,FALSE)</f>
        <v>Action Figure</v>
      </c>
      <c r="G327" s="2" t="s">
        <v>34</v>
      </c>
      <c r="H327" s="2" t="str">
        <f>VLOOKUP(G327,Employees!A:E,2,FALSE)</f>
        <v>Rohit Sinha</v>
      </c>
      <c r="I327" s="2" t="str">
        <f>VLOOKUP(E327,Products!A:F,3,FALSE)</f>
        <v>Clothing</v>
      </c>
      <c r="J327" s="2" t="s">
        <v>73</v>
      </c>
      <c r="K327" s="2">
        <f>VLOOKUP(E327,Products!A:F,5,FALSE)</f>
        <v>3929.31</v>
      </c>
      <c r="L327" s="2">
        <v>9</v>
      </c>
      <c r="M327" s="2">
        <v>0</v>
      </c>
      <c r="N327" s="2">
        <f t="shared" si="15"/>
        <v>35363.79</v>
      </c>
      <c r="O327" s="2">
        <f t="shared" si="16"/>
        <v>35363.79</v>
      </c>
      <c r="P327" s="2" t="s">
        <v>501</v>
      </c>
      <c r="Q327" s="2" t="s">
        <v>24</v>
      </c>
      <c r="R327" t="str">
        <f t="shared" si="17"/>
        <v/>
      </c>
    </row>
    <row r="328" spans="1:18" x14ac:dyDescent="0.3">
      <c r="A328" s="2" t="s">
        <v>777</v>
      </c>
      <c r="B328" s="5">
        <v>45597</v>
      </c>
      <c r="C328" s="2" t="s">
        <v>39</v>
      </c>
      <c r="D328" s="2" t="s">
        <v>990</v>
      </c>
      <c r="E328" s="2" t="s">
        <v>125</v>
      </c>
      <c r="F328" s="2" t="str">
        <f>VLOOKUP(Orders!E327,Products!A:F,2,FALSE)</f>
        <v>Hoodie</v>
      </c>
      <c r="G328" s="2" t="s">
        <v>34</v>
      </c>
      <c r="H328" s="2" t="str">
        <f>VLOOKUP(G328,Employees!A:E,2,FALSE)</f>
        <v>Rohit Sinha</v>
      </c>
      <c r="I328" s="2" t="str">
        <f>VLOOKUP(E328,Products!A:F,3,FALSE)</f>
        <v>Grocery</v>
      </c>
      <c r="J328" s="2" t="s">
        <v>35</v>
      </c>
      <c r="K328" s="2">
        <f>VLOOKUP(E328,Products!A:F,5,FALSE)</f>
        <v>2458.91</v>
      </c>
      <c r="L328" s="2">
        <v>8</v>
      </c>
      <c r="M328" s="2">
        <v>0.15</v>
      </c>
      <c r="N328" s="2">
        <f t="shared" si="15"/>
        <v>19671.28</v>
      </c>
      <c r="O328" s="2">
        <f t="shared" si="16"/>
        <v>16720.588</v>
      </c>
      <c r="P328" s="2" t="s">
        <v>29</v>
      </c>
      <c r="Q328" s="2" t="s">
        <v>42</v>
      </c>
      <c r="R328" t="str">
        <f t="shared" si="17"/>
        <v/>
      </c>
    </row>
    <row r="329" spans="1:18" x14ac:dyDescent="0.3">
      <c r="A329" s="2" t="s">
        <v>778</v>
      </c>
      <c r="B329" s="5">
        <v>45680</v>
      </c>
      <c r="C329" s="2" t="s">
        <v>590</v>
      </c>
      <c r="D329" s="2" t="s">
        <v>1140</v>
      </c>
      <c r="E329" s="2" t="s">
        <v>249</v>
      </c>
      <c r="F329" s="2" t="str">
        <f>VLOOKUP(Orders!E328,Products!A:F,2,FALSE)</f>
        <v>Basmati Rice 5kg</v>
      </c>
      <c r="G329" s="2" t="s">
        <v>45</v>
      </c>
      <c r="H329" s="2" t="str">
        <f>VLOOKUP(G329,Employees!A:E,2,FALSE)</f>
        <v>Rajesh Iyer</v>
      </c>
      <c r="I329" s="2" t="str">
        <f>VLOOKUP(E329,Products!A:F,3,FALSE)</f>
        <v>Clothing</v>
      </c>
      <c r="J329" s="2" t="s">
        <v>22</v>
      </c>
      <c r="K329" s="2">
        <f>VLOOKUP(E329,Products!A:F,5,FALSE)</f>
        <v>1309.58</v>
      </c>
      <c r="L329" s="2">
        <v>4</v>
      </c>
      <c r="M329" s="2">
        <v>0</v>
      </c>
      <c r="N329" s="2">
        <f t="shared" si="15"/>
        <v>5238.32</v>
      </c>
      <c r="O329" s="2">
        <f t="shared" si="16"/>
        <v>5238.32</v>
      </c>
      <c r="P329" s="2" t="s">
        <v>540</v>
      </c>
      <c r="Q329" s="2" t="s">
        <v>60</v>
      </c>
      <c r="R329" t="str">
        <f t="shared" si="17"/>
        <v/>
      </c>
    </row>
    <row r="330" spans="1:18" x14ac:dyDescent="0.3">
      <c r="A330" s="2" t="s">
        <v>779</v>
      </c>
      <c r="B330" s="5">
        <v>45574</v>
      </c>
      <c r="C330" s="2" t="s">
        <v>590</v>
      </c>
      <c r="D330" s="2" t="s">
        <v>1140</v>
      </c>
      <c r="E330" s="2" t="s">
        <v>130</v>
      </c>
      <c r="F330" s="2" t="str">
        <f>VLOOKUP(Orders!E329,Products!A:F,2,FALSE)</f>
        <v>Sports Jacket</v>
      </c>
      <c r="G330" s="2" t="s">
        <v>82</v>
      </c>
      <c r="H330" s="2" t="str">
        <f>VLOOKUP(G330,Employees!A:E,2,FALSE)</f>
        <v>Priya Nair</v>
      </c>
      <c r="I330" s="2" t="str">
        <f>VLOOKUP(E330,Products!A:F,3,FALSE)</f>
        <v>Sports</v>
      </c>
      <c r="J330" s="2" t="s">
        <v>73</v>
      </c>
      <c r="K330" s="2">
        <f>VLOOKUP(E330,Products!A:F,5,FALSE)</f>
        <v>3128.51</v>
      </c>
      <c r="L330" s="2">
        <v>4</v>
      </c>
      <c r="M330" s="2">
        <v>0.15</v>
      </c>
      <c r="N330" s="2">
        <f t="shared" si="15"/>
        <v>12514.04</v>
      </c>
      <c r="O330" s="2">
        <f t="shared" si="16"/>
        <v>10636.934000000001</v>
      </c>
      <c r="P330" s="2" t="s">
        <v>780</v>
      </c>
      <c r="Q330" s="2" t="s">
        <v>30</v>
      </c>
      <c r="R330" t="str">
        <f t="shared" si="17"/>
        <v/>
      </c>
    </row>
    <row r="331" spans="1:18" x14ac:dyDescent="0.3">
      <c r="A331" s="2" t="s">
        <v>781</v>
      </c>
      <c r="B331" s="5">
        <v>45308</v>
      </c>
      <c r="C331" s="2" t="s">
        <v>53</v>
      </c>
      <c r="D331" s="2" t="s">
        <v>1047</v>
      </c>
      <c r="E331" s="2" t="s">
        <v>345</v>
      </c>
      <c r="F331" s="2" t="str">
        <f>VLOOKUP(Orders!E330,Products!A:F,2,FALSE)</f>
        <v>Cricket Bat</v>
      </c>
      <c r="G331" s="2" t="s">
        <v>14</v>
      </c>
      <c r="H331" s="2" t="str">
        <f>VLOOKUP(G331,Employees!A:E,2,FALSE)</f>
        <v>Fatima Sheikh</v>
      </c>
      <c r="I331" s="2" t="str">
        <f>VLOOKUP(E331,Products!A:F,3,FALSE)</f>
        <v>Toys</v>
      </c>
      <c r="J331" s="2" t="s">
        <v>73</v>
      </c>
      <c r="K331" s="2">
        <f>VLOOKUP(E331,Products!A:F,5,FALSE)</f>
        <v>1212.79</v>
      </c>
      <c r="L331" s="2">
        <v>4</v>
      </c>
      <c r="M331" s="2">
        <v>0</v>
      </c>
      <c r="N331" s="2">
        <f t="shared" si="15"/>
        <v>4851.16</v>
      </c>
      <c r="O331" s="2">
        <f t="shared" si="16"/>
        <v>4851.16</v>
      </c>
      <c r="P331" s="2" t="s">
        <v>375</v>
      </c>
      <c r="Q331" s="2" t="s">
        <v>42</v>
      </c>
      <c r="R331" t="str">
        <f t="shared" si="17"/>
        <v/>
      </c>
    </row>
    <row r="332" spans="1:18" x14ac:dyDescent="0.3">
      <c r="A332" s="2" t="s">
        <v>1154</v>
      </c>
      <c r="B332" s="5">
        <v>45308</v>
      </c>
      <c r="C332" s="2" t="s">
        <v>53</v>
      </c>
      <c r="D332" s="2" t="s">
        <v>1047</v>
      </c>
      <c r="E332" s="2" t="s">
        <v>345</v>
      </c>
      <c r="F332" s="2" t="str">
        <f>VLOOKUP(Orders!E404,Products!A:F,2,FALSE)</f>
        <v>Formal Shirt</v>
      </c>
      <c r="G332" s="2" t="s">
        <v>14</v>
      </c>
      <c r="H332" s="2" t="str">
        <f>VLOOKUP(G332,Employees!A:E,2,FALSE)</f>
        <v>Fatima Sheikh</v>
      </c>
      <c r="I332" s="2" t="str">
        <f>VLOOKUP(E332,Products!A:F,3,FALSE)</f>
        <v>Toys</v>
      </c>
      <c r="J332" s="2" t="s">
        <v>73</v>
      </c>
      <c r="K332" s="2">
        <f>VLOOKUP(E332,Products!A:F,5,FALSE)</f>
        <v>1212.79</v>
      </c>
      <c r="L332" s="2">
        <v>4</v>
      </c>
      <c r="M332" s="2">
        <v>0</v>
      </c>
      <c r="N332" s="2">
        <f t="shared" si="15"/>
        <v>4851.16</v>
      </c>
      <c r="O332" s="2">
        <f t="shared" si="16"/>
        <v>4851.16</v>
      </c>
      <c r="P332" s="2" t="s">
        <v>375</v>
      </c>
      <c r="Q332" s="2" t="s">
        <v>42</v>
      </c>
      <c r="R332" t="str">
        <f t="shared" si="17"/>
        <v/>
      </c>
    </row>
    <row r="333" spans="1:18" x14ac:dyDescent="0.3">
      <c r="A333" s="2" t="s">
        <v>782</v>
      </c>
      <c r="B333" s="5">
        <v>45326</v>
      </c>
      <c r="C333" s="2" t="s">
        <v>245</v>
      </c>
      <c r="D333" s="2" t="s">
        <v>1128</v>
      </c>
      <c r="E333" s="2" t="s">
        <v>130</v>
      </c>
      <c r="F333" s="2" t="str">
        <f>VLOOKUP(Orders!E331,Products!A:F,2,FALSE)</f>
        <v>Soft Toy</v>
      </c>
      <c r="G333" s="2" t="s">
        <v>21</v>
      </c>
      <c r="H333" s="2" t="str">
        <f>VLOOKUP(G333,Employees!A:E,2,FALSE)</f>
        <v>Karan Mehta</v>
      </c>
      <c r="I333" s="2" t="str">
        <f>VLOOKUP(E333,Products!A:F,3,FALSE)</f>
        <v>Sports</v>
      </c>
      <c r="J333" s="2" t="s">
        <v>15</v>
      </c>
      <c r="K333" s="2">
        <f>VLOOKUP(E333,Products!A:F,5,FALSE)</f>
        <v>3128.51</v>
      </c>
      <c r="L333" s="2">
        <v>8</v>
      </c>
      <c r="M333" s="2">
        <v>0.1</v>
      </c>
      <c r="N333" s="2">
        <f t="shared" si="15"/>
        <v>25028.080000000002</v>
      </c>
      <c r="O333" s="2">
        <f t="shared" si="16"/>
        <v>22525.272000000001</v>
      </c>
      <c r="P333" s="2" t="s">
        <v>200</v>
      </c>
      <c r="Q333" s="2" t="s">
        <v>24</v>
      </c>
      <c r="R333" t="str">
        <f t="shared" si="17"/>
        <v/>
      </c>
    </row>
    <row r="334" spans="1:18" x14ac:dyDescent="0.3">
      <c r="A334" s="2" t="s">
        <v>783</v>
      </c>
      <c r="B334" s="5">
        <v>45703</v>
      </c>
      <c r="C334" s="2" t="s">
        <v>171</v>
      </c>
      <c r="D334" s="2" t="s">
        <v>1010</v>
      </c>
      <c r="E334" s="2" t="s">
        <v>172</v>
      </c>
      <c r="F334" s="2" t="str">
        <f>VLOOKUP(Orders!E332,Products!A:F,2,FALSE)</f>
        <v>Soft Toy</v>
      </c>
      <c r="G334" s="2" t="s">
        <v>21</v>
      </c>
      <c r="H334" s="2" t="str">
        <f>VLOOKUP(G334,Employees!A:E,2,FALSE)</f>
        <v>Karan Mehta</v>
      </c>
      <c r="I334" s="2" t="str">
        <f>VLOOKUP(E334,Products!A:F,3,FALSE)</f>
        <v>Home &amp; Kitchen</v>
      </c>
      <c r="J334" s="2" t="s">
        <v>15</v>
      </c>
      <c r="K334" s="2">
        <f>VLOOKUP(E334,Products!A:F,5,FALSE)</f>
        <v>2849.53</v>
      </c>
      <c r="L334" s="2">
        <v>8</v>
      </c>
      <c r="M334" s="2">
        <v>0</v>
      </c>
      <c r="N334" s="2">
        <f t="shared" si="15"/>
        <v>22796.240000000002</v>
      </c>
      <c r="O334" s="2">
        <f t="shared" si="16"/>
        <v>22796.240000000002</v>
      </c>
      <c r="P334" s="2" t="s">
        <v>470</v>
      </c>
      <c r="Q334" s="2" t="s">
        <v>24</v>
      </c>
      <c r="R334" t="str">
        <f t="shared" si="17"/>
        <v/>
      </c>
    </row>
    <row r="335" spans="1:18" x14ac:dyDescent="0.3">
      <c r="A335" s="2" t="s">
        <v>785</v>
      </c>
      <c r="B335" s="5">
        <v>45435</v>
      </c>
      <c r="C335" s="2" t="s">
        <v>392</v>
      </c>
      <c r="D335" s="2" t="s">
        <v>1134</v>
      </c>
      <c r="E335" s="2" t="s">
        <v>196</v>
      </c>
      <c r="F335" s="2" t="str">
        <f>VLOOKUP(Orders!E333,Products!A:F,2,FALSE)</f>
        <v>Cricket Bat</v>
      </c>
      <c r="G335" s="2" t="s">
        <v>14</v>
      </c>
      <c r="H335" s="2" t="str">
        <f>VLOOKUP(G335,Employees!A:E,2,FALSE)</f>
        <v>Fatima Sheikh</v>
      </c>
      <c r="I335" s="2" t="str">
        <f>VLOOKUP(E335,Products!A:F,3,FALSE)</f>
        <v>Electronics</v>
      </c>
      <c r="J335" s="2" t="s">
        <v>22</v>
      </c>
      <c r="K335" s="2">
        <f>VLOOKUP(E335,Products!A:F,5,FALSE)</f>
        <v>2184.5100000000002</v>
      </c>
      <c r="L335" s="2">
        <v>9</v>
      </c>
      <c r="M335" s="2">
        <v>0</v>
      </c>
      <c r="N335" s="2">
        <f t="shared" si="15"/>
        <v>19660.590000000004</v>
      </c>
      <c r="O335" s="2">
        <f t="shared" si="16"/>
        <v>19660.590000000004</v>
      </c>
      <c r="P335" s="2" t="s">
        <v>786</v>
      </c>
      <c r="Q335" s="2" t="s">
        <v>42</v>
      </c>
      <c r="R335" t="str">
        <f t="shared" si="17"/>
        <v/>
      </c>
    </row>
    <row r="336" spans="1:18" x14ac:dyDescent="0.3">
      <c r="A336" s="2" t="s">
        <v>787</v>
      </c>
      <c r="B336" s="5">
        <v>45620</v>
      </c>
      <c r="C336" s="2" t="s">
        <v>245</v>
      </c>
      <c r="D336" s="2" t="s">
        <v>1128</v>
      </c>
      <c r="E336" s="2" t="s">
        <v>389</v>
      </c>
      <c r="F336" s="2" t="str">
        <f>VLOOKUP(Orders!E334,Products!A:F,2,FALSE)</f>
        <v>Ceramic Mug Set</v>
      </c>
      <c r="G336" s="2" t="s">
        <v>82</v>
      </c>
      <c r="H336" s="2" t="str">
        <f>VLOOKUP(G336,Employees!A:E,2,FALSE)</f>
        <v>Priya Nair</v>
      </c>
      <c r="I336" s="2" t="str">
        <f>VLOOKUP(E336,Products!A:F,3,FALSE)</f>
        <v>Electronics</v>
      </c>
      <c r="J336" s="2" t="s">
        <v>15</v>
      </c>
      <c r="K336" s="2">
        <f>VLOOKUP(E336,Products!A:F,5,FALSE)</f>
        <v>991.59</v>
      </c>
      <c r="L336" s="2">
        <v>4</v>
      </c>
      <c r="M336" s="2">
        <v>0</v>
      </c>
      <c r="N336" s="2">
        <f t="shared" si="15"/>
        <v>3966.36</v>
      </c>
      <c r="O336" s="2">
        <f t="shared" si="16"/>
        <v>3966.36</v>
      </c>
      <c r="P336" s="2" t="s">
        <v>788</v>
      </c>
      <c r="Q336" s="2" t="s">
        <v>30</v>
      </c>
      <c r="R336" t="str">
        <f t="shared" si="17"/>
        <v/>
      </c>
    </row>
    <row r="337" spans="1:18" x14ac:dyDescent="0.3">
      <c r="A337" s="2" t="s">
        <v>789</v>
      </c>
      <c r="B337" s="5">
        <v>45599</v>
      </c>
      <c r="C337" s="2" t="s">
        <v>49</v>
      </c>
      <c r="D337" s="2" t="s">
        <v>1107</v>
      </c>
      <c r="E337" s="2" t="s">
        <v>111</v>
      </c>
      <c r="F337" s="2" t="str">
        <f>VLOOKUP(Orders!E335,Products!A:F,2,FALSE)</f>
        <v>Laptop Stand</v>
      </c>
      <c r="G337" s="2" t="s">
        <v>82</v>
      </c>
      <c r="H337" s="2" t="str">
        <f>VLOOKUP(G337,Employees!A:E,2,FALSE)</f>
        <v>Priya Nair</v>
      </c>
      <c r="I337" s="2" t="str">
        <f>VLOOKUP(E337,Products!A:F,3,FALSE)</f>
        <v>Toys</v>
      </c>
      <c r="J337" s="2" t="s">
        <v>15</v>
      </c>
      <c r="K337" s="2">
        <f>VLOOKUP(E337,Products!A:F,5,FALSE)</f>
        <v>4390.62</v>
      </c>
      <c r="L337" s="2">
        <v>5</v>
      </c>
      <c r="M337" s="2">
        <v>0</v>
      </c>
      <c r="N337" s="2">
        <f t="shared" si="15"/>
        <v>21953.1</v>
      </c>
      <c r="O337" s="2">
        <f t="shared" si="16"/>
        <v>21953.1</v>
      </c>
      <c r="P337" s="2" t="s">
        <v>391</v>
      </c>
      <c r="Q337" s="2" t="s">
        <v>30</v>
      </c>
      <c r="R337" t="str">
        <f t="shared" si="17"/>
        <v/>
      </c>
    </row>
    <row r="338" spans="1:18" x14ac:dyDescent="0.3">
      <c r="A338" s="2" t="s">
        <v>790</v>
      </c>
      <c r="B338" s="5">
        <v>45799</v>
      </c>
      <c r="C338" s="2" t="s">
        <v>605</v>
      </c>
      <c r="D338" s="2" t="s">
        <v>1023</v>
      </c>
      <c r="E338" s="2" t="s">
        <v>172</v>
      </c>
      <c r="F338" s="2" t="str">
        <f>VLOOKUP(Orders!E336,Products!A:F,2,FALSE)</f>
        <v>Bluetooth Speaker</v>
      </c>
      <c r="G338" s="2" t="s">
        <v>34</v>
      </c>
      <c r="H338" s="2" t="str">
        <f>VLOOKUP(G338,Employees!A:E,2,FALSE)</f>
        <v>Rohit Sinha</v>
      </c>
      <c r="I338" s="2" t="str">
        <f>VLOOKUP(E338,Products!A:F,3,FALSE)</f>
        <v>Home &amp; Kitchen</v>
      </c>
      <c r="J338" s="2" t="s">
        <v>22</v>
      </c>
      <c r="K338" s="2">
        <f>VLOOKUP(E338,Products!A:F,5,FALSE)</f>
        <v>2849.53</v>
      </c>
      <c r="L338" s="2">
        <v>1</v>
      </c>
      <c r="M338" s="2">
        <v>0</v>
      </c>
      <c r="N338" s="2">
        <f t="shared" si="15"/>
        <v>2849.53</v>
      </c>
      <c r="O338" s="2">
        <f t="shared" si="16"/>
        <v>2849.53</v>
      </c>
      <c r="P338" s="2" t="s">
        <v>579</v>
      </c>
      <c r="Q338" s="2" t="s">
        <v>30</v>
      </c>
      <c r="R338" t="str">
        <f t="shared" si="17"/>
        <v/>
      </c>
    </row>
    <row r="339" spans="1:18" x14ac:dyDescent="0.3">
      <c r="A339" s="2" t="s">
        <v>791</v>
      </c>
      <c r="B339" s="5">
        <v>45710</v>
      </c>
      <c r="C339" s="2" t="s">
        <v>171</v>
      </c>
      <c r="D339" s="2" t="s">
        <v>1010</v>
      </c>
      <c r="E339" s="2" t="s">
        <v>161</v>
      </c>
      <c r="F339" s="2" t="str">
        <f>VLOOKUP(Orders!E337,Products!A:F,2,FALSE)</f>
        <v>Action Figure</v>
      </c>
      <c r="G339" s="2" t="s">
        <v>34</v>
      </c>
      <c r="H339" s="2" t="str">
        <f>VLOOKUP(G339,Employees!A:E,2,FALSE)</f>
        <v>Rohit Sinha</v>
      </c>
      <c r="I339" s="2" t="str">
        <f>VLOOKUP(E339,Products!A:F,3,FALSE)</f>
        <v>Beauty</v>
      </c>
      <c r="J339" s="2" t="s">
        <v>15</v>
      </c>
      <c r="K339" s="2">
        <f>VLOOKUP(E339,Products!A:F,5,FALSE)</f>
        <v>1513.99</v>
      </c>
      <c r="L339" s="2">
        <v>3</v>
      </c>
      <c r="M339" s="2">
        <v>0</v>
      </c>
      <c r="N339" s="2">
        <f t="shared" si="15"/>
        <v>4541.97</v>
      </c>
      <c r="O339" s="2">
        <f t="shared" si="16"/>
        <v>4541.97</v>
      </c>
      <c r="P339" s="2" t="s">
        <v>792</v>
      </c>
      <c r="Q339" s="2" t="s">
        <v>42</v>
      </c>
      <c r="R339" t="str">
        <f t="shared" si="17"/>
        <v/>
      </c>
    </row>
    <row r="340" spans="1:18" x14ac:dyDescent="0.3">
      <c r="A340" s="2" t="s">
        <v>793</v>
      </c>
      <c r="B340" s="5">
        <v>45776</v>
      </c>
      <c r="C340" s="2" t="s">
        <v>234</v>
      </c>
      <c r="D340" s="2" t="s">
        <v>1127</v>
      </c>
      <c r="E340" s="2" t="s">
        <v>20</v>
      </c>
      <c r="F340" s="2" t="str">
        <f>VLOOKUP(Orders!E338,Products!A:F,2,FALSE)</f>
        <v>Ceramic Mug Set</v>
      </c>
      <c r="G340" s="2" t="s">
        <v>14</v>
      </c>
      <c r="H340" s="2" t="str">
        <f>VLOOKUP(G340,Employees!A:E,2,FALSE)</f>
        <v>Fatima Sheikh</v>
      </c>
      <c r="I340" s="2" t="str">
        <f>VLOOKUP(E340,Products!A:F,3,FALSE)</f>
        <v>Home &amp; Kitchen</v>
      </c>
      <c r="J340" s="2" t="s">
        <v>22</v>
      </c>
      <c r="K340" s="2">
        <f>VLOOKUP(E340,Products!A:F,5,FALSE)</f>
        <v>3772.12</v>
      </c>
      <c r="L340" s="2">
        <v>4</v>
      </c>
      <c r="M340" s="2">
        <v>0.2</v>
      </c>
      <c r="N340" s="2">
        <f t="shared" si="15"/>
        <v>15088.48</v>
      </c>
      <c r="O340" s="2">
        <f t="shared" si="16"/>
        <v>12070.784</v>
      </c>
      <c r="P340" s="2" t="s">
        <v>165</v>
      </c>
      <c r="Q340" s="2" t="s">
        <v>60</v>
      </c>
      <c r="R340" t="str">
        <f t="shared" si="17"/>
        <v/>
      </c>
    </row>
    <row r="341" spans="1:18" x14ac:dyDescent="0.3">
      <c r="A341" s="2" t="s">
        <v>794</v>
      </c>
      <c r="B341" s="5">
        <v>45766</v>
      </c>
      <c r="C341" s="2" t="s">
        <v>171</v>
      </c>
      <c r="D341" s="2" t="s">
        <v>1010</v>
      </c>
      <c r="E341" s="2" t="s">
        <v>20</v>
      </c>
      <c r="F341" s="2" t="str">
        <f>VLOOKUP(Orders!E339,Products!A:F,2,FALSE)</f>
        <v>Lipstick</v>
      </c>
      <c r="G341" s="2" t="s">
        <v>21</v>
      </c>
      <c r="H341" s="2" t="str">
        <f>VLOOKUP(G341,Employees!A:E,2,FALSE)</f>
        <v>Karan Mehta</v>
      </c>
      <c r="I341" s="2" t="str">
        <f>VLOOKUP(E341,Products!A:F,3,FALSE)</f>
        <v>Home &amp; Kitchen</v>
      </c>
      <c r="J341" s="2" t="s">
        <v>35</v>
      </c>
      <c r="K341" s="2">
        <f>VLOOKUP(E341,Products!A:F,5,FALSE)</f>
        <v>3772.12</v>
      </c>
      <c r="L341" s="2">
        <v>1</v>
      </c>
      <c r="M341" s="2">
        <v>0.1</v>
      </c>
      <c r="N341" s="2">
        <f t="shared" si="15"/>
        <v>3772.12</v>
      </c>
      <c r="O341" s="2">
        <f t="shared" si="16"/>
        <v>3394.9079999999999</v>
      </c>
      <c r="P341" s="2" t="s">
        <v>151</v>
      </c>
      <c r="Q341" s="2" t="s">
        <v>42</v>
      </c>
      <c r="R341" t="str">
        <f t="shared" si="17"/>
        <v/>
      </c>
    </row>
    <row r="342" spans="1:18" x14ac:dyDescent="0.3">
      <c r="A342" s="2" t="s">
        <v>795</v>
      </c>
      <c r="B342" s="5">
        <v>45834</v>
      </c>
      <c r="C342" s="2" t="s">
        <v>462</v>
      </c>
      <c r="D342" s="2" t="s">
        <v>1137</v>
      </c>
      <c r="E342" s="2" t="s">
        <v>254</v>
      </c>
      <c r="F342" s="2" t="str">
        <f>VLOOKUP(Orders!E340,Products!A:F,2,FALSE)</f>
        <v>LED Lamp</v>
      </c>
      <c r="G342" s="2" t="s">
        <v>14</v>
      </c>
      <c r="H342" s="2" t="str">
        <f>VLOOKUP(G342,Employees!A:E,2,FALSE)</f>
        <v>Fatima Sheikh</v>
      </c>
      <c r="I342" s="2" t="str">
        <f>VLOOKUP(E342,Products!A:F,3,FALSE)</f>
        <v>Books</v>
      </c>
      <c r="J342" s="2" t="s">
        <v>22</v>
      </c>
      <c r="K342" s="2">
        <f>VLOOKUP(E342,Products!A:F,5,FALSE)</f>
        <v>605.26</v>
      </c>
      <c r="L342" s="2">
        <v>3</v>
      </c>
      <c r="M342" s="2">
        <v>0.05</v>
      </c>
      <c r="N342" s="2">
        <f t="shared" si="15"/>
        <v>1815.78</v>
      </c>
      <c r="O342" s="2">
        <f t="shared" si="16"/>
        <v>1724.991</v>
      </c>
      <c r="P342" s="2" t="s">
        <v>548</v>
      </c>
      <c r="Q342" s="2" t="s">
        <v>60</v>
      </c>
      <c r="R342" t="str">
        <f t="shared" si="17"/>
        <v/>
      </c>
    </row>
    <row r="343" spans="1:18" x14ac:dyDescent="0.3">
      <c r="A343" s="2" t="s">
        <v>796</v>
      </c>
      <c r="B343" s="5">
        <v>45630</v>
      </c>
      <c r="C343" s="2" t="s">
        <v>168</v>
      </c>
      <c r="D343" s="2" t="s">
        <v>1119</v>
      </c>
      <c r="E343" s="2" t="s">
        <v>206</v>
      </c>
      <c r="F343" s="2" t="str">
        <f>VLOOKUP(Orders!E341,Products!A:F,2,FALSE)</f>
        <v>LED Lamp</v>
      </c>
      <c r="G343" s="2" t="s">
        <v>45</v>
      </c>
      <c r="H343" s="2" t="str">
        <f>VLOOKUP(G343,Employees!A:E,2,FALSE)</f>
        <v>Rajesh Iyer</v>
      </c>
      <c r="I343" s="2" t="str">
        <f>VLOOKUP(E343,Products!A:F,3,FALSE)</f>
        <v>Electronics</v>
      </c>
      <c r="J343" s="2" t="s">
        <v>73</v>
      </c>
      <c r="K343" s="2">
        <f>VLOOKUP(E343,Products!A:F,5,FALSE)</f>
        <v>2779.58</v>
      </c>
      <c r="L343" s="2">
        <v>2</v>
      </c>
      <c r="M343" s="2">
        <v>0.05</v>
      </c>
      <c r="N343" s="2">
        <f t="shared" si="15"/>
        <v>5559.16</v>
      </c>
      <c r="O343" s="2">
        <f t="shared" si="16"/>
        <v>5281.2019999999993</v>
      </c>
      <c r="P343" s="2" t="s">
        <v>133</v>
      </c>
      <c r="Q343" s="2" t="s">
        <v>42</v>
      </c>
      <c r="R343" t="str">
        <f t="shared" si="17"/>
        <v/>
      </c>
    </row>
    <row r="344" spans="1:18" x14ac:dyDescent="0.3">
      <c r="A344" s="2" t="s">
        <v>1155</v>
      </c>
      <c r="B344" s="5">
        <v>45630</v>
      </c>
      <c r="C344" s="2" t="s">
        <v>168</v>
      </c>
      <c r="D344" s="2" t="s">
        <v>1119</v>
      </c>
      <c r="E344" s="2" t="s">
        <v>206</v>
      </c>
      <c r="F344" s="2" t="str">
        <f>VLOOKUP(Orders!E405,Products!A:F,2,FALSE)</f>
        <v>Comic Book</v>
      </c>
      <c r="G344" s="2" t="s">
        <v>45</v>
      </c>
      <c r="H344" s="2" t="str">
        <f>VLOOKUP(G344,Employees!A:E,2,FALSE)</f>
        <v>Rajesh Iyer</v>
      </c>
      <c r="I344" s="2" t="str">
        <f>VLOOKUP(E344,Products!A:F,3,FALSE)</f>
        <v>Electronics</v>
      </c>
      <c r="J344" s="2" t="s">
        <v>73</v>
      </c>
      <c r="K344" s="2">
        <f>VLOOKUP(E344,Products!A:F,5,FALSE)</f>
        <v>2779.58</v>
      </c>
      <c r="L344" s="2">
        <v>2</v>
      </c>
      <c r="M344" s="2">
        <v>0.05</v>
      </c>
      <c r="N344" s="2">
        <f t="shared" si="15"/>
        <v>5559.16</v>
      </c>
      <c r="O344" s="2">
        <f t="shared" si="16"/>
        <v>5281.2019999999993</v>
      </c>
      <c r="P344" s="2" t="s">
        <v>133</v>
      </c>
      <c r="Q344" s="2" t="s">
        <v>42</v>
      </c>
      <c r="R344" t="str">
        <f t="shared" si="17"/>
        <v/>
      </c>
    </row>
    <row r="345" spans="1:18" x14ac:dyDescent="0.3">
      <c r="A345" s="2" t="s">
        <v>797</v>
      </c>
      <c r="B345" s="5">
        <v>45487</v>
      </c>
      <c r="C345" s="2" t="s">
        <v>66</v>
      </c>
      <c r="D345" s="2" t="s">
        <v>1108</v>
      </c>
      <c r="E345" s="2" t="s">
        <v>389</v>
      </c>
      <c r="F345" s="2" t="str">
        <f>VLOOKUP(Orders!E342,Products!A:F,2,FALSE)</f>
        <v>Self-Help Book</v>
      </c>
      <c r="G345" s="2" t="s">
        <v>21</v>
      </c>
      <c r="H345" s="2" t="str">
        <f>VLOOKUP(G345,Employees!A:E,2,FALSE)</f>
        <v>Karan Mehta</v>
      </c>
      <c r="I345" s="2" t="str">
        <f>VLOOKUP(E345,Products!A:F,3,FALSE)</f>
        <v>Electronics</v>
      </c>
      <c r="J345" s="2" t="s">
        <v>73</v>
      </c>
      <c r="K345" s="2">
        <f>VLOOKUP(E345,Products!A:F,5,FALSE)</f>
        <v>991.59</v>
      </c>
      <c r="L345" s="2">
        <v>1</v>
      </c>
      <c r="M345" s="2">
        <v>0</v>
      </c>
      <c r="N345" s="2">
        <f t="shared" si="15"/>
        <v>991.59</v>
      </c>
      <c r="O345" s="2">
        <f t="shared" si="16"/>
        <v>991.59</v>
      </c>
      <c r="P345" s="2" t="s">
        <v>519</v>
      </c>
      <c r="Q345" s="2" t="s">
        <v>24</v>
      </c>
      <c r="R345" t="str">
        <f t="shared" si="17"/>
        <v/>
      </c>
    </row>
    <row r="346" spans="1:18" x14ac:dyDescent="0.3">
      <c r="A346" s="2" t="s">
        <v>798</v>
      </c>
      <c r="B346" s="5">
        <v>45484</v>
      </c>
      <c r="C346" s="2" t="s">
        <v>32</v>
      </c>
      <c r="D346" s="2" t="s">
        <v>1106</v>
      </c>
      <c r="E346" s="2" t="s">
        <v>121</v>
      </c>
      <c r="F346" s="2" t="str">
        <f>VLOOKUP(Orders!E343,Products!A:F,2,FALSE)</f>
        <v>Power Bank</v>
      </c>
      <c r="G346" s="2" t="s">
        <v>14</v>
      </c>
      <c r="H346" s="2" t="str">
        <f>VLOOKUP(G346,Employees!A:E,2,FALSE)</f>
        <v>Fatima Sheikh</v>
      </c>
      <c r="I346" s="2" t="str">
        <f>VLOOKUP(E346,Products!A:F,3,FALSE)</f>
        <v>Beauty</v>
      </c>
      <c r="J346" s="2" t="s">
        <v>15</v>
      </c>
      <c r="K346" s="2">
        <f>VLOOKUP(E346,Products!A:F,5,FALSE)</f>
        <v>3414.07</v>
      </c>
      <c r="L346" s="2">
        <v>10</v>
      </c>
      <c r="M346" s="2">
        <v>0.15</v>
      </c>
      <c r="N346" s="2">
        <f t="shared" si="15"/>
        <v>34140.700000000004</v>
      </c>
      <c r="O346" s="2">
        <f t="shared" si="16"/>
        <v>29019.595000000001</v>
      </c>
      <c r="P346" s="2" t="s">
        <v>655</v>
      </c>
      <c r="Q346" s="2" t="s">
        <v>30</v>
      </c>
      <c r="R346" t="str">
        <f t="shared" si="17"/>
        <v/>
      </c>
    </row>
    <row r="347" spans="1:18" x14ac:dyDescent="0.3">
      <c r="A347" s="2" t="s">
        <v>799</v>
      </c>
      <c r="B347" s="5">
        <v>45505</v>
      </c>
      <c r="C347" s="2" t="s">
        <v>311</v>
      </c>
      <c r="D347" s="2" t="s">
        <v>1132</v>
      </c>
      <c r="E347" s="2" t="s">
        <v>389</v>
      </c>
      <c r="F347" s="2" t="str">
        <f>VLOOKUP(Orders!E344,Products!A:F,2,FALSE)</f>
        <v>Power Bank</v>
      </c>
      <c r="G347" s="2" t="s">
        <v>45</v>
      </c>
      <c r="H347" s="2" t="str">
        <f>VLOOKUP(G347,Employees!A:E,2,FALSE)</f>
        <v>Rajesh Iyer</v>
      </c>
      <c r="I347" s="2" t="str">
        <f>VLOOKUP(E347,Products!A:F,3,FALSE)</f>
        <v>Electronics</v>
      </c>
      <c r="J347" s="2" t="s">
        <v>15</v>
      </c>
      <c r="K347" s="2">
        <f>VLOOKUP(E347,Products!A:F,5,FALSE)</f>
        <v>991.59</v>
      </c>
      <c r="L347" s="2">
        <v>6</v>
      </c>
      <c r="M347" s="2">
        <v>0</v>
      </c>
      <c r="N347" s="2">
        <f t="shared" si="15"/>
        <v>5949.54</v>
      </c>
      <c r="O347" s="2">
        <f t="shared" si="16"/>
        <v>5949.54</v>
      </c>
      <c r="P347" s="2" t="s">
        <v>800</v>
      </c>
      <c r="Q347" s="2" t="s">
        <v>60</v>
      </c>
      <c r="R347" t="str">
        <f t="shared" si="17"/>
        <v/>
      </c>
    </row>
    <row r="348" spans="1:18" x14ac:dyDescent="0.3">
      <c r="A348" s="2" t="s">
        <v>801</v>
      </c>
      <c r="B348" s="5">
        <v>45412</v>
      </c>
      <c r="C348" s="2" t="s">
        <v>134</v>
      </c>
      <c r="D348" s="2" t="s">
        <v>1047</v>
      </c>
      <c r="E348" s="2" t="s">
        <v>254</v>
      </c>
      <c r="F348" s="2" t="str">
        <f>VLOOKUP(Orders!E345,Products!A:F,2,FALSE)</f>
        <v>Bluetooth Speaker</v>
      </c>
      <c r="G348" s="2" t="s">
        <v>14</v>
      </c>
      <c r="H348" s="2" t="str">
        <f>VLOOKUP(G348,Employees!A:E,2,FALSE)</f>
        <v>Fatima Sheikh</v>
      </c>
      <c r="I348" s="2" t="str">
        <f>VLOOKUP(E348,Products!A:F,3,FALSE)</f>
        <v>Books</v>
      </c>
      <c r="J348" s="2" t="s">
        <v>15</v>
      </c>
      <c r="K348" s="2">
        <f>VLOOKUP(E348,Products!A:F,5,FALSE)</f>
        <v>605.26</v>
      </c>
      <c r="L348" s="2">
        <v>8</v>
      </c>
      <c r="M348" s="2">
        <v>0</v>
      </c>
      <c r="N348" s="2">
        <f t="shared" si="15"/>
        <v>4842.08</v>
      </c>
      <c r="O348" s="2">
        <f t="shared" si="16"/>
        <v>4842.08</v>
      </c>
      <c r="P348" s="2" t="s">
        <v>238</v>
      </c>
      <c r="Q348" s="2" t="s">
        <v>30</v>
      </c>
      <c r="R348" t="str">
        <f t="shared" si="17"/>
        <v/>
      </c>
    </row>
    <row r="349" spans="1:18" x14ac:dyDescent="0.3">
      <c r="A349" s="2" t="s">
        <v>802</v>
      </c>
      <c r="B349" s="5">
        <v>45537</v>
      </c>
      <c r="C349" s="2" t="s">
        <v>460</v>
      </c>
      <c r="D349" s="2" t="s">
        <v>1136</v>
      </c>
      <c r="E349" s="2" t="s">
        <v>465</v>
      </c>
      <c r="F349" s="2" t="str">
        <f>VLOOKUP(Orders!E346,Products!A:F,2,FALSE)</f>
        <v>Hair Serum</v>
      </c>
      <c r="G349" s="2" t="s">
        <v>14</v>
      </c>
      <c r="H349" s="2" t="str">
        <f>VLOOKUP(G349,Employees!A:E,2,FALSE)</f>
        <v>Fatima Sheikh</v>
      </c>
      <c r="I349" s="2" t="str">
        <f>VLOOKUP(E349,Products!A:F,3,FALSE)</f>
        <v>Beauty</v>
      </c>
      <c r="J349" s="2" t="s">
        <v>35</v>
      </c>
      <c r="K349" s="2">
        <f>VLOOKUP(E349,Products!A:F,5,FALSE)</f>
        <v>1140.8</v>
      </c>
      <c r="L349" s="2">
        <v>9</v>
      </c>
      <c r="M349" s="2">
        <v>0</v>
      </c>
      <c r="N349" s="2">
        <f t="shared" si="15"/>
        <v>10267.199999999999</v>
      </c>
      <c r="O349" s="2">
        <f t="shared" si="16"/>
        <v>10267.199999999999</v>
      </c>
      <c r="P349" s="2" t="s">
        <v>705</v>
      </c>
      <c r="Q349" s="2" t="s">
        <v>30</v>
      </c>
      <c r="R349" t="str">
        <f t="shared" si="17"/>
        <v/>
      </c>
    </row>
    <row r="350" spans="1:18" x14ac:dyDescent="0.3">
      <c r="A350" s="2" t="s">
        <v>803</v>
      </c>
      <c r="B350" s="5">
        <v>45659</v>
      </c>
      <c r="C350" s="2" t="s">
        <v>129</v>
      </c>
      <c r="D350" s="2" t="s">
        <v>1113</v>
      </c>
      <c r="E350" s="2" t="s">
        <v>54</v>
      </c>
      <c r="F350" s="2" t="str">
        <f>VLOOKUP(Orders!E347,Products!A:F,2,FALSE)</f>
        <v>Bluetooth Speaker</v>
      </c>
      <c r="G350" s="2" t="s">
        <v>45</v>
      </c>
      <c r="H350" s="2" t="str">
        <f>VLOOKUP(G350,Employees!A:E,2,FALSE)</f>
        <v>Rajesh Iyer</v>
      </c>
      <c r="I350" s="2" t="str">
        <f>VLOOKUP(E350,Products!A:F,3,FALSE)</f>
        <v>Clothing</v>
      </c>
      <c r="J350" s="2" t="s">
        <v>35</v>
      </c>
      <c r="K350" s="2">
        <f>VLOOKUP(E350,Products!A:F,5,FALSE)</f>
        <v>3929.31</v>
      </c>
      <c r="L350" s="2">
        <v>5</v>
      </c>
      <c r="M350" s="2">
        <v>0</v>
      </c>
      <c r="N350" s="2">
        <f t="shared" si="15"/>
        <v>19646.55</v>
      </c>
      <c r="O350" s="2">
        <f t="shared" si="16"/>
        <v>19646.55</v>
      </c>
      <c r="P350" s="2" t="s">
        <v>804</v>
      </c>
      <c r="Q350" s="2" t="s">
        <v>30</v>
      </c>
      <c r="R350" t="str">
        <f t="shared" si="17"/>
        <v/>
      </c>
    </row>
    <row r="351" spans="1:18" x14ac:dyDescent="0.3">
      <c r="A351" s="2" t="s">
        <v>805</v>
      </c>
      <c r="B351" s="5">
        <v>45392</v>
      </c>
      <c r="C351" s="2" t="s">
        <v>605</v>
      </c>
      <c r="D351" s="2" t="s">
        <v>1023</v>
      </c>
      <c r="E351" s="2" t="s">
        <v>13</v>
      </c>
      <c r="F351" s="2" t="str">
        <f>VLOOKUP(Orders!E348,Products!A:F,2,FALSE)</f>
        <v>Self-Help Book</v>
      </c>
      <c r="G351" s="2" t="s">
        <v>21</v>
      </c>
      <c r="H351" s="2" t="str">
        <f>VLOOKUP(G351,Employees!A:E,2,FALSE)</f>
        <v>Karan Mehta</v>
      </c>
      <c r="I351" s="2" t="str">
        <f>VLOOKUP(E351,Products!A:F,3,FALSE)</f>
        <v>Sports</v>
      </c>
      <c r="J351" s="2" t="s">
        <v>15</v>
      </c>
      <c r="K351" s="2">
        <f>VLOOKUP(E351,Products!A:F,5,FALSE)</f>
        <v>3493.54</v>
      </c>
      <c r="L351" s="2">
        <v>8</v>
      </c>
      <c r="M351" s="2">
        <v>0.2</v>
      </c>
      <c r="N351" s="2">
        <f t="shared" si="15"/>
        <v>27948.32</v>
      </c>
      <c r="O351" s="2">
        <f t="shared" si="16"/>
        <v>22358.656000000003</v>
      </c>
      <c r="P351" s="2" t="s">
        <v>604</v>
      </c>
      <c r="Q351" s="2" t="s">
        <v>17</v>
      </c>
      <c r="R351" t="str">
        <f t="shared" si="17"/>
        <v/>
      </c>
    </row>
    <row r="352" spans="1:18" x14ac:dyDescent="0.3">
      <c r="A352" s="2" t="s">
        <v>806</v>
      </c>
      <c r="B352" s="5">
        <v>45612</v>
      </c>
      <c r="C352" s="2" t="s">
        <v>476</v>
      </c>
      <c r="D352" s="2" t="s">
        <v>983</v>
      </c>
      <c r="E352" s="2" t="s">
        <v>304</v>
      </c>
      <c r="F352" s="2" t="str">
        <f>VLOOKUP(Orders!E349,Products!A:F,2,FALSE)</f>
        <v>Perfume</v>
      </c>
      <c r="G352" s="2" t="s">
        <v>14</v>
      </c>
      <c r="H352" s="2" t="str">
        <f>VLOOKUP(G352,Employees!A:E,2,FALSE)</f>
        <v>Fatima Sheikh</v>
      </c>
      <c r="I352" s="2" t="str">
        <f>VLOOKUP(E352,Products!A:F,3,FALSE)</f>
        <v>Clothing</v>
      </c>
      <c r="J352" s="2" t="s">
        <v>15</v>
      </c>
      <c r="K352" s="2">
        <f>VLOOKUP(E352,Products!A:F,5,FALSE)</f>
        <v>1498.91</v>
      </c>
      <c r="L352" s="2">
        <v>0</v>
      </c>
      <c r="M352" s="2">
        <v>0</v>
      </c>
      <c r="N352" s="2">
        <f t="shared" si="15"/>
        <v>0</v>
      </c>
      <c r="O352" s="2">
        <f t="shared" si="16"/>
        <v>0</v>
      </c>
      <c r="P352" s="2" t="s">
        <v>505</v>
      </c>
      <c r="Q352" s="2" t="s">
        <v>60</v>
      </c>
      <c r="R352" t="str">
        <f t="shared" si="17"/>
        <v>Missing Quantity</v>
      </c>
    </row>
    <row r="353" spans="1:18" x14ac:dyDescent="0.3">
      <c r="A353" s="2" t="s">
        <v>807</v>
      </c>
      <c r="B353" s="5">
        <v>45308</v>
      </c>
      <c r="C353" s="2" t="s">
        <v>605</v>
      </c>
      <c r="D353" s="2" t="s">
        <v>1023</v>
      </c>
      <c r="E353" s="2" t="s">
        <v>121</v>
      </c>
      <c r="F353" s="2" t="str">
        <f>VLOOKUP(Orders!E350,Products!A:F,2,FALSE)</f>
        <v>Hoodie</v>
      </c>
      <c r="G353" s="2" t="s">
        <v>82</v>
      </c>
      <c r="H353" s="2" t="str">
        <f>VLOOKUP(G353,Employees!A:E,2,FALSE)</f>
        <v>Priya Nair</v>
      </c>
      <c r="I353" s="2" t="str">
        <f>VLOOKUP(E353,Products!A:F,3,FALSE)</f>
        <v>Beauty</v>
      </c>
      <c r="J353" s="2" t="s">
        <v>35</v>
      </c>
      <c r="K353" s="2">
        <f>VLOOKUP(E353,Products!A:F,5,FALSE)</f>
        <v>3414.07</v>
      </c>
      <c r="L353" s="2">
        <v>5</v>
      </c>
      <c r="M353" s="2">
        <v>0.1</v>
      </c>
      <c r="N353" s="2">
        <f t="shared" si="15"/>
        <v>17070.350000000002</v>
      </c>
      <c r="O353" s="2">
        <f t="shared" si="16"/>
        <v>15363.315000000002</v>
      </c>
      <c r="P353" s="2" t="s">
        <v>478</v>
      </c>
      <c r="Q353" s="2" t="s">
        <v>17</v>
      </c>
      <c r="R353" t="str">
        <f t="shared" si="17"/>
        <v/>
      </c>
    </row>
    <row r="354" spans="1:18" x14ac:dyDescent="0.3">
      <c r="A354" s="2" t="s">
        <v>808</v>
      </c>
      <c r="B354" s="5">
        <v>45448</v>
      </c>
      <c r="C354" s="2" t="s">
        <v>53</v>
      </c>
      <c r="D354" s="2" t="s">
        <v>1047</v>
      </c>
      <c r="E354" s="2" t="s">
        <v>13</v>
      </c>
      <c r="F354" s="2" t="str">
        <f>VLOOKUP(Orders!E351,Products!A:F,2,FALSE)</f>
        <v>Football</v>
      </c>
      <c r="G354" s="2" t="s">
        <v>14</v>
      </c>
      <c r="H354" s="2" t="str">
        <f>VLOOKUP(G354,Employees!A:E,2,FALSE)</f>
        <v>Fatima Sheikh</v>
      </c>
      <c r="I354" s="2" t="str">
        <f>VLOOKUP(E354,Products!A:F,3,FALSE)</f>
        <v>Sports</v>
      </c>
      <c r="J354" s="2" t="s">
        <v>35</v>
      </c>
      <c r="K354" s="2">
        <f>VLOOKUP(E354,Products!A:F,5,FALSE)</f>
        <v>3493.54</v>
      </c>
      <c r="L354" s="2">
        <v>4</v>
      </c>
      <c r="M354" s="2">
        <v>0</v>
      </c>
      <c r="N354" s="2">
        <f t="shared" si="15"/>
        <v>13974.16</v>
      </c>
      <c r="O354" s="2">
        <f t="shared" si="16"/>
        <v>13974.16</v>
      </c>
      <c r="P354" s="2" t="s">
        <v>266</v>
      </c>
      <c r="Q354" s="2" t="s">
        <v>42</v>
      </c>
      <c r="R354" t="str">
        <f t="shared" si="17"/>
        <v/>
      </c>
    </row>
    <row r="355" spans="1:18" x14ac:dyDescent="0.3">
      <c r="A355" s="2" t="s">
        <v>809</v>
      </c>
      <c r="B355" s="5">
        <v>45543</v>
      </c>
      <c r="C355" s="2" t="s">
        <v>80</v>
      </c>
      <c r="D355" s="2" t="s">
        <v>1109</v>
      </c>
      <c r="E355" s="2" t="s">
        <v>377</v>
      </c>
      <c r="F355" s="2" t="str">
        <f>VLOOKUP(Orders!E352,Products!A:F,2,FALSE)</f>
        <v>Denim Jeans</v>
      </c>
      <c r="G355" s="2" t="s">
        <v>82</v>
      </c>
      <c r="H355" s="2" t="str">
        <f>VLOOKUP(G355,Employees!A:E,2,FALSE)</f>
        <v>Priya Nair</v>
      </c>
      <c r="I355" s="2" t="str">
        <f>VLOOKUP(E355,Products!A:F,3,FALSE)</f>
        <v>Sports</v>
      </c>
      <c r="J355" s="2" t="s">
        <v>22</v>
      </c>
      <c r="K355" s="2">
        <f>VLOOKUP(E355,Products!A:F,5,FALSE)</f>
        <v>4703.04</v>
      </c>
      <c r="L355" s="2">
        <v>8</v>
      </c>
      <c r="M355" s="2">
        <v>0.1</v>
      </c>
      <c r="N355" s="2">
        <f t="shared" si="15"/>
        <v>37624.32</v>
      </c>
      <c r="O355" s="2">
        <f t="shared" si="16"/>
        <v>33861.887999999999</v>
      </c>
      <c r="P355" s="2" t="s">
        <v>225</v>
      </c>
      <c r="Q355" s="2" t="s">
        <v>30</v>
      </c>
      <c r="R355" t="str">
        <f t="shared" si="17"/>
        <v/>
      </c>
    </row>
    <row r="356" spans="1:18" x14ac:dyDescent="0.3">
      <c r="A356" s="2" t="s">
        <v>811</v>
      </c>
      <c r="B356" s="5">
        <v>45794</v>
      </c>
      <c r="C356" s="2" t="s">
        <v>152</v>
      </c>
      <c r="D356" s="2" t="s">
        <v>944</v>
      </c>
      <c r="E356" s="2" t="s">
        <v>67</v>
      </c>
      <c r="F356" s="2" t="str">
        <f>VLOOKUP(Orders!E353,Products!A:F,2,FALSE)</f>
        <v>Hair Serum</v>
      </c>
      <c r="G356" s="2" t="s">
        <v>45</v>
      </c>
      <c r="H356" s="2" t="str">
        <f>VLOOKUP(G356,Employees!A:E,2,FALSE)</f>
        <v>Rajesh Iyer</v>
      </c>
      <c r="I356" s="2" t="str">
        <f>VLOOKUP(E356,Products!A:F,3,FALSE)</f>
        <v>Toys</v>
      </c>
      <c r="J356" s="2" t="s">
        <v>15</v>
      </c>
      <c r="K356" s="2">
        <f>VLOOKUP(E356,Products!A:F,5,FALSE)</f>
        <v>3205.14</v>
      </c>
      <c r="L356" s="2">
        <v>8</v>
      </c>
      <c r="M356" s="2">
        <v>0</v>
      </c>
      <c r="N356" s="2">
        <f t="shared" si="15"/>
        <v>25641.119999999999</v>
      </c>
      <c r="O356" s="2">
        <f t="shared" si="16"/>
        <v>25641.119999999999</v>
      </c>
      <c r="P356" s="2" t="s">
        <v>386</v>
      </c>
      <c r="Q356" s="2" t="s">
        <v>60</v>
      </c>
      <c r="R356" t="str">
        <f t="shared" si="17"/>
        <v/>
      </c>
    </row>
    <row r="357" spans="1:18" x14ac:dyDescent="0.3">
      <c r="A357" s="2" t="s">
        <v>812</v>
      </c>
      <c r="B357" s="5">
        <v>45792</v>
      </c>
      <c r="C357" s="2" t="s">
        <v>291</v>
      </c>
      <c r="D357" s="2" t="s">
        <v>1131</v>
      </c>
      <c r="E357" s="2" t="s">
        <v>77</v>
      </c>
      <c r="F357" s="2" t="str">
        <f>VLOOKUP(Orders!E354,Products!A:F,2,FALSE)</f>
        <v>Football</v>
      </c>
      <c r="G357" s="2" t="s">
        <v>14</v>
      </c>
      <c r="H357" s="2" t="str">
        <f>VLOOKUP(G357,Employees!A:E,2,FALSE)</f>
        <v>Fatima Sheikh</v>
      </c>
      <c r="I357" s="2" t="str">
        <f>VLOOKUP(E357,Products!A:F,3,FALSE)</f>
        <v>Electronics</v>
      </c>
      <c r="J357" s="2" t="s">
        <v>73</v>
      </c>
      <c r="K357" s="2">
        <f>VLOOKUP(E357,Products!A:F,5,FALSE)</f>
        <v>3550.89</v>
      </c>
      <c r="L357" s="2">
        <v>3</v>
      </c>
      <c r="M357" s="2">
        <v>0.1</v>
      </c>
      <c r="N357" s="2">
        <f t="shared" si="15"/>
        <v>10652.67</v>
      </c>
      <c r="O357" s="2">
        <f t="shared" si="16"/>
        <v>9587.4030000000002</v>
      </c>
      <c r="P357" s="2" t="s">
        <v>662</v>
      </c>
      <c r="Q357" s="2" t="s">
        <v>24</v>
      </c>
      <c r="R357" t="str">
        <f t="shared" si="17"/>
        <v/>
      </c>
    </row>
    <row r="358" spans="1:18" x14ac:dyDescent="0.3">
      <c r="A358" s="2" t="s">
        <v>814</v>
      </c>
      <c r="B358" s="5">
        <v>45341</v>
      </c>
      <c r="C358" s="2" t="s">
        <v>245</v>
      </c>
      <c r="D358" s="2" t="s">
        <v>1128</v>
      </c>
      <c r="E358" s="2" t="s">
        <v>72</v>
      </c>
      <c r="F358" s="2" t="str">
        <f>VLOOKUP(Orders!E355,Products!A:F,2,FALSE)</f>
        <v>Yoga Mat</v>
      </c>
      <c r="G358" s="2" t="s">
        <v>21</v>
      </c>
      <c r="H358" s="2" t="str">
        <f>VLOOKUP(G358,Employees!A:E,2,FALSE)</f>
        <v>Karan Mehta</v>
      </c>
      <c r="I358" s="2" t="str">
        <f>VLOOKUP(E358,Products!A:F,3,FALSE)</f>
        <v>Books</v>
      </c>
      <c r="J358" s="2" t="s">
        <v>15</v>
      </c>
      <c r="K358" s="2">
        <f>VLOOKUP(E358,Products!A:F,5,FALSE)</f>
        <v>2316.1999999999998</v>
      </c>
      <c r="L358" s="2">
        <v>1</v>
      </c>
      <c r="M358" s="2">
        <v>0.05</v>
      </c>
      <c r="N358" s="2">
        <f t="shared" si="15"/>
        <v>2316.1999999999998</v>
      </c>
      <c r="O358" s="2">
        <f t="shared" si="16"/>
        <v>2200.39</v>
      </c>
      <c r="P358" s="2" t="s">
        <v>815</v>
      </c>
      <c r="Q358" s="2" t="s">
        <v>24</v>
      </c>
      <c r="R358" t="str">
        <f t="shared" si="17"/>
        <v/>
      </c>
    </row>
    <row r="359" spans="1:18" x14ac:dyDescent="0.3">
      <c r="A359" s="2" t="s">
        <v>816</v>
      </c>
      <c r="B359" s="5">
        <v>45446</v>
      </c>
      <c r="C359" s="2" t="s">
        <v>590</v>
      </c>
      <c r="D359" s="2" t="s">
        <v>1140</v>
      </c>
      <c r="E359" s="2" t="s">
        <v>454</v>
      </c>
      <c r="F359" s="2" t="str">
        <f>VLOOKUP(Orders!E356,Products!A:F,2,FALSE)</f>
        <v>Remote Car</v>
      </c>
      <c r="G359" s="2" t="s">
        <v>45</v>
      </c>
      <c r="H359" s="2" t="str">
        <f>VLOOKUP(G359,Employees!A:E,2,FALSE)</f>
        <v>Rajesh Iyer</v>
      </c>
      <c r="I359" s="2" t="str">
        <f>VLOOKUP(E359,Products!A:F,3,FALSE)</f>
        <v>Books</v>
      </c>
      <c r="J359" s="2" t="s">
        <v>35</v>
      </c>
      <c r="K359" s="2">
        <f>VLOOKUP(E359,Products!A:F,5,FALSE)</f>
        <v>1253.57</v>
      </c>
      <c r="L359" s="2">
        <v>1</v>
      </c>
      <c r="M359" s="2">
        <v>0</v>
      </c>
      <c r="N359" s="2">
        <f t="shared" si="15"/>
        <v>1253.57</v>
      </c>
      <c r="O359" s="2">
        <f t="shared" si="16"/>
        <v>1253.57</v>
      </c>
      <c r="P359" s="2" t="s">
        <v>353</v>
      </c>
      <c r="Q359" s="2" t="s">
        <v>17</v>
      </c>
      <c r="R359" t="str">
        <f t="shared" si="17"/>
        <v/>
      </c>
    </row>
    <row r="360" spans="1:18" x14ac:dyDescent="0.3">
      <c r="A360" s="2" t="s">
        <v>817</v>
      </c>
      <c r="B360" s="5">
        <v>45353</v>
      </c>
      <c r="C360" s="2" t="s">
        <v>141</v>
      </c>
      <c r="D360" s="2" t="s">
        <v>1115</v>
      </c>
      <c r="E360" s="2" t="s">
        <v>260</v>
      </c>
      <c r="F360" s="2" t="str">
        <f>VLOOKUP(Orders!E357,Products!A:F,2,FALSE)</f>
        <v>USB-C Charger</v>
      </c>
      <c r="G360" s="2" t="s">
        <v>82</v>
      </c>
      <c r="H360" s="2" t="str">
        <f>VLOOKUP(G360,Employees!A:E,2,FALSE)</f>
        <v>Priya Nair</v>
      </c>
      <c r="I360" s="2" t="str">
        <f>VLOOKUP(E360,Products!A:F,3,FALSE)</f>
        <v>Home &amp; Kitchen</v>
      </c>
      <c r="J360" s="2" t="s">
        <v>35</v>
      </c>
      <c r="K360" s="2">
        <f>VLOOKUP(E360,Products!A:F,5,FALSE)</f>
        <v>3981.64</v>
      </c>
      <c r="L360" s="2">
        <v>10</v>
      </c>
      <c r="M360" s="2">
        <v>0.15</v>
      </c>
      <c r="N360" s="2">
        <f t="shared" si="15"/>
        <v>39816.400000000001</v>
      </c>
      <c r="O360" s="2">
        <f t="shared" si="16"/>
        <v>33843.94</v>
      </c>
      <c r="P360" s="2" t="s">
        <v>818</v>
      </c>
      <c r="Q360" s="2" t="s">
        <v>30</v>
      </c>
      <c r="R360" t="str">
        <f t="shared" si="17"/>
        <v/>
      </c>
    </row>
    <row r="361" spans="1:18" x14ac:dyDescent="0.3">
      <c r="A361" s="2" t="s">
        <v>819</v>
      </c>
      <c r="B361" s="5">
        <v>45308</v>
      </c>
      <c r="C361" s="2" t="s">
        <v>311</v>
      </c>
      <c r="D361" s="2" t="s">
        <v>1132</v>
      </c>
      <c r="E361" s="2" t="s">
        <v>40</v>
      </c>
      <c r="F361" s="2" t="str">
        <f>VLOOKUP(Orders!E358,Products!A:F,2,FALSE)</f>
        <v>Cookbook</v>
      </c>
      <c r="G361" s="2" t="s">
        <v>82</v>
      </c>
      <c r="H361" s="2" t="str">
        <f>VLOOKUP(G361,Employees!A:E,2,FALSE)</f>
        <v>Priya Nair</v>
      </c>
      <c r="I361" s="2" t="str">
        <f>VLOOKUP(E361,Products!A:F,3,FALSE)</f>
        <v>Toys</v>
      </c>
      <c r="J361" s="2" t="s">
        <v>35</v>
      </c>
      <c r="K361" s="2">
        <f>VLOOKUP(E361,Products!A:F,5,FALSE)</f>
        <v>136.91</v>
      </c>
      <c r="L361" s="2">
        <v>1</v>
      </c>
      <c r="M361" s="2">
        <v>0.1</v>
      </c>
      <c r="N361" s="2">
        <f t="shared" si="15"/>
        <v>136.91</v>
      </c>
      <c r="O361" s="2">
        <f t="shared" si="16"/>
        <v>123.21899999999999</v>
      </c>
      <c r="P361" s="2" t="s">
        <v>820</v>
      </c>
      <c r="Q361" s="2" t="s">
        <v>24</v>
      </c>
      <c r="R361" t="str">
        <f t="shared" si="17"/>
        <v/>
      </c>
    </row>
    <row r="362" spans="1:18" x14ac:dyDescent="0.3">
      <c r="A362" s="2" t="s">
        <v>821</v>
      </c>
      <c r="B362" s="5">
        <v>45309</v>
      </c>
      <c r="C362" s="2" t="s">
        <v>202</v>
      </c>
      <c r="D362" s="2" t="s">
        <v>1124</v>
      </c>
      <c r="E362" s="2" t="s">
        <v>20</v>
      </c>
      <c r="F362" s="2" t="str">
        <f>VLOOKUP(Orders!E359,Products!A:F,2,FALSE)</f>
        <v>Comic Book</v>
      </c>
      <c r="G362" s="2" t="s">
        <v>34</v>
      </c>
      <c r="H362" s="2" t="str">
        <f>VLOOKUP(G362,Employees!A:E,2,FALSE)</f>
        <v>Rohit Sinha</v>
      </c>
      <c r="I362" s="2" t="str">
        <f>VLOOKUP(E362,Products!A:F,3,FALSE)</f>
        <v>Home &amp; Kitchen</v>
      </c>
      <c r="J362" s="2" t="s">
        <v>22</v>
      </c>
      <c r="K362" s="2">
        <f>VLOOKUP(E362,Products!A:F,5,FALSE)</f>
        <v>3772.12</v>
      </c>
      <c r="L362" s="2">
        <v>9</v>
      </c>
      <c r="M362" s="2">
        <v>0.15</v>
      </c>
      <c r="N362" s="2">
        <f t="shared" si="15"/>
        <v>33949.08</v>
      </c>
      <c r="O362" s="2">
        <f t="shared" si="16"/>
        <v>28856.718000000001</v>
      </c>
      <c r="P362" s="2" t="s">
        <v>383</v>
      </c>
      <c r="Q362" s="2" t="s">
        <v>24</v>
      </c>
      <c r="R362" t="str">
        <f t="shared" si="17"/>
        <v/>
      </c>
    </row>
    <row r="363" spans="1:18" x14ac:dyDescent="0.3">
      <c r="A363" s="2" t="s">
        <v>823</v>
      </c>
      <c r="B363" s="5">
        <v>45806</v>
      </c>
      <c r="C363" s="2" t="s">
        <v>392</v>
      </c>
      <c r="D363" s="2" t="s">
        <v>1134</v>
      </c>
      <c r="E363" s="2" t="s">
        <v>172</v>
      </c>
      <c r="F363" s="2" t="str">
        <f>VLOOKUP(Orders!E360,Products!A:F,2,FALSE)</f>
        <v>Non-stick Pan</v>
      </c>
      <c r="G363" s="2" t="s">
        <v>45</v>
      </c>
      <c r="H363" s="2" t="str">
        <f>VLOOKUP(G363,Employees!A:E,2,FALSE)</f>
        <v>Rajesh Iyer</v>
      </c>
      <c r="I363" s="2" t="str">
        <f>VLOOKUP(E363,Products!A:F,3,FALSE)</f>
        <v>Home &amp; Kitchen</v>
      </c>
      <c r="J363" s="2" t="s">
        <v>73</v>
      </c>
      <c r="K363" s="2">
        <f>VLOOKUP(E363,Products!A:F,5,FALSE)</f>
        <v>2849.53</v>
      </c>
      <c r="L363" s="2">
        <v>7</v>
      </c>
      <c r="M363" s="2">
        <v>0.2</v>
      </c>
      <c r="N363" s="2">
        <f t="shared" si="15"/>
        <v>19946.710000000003</v>
      </c>
      <c r="O363" s="2">
        <f t="shared" si="16"/>
        <v>15957.368000000002</v>
      </c>
      <c r="P363" s="2" t="s">
        <v>824</v>
      </c>
      <c r="Q363" s="2" t="s">
        <v>24</v>
      </c>
      <c r="R363" t="str">
        <f t="shared" si="17"/>
        <v/>
      </c>
    </row>
    <row r="364" spans="1:18" x14ac:dyDescent="0.3">
      <c r="A364" s="2" t="s">
        <v>825</v>
      </c>
      <c r="B364" s="5">
        <v>45828</v>
      </c>
      <c r="C364" s="2" t="s">
        <v>214</v>
      </c>
      <c r="D364" s="2" t="s">
        <v>1125</v>
      </c>
      <c r="E364" s="2" t="s">
        <v>304</v>
      </c>
      <c r="F364" s="2" t="str">
        <f>VLOOKUP(Orders!E361,Products!A:F,2,FALSE)</f>
        <v>Board Game</v>
      </c>
      <c r="G364" s="2" t="s">
        <v>34</v>
      </c>
      <c r="H364" s="2" t="str">
        <f>VLOOKUP(G364,Employees!A:E,2,FALSE)</f>
        <v>Rohit Sinha</v>
      </c>
      <c r="I364" s="2" t="str">
        <f>VLOOKUP(E364,Products!A:F,3,FALSE)</f>
        <v>Clothing</v>
      </c>
      <c r="J364" s="2" t="s">
        <v>22</v>
      </c>
      <c r="K364" s="2">
        <f>VLOOKUP(E364,Products!A:F,5,FALSE)</f>
        <v>1498.91</v>
      </c>
      <c r="L364" s="2">
        <v>3</v>
      </c>
      <c r="M364" s="2">
        <v>0</v>
      </c>
      <c r="N364" s="2">
        <f t="shared" si="15"/>
        <v>4496.7300000000005</v>
      </c>
      <c r="O364" s="2">
        <f t="shared" si="16"/>
        <v>4496.7300000000005</v>
      </c>
      <c r="P364" s="2" t="s">
        <v>568</v>
      </c>
      <c r="Q364" s="2" t="s">
        <v>17</v>
      </c>
      <c r="R364" t="str">
        <f t="shared" si="17"/>
        <v/>
      </c>
    </row>
    <row r="365" spans="1:18" x14ac:dyDescent="0.3">
      <c r="A365" s="2" t="s">
        <v>826</v>
      </c>
      <c r="B365" s="5">
        <v>45565</v>
      </c>
      <c r="C365" s="2" t="s">
        <v>53</v>
      </c>
      <c r="D365" s="2" t="s">
        <v>1047</v>
      </c>
      <c r="E365" s="2" t="s">
        <v>90</v>
      </c>
      <c r="F365" s="2" t="str">
        <f>VLOOKUP(Orders!E362,Products!A:F,2,FALSE)</f>
        <v>LED Lamp</v>
      </c>
      <c r="G365" s="2" t="s">
        <v>82</v>
      </c>
      <c r="H365" s="2" t="str">
        <f>VLOOKUP(G365,Employees!A:E,2,FALSE)</f>
        <v>Priya Nair</v>
      </c>
      <c r="I365" s="2" t="str">
        <f>VLOOKUP(E365,Products!A:F,3,FALSE)</f>
        <v>Beauty</v>
      </c>
      <c r="J365" s="2" t="s">
        <v>35</v>
      </c>
      <c r="K365" s="2">
        <f>VLOOKUP(E365,Products!A:F,5,FALSE)</f>
        <v>928.72</v>
      </c>
      <c r="L365" s="2">
        <v>7</v>
      </c>
      <c r="M365" s="2">
        <v>0</v>
      </c>
      <c r="N365" s="2">
        <f t="shared" si="15"/>
        <v>6501.04</v>
      </c>
      <c r="O365" s="2">
        <f t="shared" si="16"/>
        <v>6501.04</v>
      </c>
      <c r="P365" s="2" t="s">
        <v>480</v>
      </c>
      <c r="Q365" s="2" t="s">
        <v>30</v>
      </c>
      <c r="R365" t="str">
        <f t="shared" si="17"/>
        <v/>
      </c>
    </row>
    <row r="366" spans="1:18" x14ac:dyDescent="0.3">
      <c r="A366" s="2" t="s">
        <v>827</v>
      </c>
      <c r="B366" s="5">
        <v>45541</v>
      </c>
      <c r="C366" s="2" t="s">
        <v>110</v>
      </c>
      <c r="D366" s="2" t="s">
        <v>983</v>
      </c>
      <c r="E366" s="2" t="s">
        <v>148</v>
      </c>
      <c r="F366" s="2" t="str">
        <f>VLOOKUP(Orders!E363,Products!A:F,2,FALSE)</f>
        <v>Ceramic Mug Set</v>
      </c>
      <c r="G366" s="2" t="s">
        <v>82</v>
      </c>
      <c r="H366" s="2" t="str">
        <f>VLOOKUP(G366,Employees!A:E,2,FALSE)</f>
        <v>Priya Nair</v>
      </c>
      <c r="I366" s="2" t="str">
        <f>VLOOKUP(E366,Products!A:F,3,FALSE)</f>
        <v>Grocery</v>
      </c>
      <c r="J366" s="2" t="s">
        <v>73</v>
      </c>
      <c r="K366" s="2">
        <f>VLOOKUP(E366,Products!A:F,5,FALSE)</f>
        <v>3576.75</v>
      </c>
      <c r="L366" s="2">
        <v>4</v>
      </c>
      <c r="M366" s="2">
        <v>0</v>
      </c>
      <c r="N366" s="2">
        <f t="shared" si="15"/>
        <v>14307</v>
      </c>
      <c r="O366" s="2">
        <f t="shared" si="16"/>
        <v>14307</v>
      </c>
      <c r="P366" s="2" t="s">
        <v>810</v>
      </c>
      <c r="Q366" s="2" t="s">
        <v>24</v>
      </c>
      <c r="R366" t="str">
        <f t="shared" si="17"/>
        <v/>
      </c>
    </row>
    <row r="367" spans="1:18" x14ac:dyDescent="0.3">
      <c r="A367" s="2" t="s">
        <v>828</v>
      </c>
      <c r="B367" s="5">
        <v>45707</v>
      </c>
      <c r="C367" s="2" t="s">
        <v>690</v>
      </c>
      <c r="D367" s="2" t="s">
        <v>1142</v>
      </c>
      <c r="E367" s="2" t="s">
        <v>77</v>
      </c>
      <c r="F367" s="2" t="str">
        <f>VLOOKUP(Orders!E364,Products!A:F,2,FALSE)</f>
        <v>Denim Jeans</v>
      </c>
      <c r="G367" s="2" t="s">
        <v>82</v>
      </c>
      <c r="H367" s="2" t="str">
        <f>VLOOKUP(G367,Employees!A:E,2,FALSE)</f>
        <v>Priya Nair</v>
      </c>
      <c r="I367" s="2" t="str">
        <f>VLOOKUP(E367,Products!A:F,3,FALSE)</f>
        <v>Electronics</v>
      </c>
      <c r="J367" s="2" t="s">
        <v>35</v>
      </c>
      <c r="K367" s="2">
        <f>VLOOKUP(E367,Products!A:F,5,FALSE)</f>
        <v>3550.89</v>
      </c>
      <c r="L367" s="2">
        <v>7</v>
      </c>
      <c r="M367" s="2">
        <v>0.05</v>
      </c>
      <c r="N367" s="2">
        <f t="shared" si="15"/>
        <v>24856.23</v>
      </c>
      <c r="O367" s="2">
        <f t="shared" si="16"/>
        <v>23613.4185</v>
      </c>
      <c r="P367" s="2" t="s">
        <v>109</v>
      </c>
      <c r="Q367" s="2" t="s">
        <v>24</v>
      </c>
      <c r="R367" t="str">
        <f t="shared" si="17"/>
        <v/>
      </c>
    </row>
    <row r="368" spans="1:18" x14ac:dyDescent="0.3">
      <c r="A368" s="2" t="s">
        <v>829</v>
      </c>
      <c r="B368" s="5">
        <v>45301</v>
      </c>
      <c r="C368" s="2" t="s">
        <v>690</v>
      </c>
      <c r="D368" s="2" t="s">
        <v>1142</v>
      </c>
      <c r="E368" s="2" t="s">
        <v>28</v>
      </c>
      <c r="F368" s="2" t="str">
        <f>VLOOKUP(Orders!E365,Products!A:F,2,FALSE)</f>
        <v>Face Wash</v>
      </c>
      <c r="G368" s="2" t="s">
        <v>34</v>
      </c>
      <c r="H368" s="2" t="str">
        <f>VLOOKUP(G368,Employees!A:E,2,FALSE)</f>
        <v>Rohit Sinha</v>
      </c>
      <c r="I368" s="2" t="str">
        <f>VLOOKUP(E368,Products!A:F,3,FALSE)</f>
        <v>Home &amp; Kitchen</v>
      </c>
      <c r="J368" s="2" t="s">
        <v>35</v>
      </c>
      <c r="K368" s="2">
        <f>VLOOKUP(E368,Products!A:F,5,FALSE)</f>
        <v>733.33</v>
      </c>
      <c r="L368" s="2">
        <v>3</v>
      </c>
      <c r="M368" s="2">
        <v>0</v>
      </c>
      <c r="N368" s="2">
        <f t="shared" si="15"/>
        <v>2199.9900000000002</v>
      </c>
      <c r="O368" s="2">
        <f t="shared" si="16"/>
        <v>2199.9900000000002</v>
      </c>
      <c r="P368" s="2" t="s">
        <v>822</v>
      </c>
      <c r="Q368" s="2" t="s">
        <v>17</v>
      </c>
      <c r="R368" t="str">
        <f t="shared" si="17"/>
        <v/>
      </c>
    </row>
    <row r="369" spans="1:18" x14ac:dyDescent="0.3">
      <c r="A369" s="2" t="s">
        <v>830</v>
      </c>
      <c r="B369" s="5">
        <v>45389</v>
      </c>
      <c r="C369" s="2" t="s">
        <v>311</v>
      </c>
      <c r="D369" s="2" t="s">
        <v>1132</v>
      </c>
      <c r="E369" s="2" t="s">
        <v>81</v>
      </c>
      <c r="F369" s="2" t="str">
        <f>VLOOKUP(Orders!E366,Products!A:F,2,FALSE)</f>
        <v>Green Tea Pack</v>
      </c>
      <c r="G369" s="2" t="s">
        <v>34</v>
      </c>
      <c r="H369" s="2" t="str">
        <f>VLOOKUP(G369,Employees!A:E,2,FALSE)</f>
        <v>Rohit Sinha</v>
      </c>
      <c r="I369" s="2" t="str">
        <f>VLOOKUP(E369,Products!A:F,3,FALSE)</f>
        <v>Electronics</v>
      </c>
      <c r="J369" s="2" t="s">
        <v>15</v>
      </c>
      <c r="K369" s="2">
        <f>VLOOKUP(E369,Products!A:F,5,FALSE)</f>
        <v>1044.7</v>
      </c>
      <c r="L369" s="2">
        <v>9</v>
      </c>
      <c r="M369" s="2">
        <v>0</v>
      </c>
      <c r="N369" s="2">
        <f t="shared" si="15"/>
        <v>9402.3000000000011</v>
      </c>
      <c r="O369" s="2">
        <f t="shared" si="16"/>
        <v>9402.3000000000011</v>
      </c>
      <c r="P369" s="2" t="s">
        <v>263</v>
      </c>
      <c r="Q369" s="2" t="s">
        <v>42</v>
      </c>
      <c r="R369" t="str">
        <f t="shared" si="17"/>
        <v/>
      </c>
    </row>
    <row r="370" spans="1:18" x14ac:dyDescent="0.3">
      <c r="A370" s="2" t="s">
        <v>831</v>
      </c>
      <c r="B370" s="5">
        <v>45778</v>
      </c>
      <c r="C370" s="2" t="s">
        <v>71</v>
      </c>
      <c r="D370" s="2" t="s">
        <v>980</v>
      </c>
      <c r="E370" s="2" t="s">
        <v>254</v>
      </c>
      <c r="F370" s="2" t="str">
        <f>VLOOKUP(Orders!E367,Products!A:F,2,FALSE)</f>
        <v>USB-C Charger</v>
      </c>
      <c r="G370" s="2" t="s">
        <v>21</v>
      </c>
      <c r="H370" s="2" t="str">
        <f>VLOOKUP(G370,Employees!A:E,2,FALSE)</f>
        <v>Karan Mehta</v>
      </c>
      <c r="I370" s="2" t="str">
        <f>VLOOKUP(E370,Products!A:F,3,FALSE)</f>
        <v>Books</v>
      </c>
      <c r="J370" s="2" t="s">
        <v>22</v>
      </c>
      <c r="K370" s="2">
        <f>VLOOKUP(E370,Products!A:F,5,FALSE)</f>
        <v>605.26</v>
      </c>
      <c r="L370" s="2">
        <v>5</v>
      </c>
      <c r="M370" s="2">
        <v>0</v>
      </c>
      <c r="N370" s="2">
        <f t="shared" si="15"/>
        <v>3026.3</v>
      </c>
      <c r="O370" s="2">
        <f t="shared" si="16"/>
        <v>3026.3</v>
      </c>
      <c r="P370" s="2" t="s">
        <v>165</v>
      </c>
      <c r="Q370" s="2" t="s">
        <v>42</v>
      </c>
      <c r="R370" t="str">
        <f t="shared" si="17"/>
        <v/>
      </c>
    </row>
    <row r="371" spans="1:18" x14ac:dyDescent="0.3">
      <c r="A371" s="2" t="s">
        <v>832</v>
      </c>
      <c r="B371" s="5">
        <v>45325</v>
      </c>
      <c r="C371" s="2" t="s">
        <v>180</v>
      </c>
      <c r="D371" s="2" t="s">
        <v>1121</v>
      </c>
      <c r="E371" s="2" t="s">
        <v>161</v>
      </c>
      <c r="F371" s="2" t="str">
        <f>VLOOKUP(Orders!E368,Products!A:F,2,FALSE)</f>
        <v>Blender</v>
      </c>
      <c r="G371" s="2" t="s">
        <v>14</v>
      </c>
      <c r="H371" s="2" t="str">
        <f>VLOOKUP(G371,Employees!A:E,2,FALSE)</f>
        <v>Fatima Sheikh</v>
      </c>
      <c r="I371" s="2" t="str">
        <f>VLOOKUP(E371,Products!A:F,3,FALSE)</f>
        <v>Beauty</v>
      </c>
      <c r="J371" s="2" t="s">
        <v>73</v>
      </c>
      <c r="K371" s="2">
        <f>VLOOKUP(E371,Products!A:F,5,FALSE)</f>
        <v>1513.99</v>
      </c>
      <c r="L371" s="2">
        <v>3</v>
      </c>
      <c r="M371" s="2">
        <v>0.2</v>
      </c>
      <c r="N371" s="2">
        <f t="shared" si="15"/>
        <v>4541.97</v>
      </c>
      <c r="O371" s="2">
        <f t="shared" si="16"/>
        <v>3633.5760000000005</v>
      </c>
      <c r="P371" s="2" t="s">
        <v>692</v>
      </c>
      <c r="Q371" s="2" t="s">
        <v>60</v>
      </c>
      <c r="R371" t="str">
        <f t="shared" si="17"/>
        <v/>
      </c>
    </row>
    <row r="372" spans="1:18" x14ac:dyDescent="0.3">
      <c r="A372" s="2" t="s">
        <v>833</v>
      </c>
      <c r="B372" s="5">
        <v>45439</v>
      </c>
      <c r="C372" s="2" t="s">
        <v>550</v>
      </c>
      <c r="D372" s="2" t="s">
        <v>1127</v>
      </c>
      <c r="E372" s="2" t="s">
        <v>345</v>
      </c>
      <c r="F372" s="2" t="str">
        <f>VLOOKUP(Orders!E369,Products!A:F,2,FALSE)</f>
        <v>Earbuds</v>
      </c>
      <c r="G372" s="2" t="s">
        <v>14</v>
      </c>
      <c r="H372" s="2" t="str">
        <f>VLOOKUP(G372,Employees!A:E,2,FALSE)</f>
        <v>Fatima Sheikh</v>
      </c>
      <c r="I372" s="2" t="str">
        <f>VLOOKUP(E372,Products!A:F,3,FALSE)</f>
        <v>Toys</v>
      </c>
      <c r="J372" s="2" t="s">
        <v>15</v>
      </c>
      <c r="K372" s="2">
        <f>VLOOKUP(E372,Products!A:F,5,FALSE)</f>
        <v>1212.79</v>
      </c>
      <c r="L372" s="2">
        <v>7</v>
      </c>
      <c r="M372" s="2">
        <v>0</v>
      </c>
      <c r="N372" s="2">
        <f t="shared" si="15"/>
        <v>8489.5299999999988</v>
      </c>
      <c r="O372" s="2">
        <f t="shared" si="16"/>
        <v>8489.5299999999988</v>
      </c>
      <c r="P372" s="2" t="s">
        <v>834</v>
      </c>
      <c r="Q372" s="2" t="s">
        <v>42</v>
      </c>
      <c r="R372" t="str">
        <f t="shared" si="17"/>
        <v/>
      </c>
    </row>
    <row r="373" spans="1:18" x14ac:dyDescent="0.3">
      <c r="A373" s="2" t="s">
        <v>835</v>
      </c>
      <c r="B373" s="5">
        <v>45538</v>
      </c>
      <c r="C373" s="2" t="s">
        <v>273</v>
      </c>
      <c r="D373" s="2" t="s">
        <v>1129</v>
      </c>
      <c r="E373" s="2" t="s">
        <v>44</v>
      </c>
      <c r="F373" s="2" t="str">
        <f>VLOOKUP(Orders!E370,Products!A:F,2,FALSE)</f>
        <v>Self-Help Book</v>
      </c>
      <c r="G373" s="2" t="s">
        <v>14</v>
      </c>
      <c r="H373" s="2" t="str">
        <f>VLOOKUP(G373,Employees!A:E,2,FALSE)</f>
        <v>Fatima Sheikh</v>
      </c>
      <c r="I373" s="2" t="str">
        <f>VLOOKUP(E373,Products!A:F,3,FALSE)</f>
        <v>Sports</v>
      </c>
      <c r="J373" s="2" t="s">
        <v>22</v>
      </c>
      <c r="K373" s="2">
        <f>VLOOKUP(E373,Products!A:F,5,FALSE)</f>
        <v>973.21</v>
      </c>
      <c r="L373" s="2">
        <v>10</v>
      </c>
      <c r="M373" s="2">
        <v>0.2</v>
      </c>
      <c r="N373" s="2">
        <f t="shared" si="15"/>
        <v>9732.1</v>
      </c>
      <c r="O373" s="2">
        <f t="shared" si="16"/>
        <v>7785.68</v>
      </c>
      <c r="P373" s="2" t="s">
        <v>93</v>
      </c>
      <c r="Q373" s="2" t="s">
        <v>30</v>
      </c>
      <c r="R373" t="str">
        <f t="shared" si="17"/>
        <v/>
      </c>
    </row>
    <row r="374" spans="1:18" x14ac:dyDescent="0.3">
      <c r="A374" s="2" t="s">
        <v>836</v>
      </c>
      <c r="B374" s="5">
        <v>45435</v>
      </c>
      <c r="C374" s="2" t="s">
        <v>291</v>
      </c>
      <c r="D374" s="2" t="s">
        <v>1131</v>
      </c>
      <c r="E374" s="2" t="s">
        <v>20</v>
      </c>
      <c r="F374" s="2" t="str">
        <f>VLOOKUP(Orders!E371,Products!A:F,2,FALSE)</f>
        <v>Lipstick</v>
      </c>
      <c r="G374" s="2" t="s">
        <v>21</v>
      </c>
      <c r="H374" s="2" t="str">
        <f>VLOOKUP(G374,Employees!A:E,2,FALSE)</f>
        <v>Karan Mehta</v>
      </c>
      <c r="I374" s="2" t="str">
        <f>VLOOKUP(E374,Products!A:F,3,FALSE)</f>
        <v>Home &amp; Kitchen</v>
      </c>
      <c r="J374" s="2" t="s">
        <v>73</v>
      </c>
      <c r="K374" s="2">
        <f>VLOOKUP(E374,Products!A:F,5,FALSE)</f>
        <v>3772.12</v>
      </c>
      <c r="L374" s="2">
        <v>2</v>
      </c>
      <c r="M374" s="2">
        <v>0.1</v>
      </c>
      <c r="N374" s="2">
        <f t="shared" si="15"/>
        <v>7544.24</v>
      </c>
      <c r="O374" s="2">
        <f t="shared" si="16"/>
        <v>6789.8159999999998</v>
      </c>
      <c r="P374" s="2" t="s">
        <v>367</v>
      </c>
      <c r="Q374" s="2" t="s">
        <v>24</v>
      </c>
      <c r="R374" t="str">
        <f t="shared" si="17"/>
        <v/>
      </c>
    </row>
    <row r="375" spans="1:18" x14ac:dyDescent="0.3">
      <c r="A375" s="2" t="s">
        <v>837</v>
      </c>
      <c r="B375" s="5">
        <v>45739</v>
      </c>
      <c r="C375" s="2" t="s">
        <v>245</v>
      </c>
      <c r="D375" s="2" t="s">
        <v>1128</v>
      </c>
      <c r="E375" s="2" t="s">
        <v>85</v>
      </c>
      <c r="F375" s="2" t="str">
        <f>VLOOKUP(Orders!E372,Products!A:F,2,FALSE)</f>
        <v>Soft Toy</v>
      </c>
      <c r="G375" s="2" t="s">
        <v>45</v>
      </c>
      <c r="H375" s="2" t="str">
        <f>VLOOKUP(G375,Employees!A:E,2,FALSE)</f>
        <v>Rajesh Iyer</v>
      </c>
      <c r="I375" s="2" t="str">
        <f>VLOOKUP(E375,Products!A:F,3,FALSE)</f>
        <v>Grocery</v>
      </c>
      <c r="J375" s="2" t="s">
        <v>22</v>
      </c>
      <c r="K375" s="2">
        <f>VLOOKUP(E375,Products!A:F,5,FALSE)</f>
        <v>3457.28</v>
      </c>
      <c r="L375" s="2">
        <v>4</v>
      </c>
      <c r="M375" s="2">
        <v>0.2</v>
      </c>
      <c r="N375" s="2">
        <f t="shared" si="15"/>
        <v>13829.12</v>
      </c>
      <c r="O375" s="2">
        <f t="shared" si="16"/>
        <v>11063.296000000002</v>
      </c>
      <c r="P375" s="2" t="s">
        <v>261</v>
      </c>
      <c r="Q375" s="2" t="s">
        <v>42</v>
      </c>
      <c r="R375" t="str">
        <f t="shared" si="17"/>
        <v/>
      </c>
    </row>
    <row r="376" spans="1:18" x14ac:dyDescent="0.3">
      <c r="A376" s="2" t="s">
        <v>838</v>
      </c>
      <c r="B376" s="5">
        <v>45698</v>
      </c>
      <c r="C376" s="2" t="s">
        <v>124</v>
      </c>
      <c r="D376" s="2" t="s">
        <v>1112</v>
      </c>
      <c r="E376" s="2" t="s">
        <v>121</v>
      </c>
      <c r="F376" s="2" t="str">
        <f>VLOOKUP(Orders!E373,Products!A:F,2,FALSE)</f>
        <v>Dumbbell Set</v>
      </c>
      <c r="G376" s="2" t="s">
        <v>34</v>
      </c>
      <c r="H376" s="2" t="str">
        <f>VLOOKUP(G376,Employees!A:E,2,FALSE)</f>
        <v>Rohit Sinha</v>
      </c>
      <c r="I376" s="2" t="str">
        <f>VLOOKUP(E376,Products!A:F,3,FALSE)</f>
        <v>Beauty</v>
      </c>
      <c r="J376" s="2" t="s">
        <v>35</v>
      </c>
      <c r="K376" s="2">
        <f>VLOOKUP(E376,Products!A:F,5,FALSE)</f>
        <v>3414.07</v>
      </c>
      <c r="L376" s="2">
        <v>6</v>
      </c>
      <c r="M376" s="2">
        <v>0</v>
      </c>
      <c r="N376" s="2">
        <f t="shared" si="15"/>
        <v>20484.420000000002</v>
      </c>
      <c r="O376" s="2">
        <f t="shared" si="16"/>
        <v>20484.420000000002</v>
      </c>
      <c r="P376" s="2" t="s">
        <v>784</v>
      </c>
      <c r="Q376" s="2" t="s">
        <v>30</v>
      </c>
      <c r="R376" t="str">
        <f t="shared" si="17"/>
        <v/>
      </c>
    </row>
    <row r="377" spans="1:18" x14ac:dyDescent="0.3">
      <c r="A377" s="2" t="s">
        <v>839</v>
      </c>
      <c r="B377" s="5">
        <v>45525</v>
      </c>
      <c r="C377" s="2" t="s">
        <v>187</v>
      </c>
      <c r="D377" s="2" t="s">
        <v>1122</v>
      </c>
      <c r="E377" s="2" t="s">
        <v>20</v>
      </c>
      <c r="F377" s="2" t="str">
        <f>VLOOKUP(Orders!E374,Products!A:F,2,FALSE)</f>
        <v>LED Lamp</v>
      </c>
      <c r="G377" s="2" t="s">
        <v>45</v>
      </c>
      <c r="H377" s="2" t="str">
        <f>VLOOKUP(G377,Employees!A:E,2,FALSE)</f>
        <v>Rajesh Iyer</v>
      </c>
      <c r="I377" s="2" t="str">
        <f>VLOOKUP(E377,Products!A:F,3,FALSE)</f>
        <v>Home &amp; Kitchen</v>
      </c>
      <c r="J377" s="2" t="s">
        <v>35</v>
      </c>
      <c r="K377" s="2">
        <f>VLOOKUP(E377,Products!A:F,5,FALSE)</f>
        <v>3772.12</v>
      </c>
      <c r="L377" s="2">
        <v>6</v>
      </c>
      <c r="M377" s="2">
        <v>0.1</v>
      </c>
      <c r="N377" s="2">
        <f t="shared" si="15"/>
        <v>22632.720000000001</v>
      </c>
      <c r="O377" s="2">
        <f t="shared" si="16"/>
        <v>20369.448</v>
      </c>
      <c r="P377" s="2" t="s">
        <v>840</v>
      </c>
      <c r="Q377" s="2" t="s">
        <v>60</v>
      </c>
      <c r="R377" t="str">
        <f t="shared" si="17"/>
        <v/>
      </c>
    </row>
    <row r="378" spans="1:18" x14ac:dyDescent="0.3">
      <c r="A378" s="2" t="s">
        <v>841</v>
      </c>
      <c r="B378" s="5">
        <v>45681</v>
      </c>
      <c r="C378" s="2" t="s">
        <v>141</v>
      </c>
      <c r="D378" s="2" t="s">
        <v>1115</v>
      </c>
      <c r="E378" s="2" t="s">
        <v>90</v>
      </c>
      <c r="F378" s="2" t="str">
        <f>VLOOKUP(Orders!E375,Products!A:F,2,FALSE)</f>
        <v>Almonds 500g</v>
      </c>
      <c r="G378" s="2" t="s">
        <v>45</v>
      </c>
      <c r="H378" s="2" t="str">
        <f>VLOOKUP(G378,Employees!A:E,2,FALSE)</f>
        <v>Rajesh Iyer</v>
      </c>
      <c r="I378" s="2" t="str">
        <f>VLOOKUP(E378,Products!A:F,3,FALSE)</f>
        <v>Beauty</v>
      </c>
      <c r="J378" s="2" t="s">
        <v>22</v>
      </c>
      <c r="K378" s="2">
        <f>VLOOKUP(E378,Products!A:F,5,FALSE)</f>
        <v>928.72</v>
      </c>
      <c r="L378" s="2">
        <v>2</v>
      </c>
      <c r="M378" s="2">
        <v>0.2</v>
      </c>
      <c r="N378" s="2">
        <f t="shared" si="15"/>
        <v>1857.44</v>
      </c>
      <c r="O378" s="2">
        <f t="shared" si="16"/>
        <v>1485.9520000000002</v>
      </c>
      <c r="P378" s="2" t="s">
        <v>343</v>
      </c>
      <c r="Q378" s="2" t="s">
        <v>60</v>
      </c>
      <c r="R378" t="str">
        <f t="shared" si="17"/>
        <v/>
      </c>
    </row>
    <row r="379" spans="1:18" x14ac:dyDescent="0.3">
      <c r="A379" s="2" t="s">
        <v>842</v>
      </c>
      <c r="B379" s="5">
        <v>45367</v>
      </c>
      <c r="C379" s="2" t="s">
        <v>279</v>
      </c>
      <c r="D379" s="2" t="s">
        <v>1130</v>
      </c>
      <c r="E379" s="2" t="s">
        <v>106</v>
      </c>
      <c r="F379" s="2" t="str">
        <f>VLOOKUP(Orders!E376,Products!A:F,2,FALSE)</f>
        <v>Hair Serum</v>
      </c>
      <c r="G379" s="2" t="s">
        <v>45</v>
      </c>
      <c r="H379" s="2" t="str">
        <f>VLOOKUP(G379,Employees!A:E,2,FALSE)</f>
        <v>Rajesh Iyer</v>
      </c>
      <c r="I379" s="2" t="str">
        <f>VLOOKUP(E379,Products!A:F,3,FALSE)</f>
        <v>Clothing</v>
      </c>
      <c r="J379" s="2" t="s">
        <v>35</v>
      </c>
      <c r="K379" s="2">
        <f>VLOOKUP(E379,Products!A:F,5,FALSE)</f>
        <v>1559.65</v>
      </c>
      <c r="L379" s="2">
        <v>2</v>
      </c>
      <c r="M379" s="2">
        <v>0</v>
      </c>
      <c r="N379" s="2">
        <f t="shared" si="15"/>
        <v>3119.3</v>
      </c>
      <c r="O379" s="2">
        <f t="shared" si="16"/>
        <v>3119.3</v>
      </c>
      <c r="P379" s="2" t="s">
        <v>282</v>
      </c>
      <c r="Q379" s="2" t="s">
        <v>60</v>
      </c>
      <c r="R379" t="str">
        <f t="shared" si="17"/>
        <v/>
      </c>
    </row>
    <row r="380" spans="1:18" x14ac:dyDescent="0.3">
      <c r="A380" s="2" t="s">
        <v>843</v>
      </c>
      <c r="B380" s="5">
        <v>45690</v>
      </c>
      <c r="C380" s="2" t="s">
        <v>209</v>
      </c>
      <c r="D380" s="2" t="s">
        <v>966</v>
      </c>
      <c r="E380" s="2" t="s">
        <v>99</v>
      </c>
      <c r="F380" s="2" t="str">
        <f>VLOOKUP(Orders!E377,Products!A:F,2,FALSE)</f>
        <v>LED Lamp</v>
      </c>
      <c r="G380" s="2" t="s">
        <v>34</v>
      </c>
      <c r="H380" s="2" t="str">
        <f>VLOOKUP(G380,Employees!A:E,2,FALSE)</f>
        <v>Rohit Sinha</v>
      </c>
      <c r="I380" s="2" t="str">
        <f>VLOOKUP(E380,Products!A:F,3,FALSE)</f>
        <v>Electronics</v>
      </c>
      <c r="J380" s="2" t="s">
        <v>73</v>
      </c>
      <c r="K380" s="2">
        <f>VLOOKUP(E380,Products!A:F,5,FALSE)</f>
        <v>2352.63</v>
      </c>
      <c r="L380" s="2">
        <v>6</v>
      </c>
      <c r="M380" s="2">
        <v>0</v>
      </c>
      <c r="N380" s="2">
        <f t="shared" si="15"/>
        <v>14115.78</v>
      </c>
      <c r="O380" s="2">
        <f t="shared" si="16"/>
        <v>14115.78</v>
      </c>
      <c r="P380" s="2" t="s">
        <v>845</v>
      </c>
      <c r="Q380" s="2" t="s">
        <v>24</v>
      </c>
      <c r="R380" t="str">
        <f t="shared" si="17"/>
        <v/>
      </c>
    </row>
    <row r="381" spans="1:18" x14ac:dyDescent="0.3">
      <c r="A381" s="2" t="s">
        <v>846</v>
      </c>
      <c r="B381" s="5">
        <v>45607</v>
      </c>
      <c r="C381" s="2" t="s">
        <v>547</v>
      </c>
      <c r="D381" s="2" t="s">
        <v>1139</v>
      </c>
      <c r="E381" s="2" t="s">
        <v>111</v>
      </c>
      <c r="F381" s="2" t="str">
        <f>VLOOKUP(Orders!E378,Products!A:F,2,FALSE)</f>
        <v>Face Wash</v>
      </c>
      <c r="G381" s="2" t="s">
        <v>21</v>
      </c>
      <c r="H381" s="2" t="str">
        <f>VLOOKUP(G381,Employees!A:E,2,FALSE)</f>
        <v>Karan Mehta</v>
      </c>
      <c r="I381" s="2" t="str">
        <f>VLOOKUP(E381,Products!A:F,3,FALSE)</f>
        <v>Toys</v>
      </c>
      <c r="J381" s="2" t="s">
        <v>73</v>
      </c>
      <c r="K381" s="2">
        <f>VLOOKUP(E381,Products!A:F,5,FALSE)</f>
        <v>4390.62</v>
      </c>
      <c r="L381" s="2">
        <v>8</v>
      </c>
      <c r="M381" s="2">
        <v>0</v>
      </c>
      <c r="N381" s="2">
        <f t="shared" si="15"/>
        <v>35124.959999999999</v>
      </c>
      <c r="O381" s="2">
        <f t="shared" si="16"/>
        <v>35124.959999999999</v>
      </c>
      <c r="P381" s="2" t="s">
        <v>504</v>
      </c>
      <c r="Q381" s="2" t="s">
        <v>60</v>
      </c>
      <c r="R381" t="str">
        <f t="shared" si="17"/>
        <v/>
      </c>
    </row>
    <row r="382" spans="1:18" x14ac:dyDescent="0.3">
      <c r="A382" s="2" t="s">
        <v>848</v>
      </c>
      <c r="B382" s="5">
        <v>45381</v>
      </c>
      <c r="C382" s="2" t="s">
        <v>12</v>
      </c>
      <c r="D382" s="2" t="s">
        <v>1103</v>
      </c>
      <c r="E382" s="2" t="s">
        <v>94</v>
      </c>
      <c r="F382" s="2" t="str">
        <f>VLOOKUP(Orders!E379,Products!A:F,2,FALSE)</f>
        <v>Winter Scarf</v>
      </c>
      <c r="G382" s="2" t="s">
        <v>45</v>
      </c>
      <c r="H382" s="2" t="str">
        <f>VLOOKUP(G382,Employees!A:E,2,FALSE)</f>
        <v>Rajesh Iyer</v>
      </c>
      <c r="I382" s="2" t="str">
        <f>VLOOKUP(E382,Products!A:F,3,FALSE)</f>
        <v>Grocery</v>
      </c>
      <c r="J382" s="2" t="s">
        <v>35</v>
      </c>
      <c r="K382" s="2">
        <f>VLOOKUP(E382,Products!A:F,5,FALSE)</f>
        <v>3610.44</v>
      </c>
      <c r="L382" s="2">
        <v>3</v>
      </c>
      <c r="M382" s="2">
        <v>0.05</v>
      </c>
      <c r="N382" s="2">
        <f t="shared" si="15"/>
        <v>10831.32</v>
      </c>
      <c r="O382" s="2">
        <f t="shared" si="16"/>
        <v>10289.753999999999</v>
      </c>
      <c r="P382" s="2" t="s">
        <v>459</v>
      </c>
      <c r="Q382" s="2" t="s">
        <v>24</v>
      </c>
      <c r="R382" t="str">
        <f t="shared" si="17"/>
        <v/>
      </c>
    </row>
    <row r="383" spans="1:18" x14ac:dyDescent="0.3">
      <c r="A383" s="2" t="s">
        <v>849</v>
      </c>
      <c r="B383" s="5">
        <v>45318</v>
      </c>
      <c r="C383" s="2" t="s">
        <v>80</v>
      </c>
      <c r="D383" s="2" t="s">
        <v>1109</v>
      </c>
      <c r="E383" s="2" t="s">
        <v>90</v>
      </c>
      <c r="F383" s="2" t="str">
        <f>VLOOKUP(Orders!E380,Products!A:F,2,FALSE)</f>
        <v>Wireless Mouse</v>
      </c>
      <c r="G383" s="2" t="s">
        <v>45</v>
      </c>
      <c r="H383" s="2" t="str">
        <f>VLOOKUP(G383,Employees!A:E,2,FALSE)</f>
        <v>Rajesh Iyer</v>
      </c>
      <c r="I383" s="2" t="str">
        <f>VLOOKUP(E383,Products!A:F,3,FALSE)</f>
        <v>Beauty</v>
      </c>
      <c r="J383" s="2" t="s">
        <v>73</v>
      </c>
      <c r="K383" s="2">
        <f>VLOOKUP(E383,Products!A:F,5,FALSE)</f>
        <v>928.72</v>
      </c>
      <c r="L383" s="2">
        <v>2</v>
      </c>
      <c r="M383" s="2">
        <v>0</v>
      </c>
      <c r="N383" s="2">
        <f t="shared" si="15"/>
        <v>1857.44</v>
      </c>
      <c r="O383" s="2">
        <f t="shared" si="16"/>
        <v>1857.44</v>
      </c>
      <c r="P383" s="2" t="s">
        <v>200</v>
      </c>
      <c r="Q383" s="2" t="s">
        <v>42</v>
      </c>
      <c r="R383" t="str">
        <f t="shared" si="17"/>
        <v/>
      </c>
    </row>
    <row r="384" spans="1:18" x14ac:dyDescent="0.3">
      <c r="A384" s="2" t="s">
        <v>850</v>
      </c>
      <c r="B384" s="5">
        <v>45624</v>
      </c>
      <c r="C384" s="2" t="s">
        <v>502</v>
      </c>
      <c r="D384" s="2" t="s">
        <v>1138</v>
      </c>
      <c r="E384" s="2" t="s">
        <v>116</v>
      </c>
      <c r="F384" s="2" t="str">
        <f>VLOOKUP(Orders!E381,Products!A:F,2,FALSE)</f>
        <v>Action Figure</v>
      </c>
      <c r="G384" s="2" t="s">
        <v>82</v>
      </c>
      <c r="H384" s="2" t="str">
        <f>VLOOKUP(G384,Employees!A:E,2,FALSE)</f>
        <v>Priya Nair</v>
      </c>
      <c r="I384" s="2" t="str">
        <f>VLOOKUP(E384,Products!A:F,3,FALSE)</f>
        <v>Clothing</v>
      </c>
      <c r="J384" s="2" t="s">
        <v>35</v>
      </c>
      <c r="K384" s="2">
        <f>VLOOKUP(E384,Products!A:F,5,FALSE)</f>
        <v>1156.02</v>
      </c>
      <c r="L384" s="2">
        <v>7</v>
      </c>
      <c r="M384" s="2">
        <v>0</v>
      </c>
      <c r="N384" s="2">
        <f t="shared" si="15"/>
        <v>8092.1399999999994</v>
      </c>
      <c r="O384" s="2">
        <f t="shared" si="16"/>
        <v>8092.1399999999994</v>
      </c>
      <c r="P384" s="2" t="s">
        <v>51</v>
      </c>
      <c r="Q384" s="2" t="s">
        <v>30</v>
      </c>
      <c r="R384" t="str">
        <f t="shared" si="17"/>
        <v/>
      </c>
    </row>
    <row r="385" spans="1:18" x14ac:dyDescent="0.3">
      <c r="A385" s="2" t="s">
        <v>851</v>
      </c>
      <c r="B385" s="5">
        <v>45378</v>
      </c>
      <c r="C385" s="2" t="s">
        <v>190</v>
      </c>
      <c r="D385" s="2" t="s">
        <v>1119</v>
      </c>
      <c r="E385" s="2" t="s">
        <v>72</v>
      </c>
      <c r="F385" s="2" t="str">
        <f>VLOOKUP(Orders!E382,Products!A:F,2,FALSE)</f>
        <v>Honey Jar</v>
      </c>
      <c r="G385" s="2" t="s">
        <v>14</v>
      </c>
      <c r="H385" s="2" t="str">
        <f>VLOOKUP(G385,Employees!A:E,2,FALSE)</f>
        <v>Fatima Sheikh</v>
      </c>
      <c r="I385" s="2" t="str">
        <f>VLOOKUP(E385,Products!A:F,3,FALSE)</f>
        <v>Books</v>
      </c>
      <c r="J385" s="2" t="s">
        <v>15</v>
      </c>
      <c r="K385" s="2">
        <f>VLOOKUP(E385,Products!A:F,5,FALSE)</f>
        <v>2316.1999999999998</v>
      </c>
      <c r="L385" s="2">
        <v>9</v>
      </c>
      <c r="M385" s="2">
        <v>0</v>
      </c>
      <c r="N385" s="2">
        <f t="shared" si="15"/>
        <v>20845.8</v>
      </c>
      <c r="O385" s="2">
        <f t="shared" si="16"/>
        <v>20845.8</v>
      </c>
      <c r="P385" s="2" t="s">
        <v>852</v>
      </c>
      <c r="Q385" s="2" t="s">
        <v>30</v>
      </c>
      <c r="R385" t="str">
        <f t="shared" si="17"/>
        <v/>
      </c>
    </row>
    <row r="386" spans="1:18" x14ac:dyDescent="0.3">
      <c r="A386" s="2" t="s">
        <v>853</v>
      </c>
      <c r="B386" s="5">
        <v>45465</v>
      </c>
      <c r="C386" s="2" t="s">
        <v>202</v>
      </c>
      <c r="D386" s="2" t="s">
        <v>1124</v>
      </c>
      <c r="E386" s="2" t="s">
        <v>44</v>
      </c>
      <c r="F386" s="2" t="str">
        <f>VLOOKUP(Orders!E383,Products!A:F,2,FALSE)</f>
        <v>Face Wash</v>
      </c>
      <c r="G386" s="2" t="s">
        <v>45</v>
      </c>
      <c r="H386" s="2" t="str">
        <f>VLOOKUP(G386,Employees!A:E,2,FALSE)</f>
        <v>Rajesh Iyer</v>
      </c>
      <c r="I386" s="2" t="str">
        <f>VLOOKUP(E386,Products!A:F,3,FALSE)</f>
        <v>Sports</v>
      </c>
      <c r="J386" s="2" t="s">
        <v>22</v>
      </c>
      <c r="K386" s="2">
        <f>VLOOKUP(E386,Products!A:F,5,FALSE)</f>
        <v>973.21</v>
      </c>
      <c r="L386" s="2">
        <v>3</v>
      </c>
      <c r="M386" s="2">
        <v>0</v>
      </c>
      <c r="N386" s="2">
        <f t="shared" ref="N386:N405" si="18">K386*L386</f>
        <v>2919.63</v>
      </c>
      <c r="O386" s="2">
        <f t="shared" ref="O386:O405" si="19">N386*(1-M386)</f>
        <v>2919.63</v>
      </c>
      <c r="P386" s="2" t="s">
        <v>38</v>
      </c>
      <c r="Q386" s="2" t="s">
        <v>30</v>
      </c>
      <c r="R386" t="str">
        <f t="shared" ref="R386:R405" si="20">IF(L386=0,"Missing Quantity","")</f>
        <v/>
      </c>
    </row>
    <row r="387" spans="1:18" x14ac:dyDescent="0.3">
      <c r="A387" s="2" t="s">
        <v>854</v>
      </c>
      <c r="B387" s="5">
        <v>45441</v>
      </c>
      <c r="C387" s="2" t="s">
        <v>253</v>
      </c>
      <c r="D387" s="2" t="s">
        <v>1044</v>
      </c>
      <c r="E387" s="2" t="s">
        <v>260</v>
      </c>
      <c r="F387" s="2" t="str">
        <f>VLOOKUP(Orders!E384,Products!A:F,2,FALSE)</f>
        <v>Formal Shirt</v>
      </c>
      <c r="G387" s="2" t="s">
        <v>34</v>
      </c>
      <c r="H387" s="2" t="str">
        <f>VLOOKUP(G387,Employees!A:E,2,FALSE)</f>
        <v>Rohit Sinha</v>
      </c>
      <c r="I387" s="2" t="str">
        <f>VLOOKUP(E387,Products!A:F,3,FALSE)</f>
        <v>Home &amp; Kitchen</v>
      </c>
      <c r="J387" s="2" t="s">
        <v>22</v>
      </c>
      <c r="K387" s="2">
        <f>VLOOKUP(E387,Products!A:F,5,FALSE)</f>
        <v>3981.64</v>
      </c>
      <c r="L387" s="2">
        <v>2</v>
      </c>
      <c r="M387" s="2">
        <v>0</v>
      </c>
      <c r="N387" s="2">
        <f t="shared" si="18"/>
        <v>7963.28</v>
      </c>
      <c r="O387" s="2">
        <f t="shared" si="19"/>
        <v>7963.28</v>
      </c>
      <c r="P387" s="2" t="s">
        <v>368</v>
      </c>
      <c r="Q387" s="2" t="s">
        <v>30</v>
      </c>
      <c r="R387" t="str">
        <f t="shared" si="20"/>
        <v/>
      </c>
    </row>
    <row r="388" spans="1:18" x14ac:dyDescent="0.3">
      <c r="A388" s="2" t="s">
        <v>855</v>
      </c>
      <c r="B388" s="5">
        <v>45598</v>
      </c>
      <c r="C388" s="2" t="s">
        <v>403</v>
      </c>
      <c r="D388" s="2" t="s">
        <v>1135</v>
      </c>
      <c r="E388" s="2" t="s">
        <v>164</v>
      </c>
      <c r="F388" s="2" t="str">
        <f>VLOOKUP(Orders!E385,Products!A:F,2,FALSE)</f>
        <v>Cookbook</v>
      </c>
      <c r="G388" s="2" t="s">
        <v>82</v>
      </c>
      <c r="H388" s="2" t="str">
        <f>VLOOKUP(G388,Employees!A:E,2,FALSE)</f>
        <v>Priya Nair</v>
      </c>
      <c r="I388" s="2" t="str">
        <f>VLOOKUP(E388,Products!A:F,3,FALSE)</f>
        <v>Books</v>
      </c>
      <c r="J388" s="2" t="s">
        <v>22</v>
      </c>
      <c r="K388" s="2">
        <f>VLOOKUP(E388,Products!A:F,5,FALSE)</f>
        <v>2489.91</v>
      </c>
      <c r="L388" s="2">
        <v>8</v>
      </c>
      <c r="M388" s="2">
        <v>0.2</v>
      </c>
      <c r="N388" s="2">
        <f t="shared" si="18"/>
        <v>19919.28</v>
      </c>
      <c r="O388" s="2">
        <f t="shared" si="19"/>
        <v>15935.423999999999</v>
      </c>
      <c r="P388" s="2" t="s">
        <v>496</v>
      </c>
      <c r="Q388" s="2" t="s">
        <v>17</v>
      </c>
      <c r="R388" t="str">
        <f t="shared" si="20"/>
        <v/>
      </c>
    </row>
    <row r="389" spans="1:18" x14ac:dyDescent="0.3">
      <c r="A389" s="2" t="s">
        <v>856</v>
      </c>
      <c r="B389" s="5">
        <v>45544</v>
      </c>
      <c r="C389" s="2" t="s">
        <v>120</v>
      </c>
      <c r="D389" s="2" t="s">
        <v>993</v>
      </c>
      <c r="E389" s="2" t="s">
        <v>77</v>
      </c>
      <c r="F389" s="2" t="str">
        <f>VLOOKUP(Orders!E386,Products!A:F,2,FALSE)</f>
        <v>Dumbbell Set</v>
      </c>
      <c r="G389" s="2" t="s">
        <v>45</v>
      </c>
      <c r="H389" s="2" t="str">
        <f>VLOOKUP(G389,Employees!A:E,2,FALSE)</f>
        <v>Rajesh Iyer</v>
      </c>
      <c r="I389" s="2" t="str">
        <f>VLOOKUP(E389,Products!A:F,3,FALSE)</f>
        <v>Electronics</v>
      </c>
      <c r="J389" s="2" t="s">
        <v>15</v>
      </c>
      <c r="K389" s="2">
        <f>VLOOKUP(E389,Products!A:F,5,FALSE)</f>
        <v>3550.89</v>
      </c>
      <c r="L389" s="2">
        <v>8</v>
      </c>
      <c r="M389" s="2">
        <v>0.1</v>
      </c>
      <c r="N389" s="2">
        <f t="shared" si="18"/>
        <v>28407.119999999999</v>
      </c>
      <c r="O389" s="2">
        <f t="shared" si="19"/>
        <v>25566.407999999999</v>
      </c>
      <c r="P389" s="2" t="s">
        <v>95</v>
      </c>
      <c r="Q389" s="2" t="s">
        <v>30</v>
      </c>
      <c r="R389" t="str">
        <f t="shared" si="20"/>
        <v/>
      </c>
    </row>
    <row r="390" spans="1:18" x14ac:dyDescent="0.3">
      <c r="A390" s="2" t="s">
        <v>857</v>
      </c>
      <c r="B390" s="5">
        <v>45401</v>
      </c>
      <c r="C390" s="2" t="s">
        <v>66</v>
      </c>
      <c r="D390" s="2" t="s">
        <v>1108</v>
      </c>
      <c r="E390" s="2" t="s">
        <v>125</v>
      </c>
      <c r="F390" s="2" t="str">
        <f>VLOOKUP(Orders!E387,Products!A:F,2,FALSE)</f>
        <v>Non-stick Pan</v>
      </c>
      <c r="G390" s="2" t="s">
        <v>34</v>
      </c>
      <c r="H390" s="2" t="str">
        <f>VLOOKUP(G390,Employees!A:E,2,FALSE)</f>
        <v>Rohit Sinha</v>
      </c>
      <c r="I390" s="2" t="str">
        <f>VLOOKUP(E390,Products!A:F,3,FALSE)</f>
        <v>Grocery</v>
      </c>
      <c r="J390" s="2" t="s">
        <v>35</v>
      </c>
      <c r="K390" s="2">
        <f>VLOOKUP(E390,Products!A:F,5,FALSE)</f>
        <v>2458.91</v>
      </c>
      <c r="L390" s="2">
        <v>3</v>
      </c>
      <c r="M390" s="2">
        <v>0</v>
      </c>
      <c r="N390" s="2">
        <f t="shared" si="18"/>
        <v>7376.73</v>
      </c>
      <c r="O390" s="2">
        <f t="shared" si="19"/>
        <v>7376.73</v>
      </c>
      <c r="P390" s="2" t="s">
        <v>412</v>
      </c>
      <c r="Q390" s="2" t="s">
        <v>17</v>
      </c>
      <c r="R390" t="str">
        <f t="shared" si="20"/>
        <v/>
      </c>
    </row>
    <row r="391" spans="1:18" x14ac:dyDescent="0.3">
      <c r="A391" s="2" t="s">
        <v>858</v>
      </c>
      <c r="B391" s="5">
        <v>45681</v>
      </c>
      <c r="C391" s="2" t="s">
        <v>110</v>
      </c>
      <c r="D391" s="2" t="s">
        <v>983</v>
      </c>
      <c r="E391" s="2" t="s">
        <v>240</v>
      </c>
      <c r="F391" s="2" t="str">
        <f>VLOOKUP(Orders!E388,Products!A:F,2,FALSE)</f>
        <v>Biography</v>
      </c>
      <c r="G391" s="2" t="s">
        <v>45</v>
      </c>
      <c r="H391" s="2" t="str">
        <f>VLOOKUP(G391,Employees!A:E,2,FALSE)</f>
        <v>Rajesh Iyer</v>
      </c>
      <c r="I391" s="2" t="str">
        <f>VLOOKUP(E391,Products!A:F,3,FALSE)</f>
        <v>Books</v>
      </c>
      <c r="J391" s="2" t="s">
        <v>35</v>
      </c>
      <c r="K391" s="2">
        <f>VLOOKUP(E391,Products!A:F,5,FALSE)</f>
        <v>2036.67</v>
      </c>
      <c r="L391" s="2">
        <v>6</v>
      </c>
      <c r="M391" s="2">
        <v>0.05</v>
      </c>
      <c r="N391" s="2">
        <f t="shared" si="18"/>
        <v>12220.02</v>
      </c>
      <c r="O391" s="2">
        <f t="shared" si="19"/>
        <v>11609.019</v>
      </c>
      <c r="P391" s="2" t="s">
        <v>859</v>
      </c>
      <c r="Q391" s="2" t="s">
        <v>42</v>
      </c>
      <c r="R391" t="str">
        <f t="shared" si="20"/>
        <v/>
      </c>
    </row>
    <row r="392" spans="1:18" x14ac:dyDescent="0.3">
      <c r="A392" s="2" t="s">
        <v>860</v>
      </c>
      <c r="B392" s="5">
        <v>45431</v>
      </c>
      <c r="C392" s="2" t="s">
        <v>273</v>
      </c>
      <c r="D392" s="2" t="s">
        <v>1129</v>
      </c>
      <c r="E392" s="2" t="s">
        <v>13</v>
      </c>
      <c r="F392" s="2" t="str">
        <f>VLOOKUP(Orders!E389,Products!A:F,2,FALSE)</f>
        <v>USB-C Charger</v>
      </c>
      <c r="G392" s="2" t="s">
        <v>14</v>
      </c>
      <c r="H392" s="2" t="str">
        <f>VLOOKUP(G392,Employees!A:E,2,FALSE)</f>
        <v>Fatima Sheikh</v>
      </c>
      <c r="I392" s="2" t="str">
        <f>VLOOKUP(E392,Products!A:F,3,FALSE)</f>
        <v>Sports</v>
      </c>
      <c r="J392" s="2" t="s">
        <v>15</v>
      </c>
      <c r="K392" s="2">
        <f>VLOOKUP(E392,Products!A:F,5,FALSE)</f>
        <v>3493.54</v>
      </c>
      <c r="L392" s="2">
        <v>5</v>
      </c>
      <c r="M392" s="2">
        <v>0</v>
      </c>
      <c r="N392" s="2">
        <f t="shared" si="18"/>
        <v>17467.7</v>
      </c>
      <c r="O392" s="2">
        <f t="shared" si="19"/>
        <v>17467.7</v>
      </c>
      <c r="P392" s="2" t="s">
        <v>367</v>
      </c>
      <c r="Q392" s="2" t="s">
        <v>30</v>
      </c>
      <c r="R392" t="str">
        <f t="shared" si="20"/>
        <v/>
      </c>
    </row>
    <row r="393" spans="1:18" x14ac:dyDescent="0.3">
      <c r="A393" s="2" t="s">
        <v>861</v>
      </c>
      <c r="B393" s="5">
        <v>45613</v>
      </c>
      <c r="C393" s="2" t="s">
        <v>137</v>
      </c>
      <c r="D393" s="2" t="s">
        <v>1114</v>
      </c>
      <c r="E393" s="2" t="s">
        <v>13</v>
      </c>
      <c r="F393" s="2" t="str">
        <f>VLOOKUP(Orders!E390,Products!A:F,2,FALSE)</f>
        <v>Basmati Rice 5kg</v>
      </c>
      <c r="G393" s="2" t="s">
        <v>82</v>
      </c>
      <c r="H393" s="2" t="str">
        <f>VLOOKUP(G393,Employees!A:E,2,FALSE)</f>
        <v>Priya Nair</v>
      </c>
      <c r="I393" s="2" t="str">
        <f>VLOOKUP(E393,Products!A:F,3,FALSE)</f>
        <v>Sports</v>
      </c>
      <c r="J393" s="2" t="s">
        <v>22</v>
      </c>
      <c r="K393" s="2">
        <f>VLOOKUP(E393,Products!A:F,5,FALSE)</f>
        <v>3493.54</v>
      </c>
      <c r="L393" s="2">
        <v>3</v>
      </c>
      <c r="M393" s="2">
        <v>0.05</v>
      </c>
      <c r="N393" s="2">
        <f t="shared" si="18"/>
        <v>10480.619999999999</v>
      </c>
      <c r="O393" s="2">
        <f t="shared" si="19"/>
        <v>9956.5889999999981</v>
      </c>
      <c r="P393" s="2" t="s">
        <v>862</v>
      </c>
      <c r="Q393" s="2" t="s">
        <v>30</v>
      </c>
      <c r="R393" t="str">
        <f t="shared" si="20"/>
        <v/>
      </c>
    </row>
    <row r="394" spans="1:18" x14ac:dyDescent="0.3">
      <c r="A394" s="2" t="s">
        <v>863</v>
      </c>
      <c r="B394" s="5">
        <v>45540</v>
      </c>
      <c r="C394" s="2" t="s">
        <v>120</v>
      </c>
      <c r="D394" s="2" t="s">
        <v>993</v>
      </c>
      <c r="E394" s="2" t="s">
        <v>33</v>
      </c>
      <c r="F394" s="2" t="str">
        <f>VLOOKUP(Orders!E391,Products!A:F,2,FALSE)</f>
        <v>Notebook Set</v>
      </c>
      <c r="G394" s="2" t="s">
        <v>21</v>
      </c>
      <c r="H394" s="2" t="str">
        <f>VLOOKUP(G394,Employees!A:E,2,FALSE)</f>
        <v>Karan Mehta</v>
      </c>
      <c r="I394" s="2" t="str">
        <f>VLOOKUP(E394,Products!A:F,3,FALSE)</f>
        <v>Grocery</v>
      </c>
      <c r="J394" s="2" t="s">
        <v>35</v>
      </c>
      <c r="K394" s="2">
        <f>VLOOKUP(E394,Products!A:F,5,FALSE)</f>
        <v>620.89</v>
      </c>
      <c r="L394" s="2">
        <v>6</v>
      </c>
      <c r="M394" s="2">
        <v>0.05</v>
      </c>
      <c r="N394" s="2">
        <f t="shared" si="18"/>
        <v>3725.34</v>
      </c>
      <c r="O394" s="2">
        <f t="shared" si="19"/>
        <v>3539.0729999999999</v>
      </c>
      <c r="P394" s="2" t="s">
        <v>93</v>
      </c>
      <c r="Q394" s="2" t="s">
        <v>17</v>
      </c>
      <c r="R394" t="str">
        <f t="shared" si="20"/>
        <v/>
      </c>
    </row>
    <row r="395" spans="1:18" x14ac:dyDescent="0.3">
      <c r="A395" s="2" t="s">
        <v>864</v>
      </c>
      <c r="B395" s="5">
        <v>45408</v>
      </c>
      <c r="C395" s="2" t="s">
        <v>202</v>
      </c>
      <c r="D395" s="2" t="s">
        <v>1124</v>
      </c>
      <c r="E395" s="2" t="s">
        <v>40</v>
      </c>
      <c r="F395" s="2" t="str">
        <f>VLOOKUP(Orders!E392,Products!A:F,2,FALSE)</f>
        <v>Football</v>
      </c>
      <c r="G395" s="2" t="s">
        <v>21</v>
      </c>
      <c r="H395" s="2" t="str">
        <f>VLOOKUP(G395,Employees!A:E,2,FALSE)</f>
        <v>Karan Mehta</v>
      </c>
      <c r="I395" s="2" t="str">
        <f>VLOOKUP(E395,Products!A:F,3,FALSE)</f>
        <v>Toys</v>
      </c>
      <c r="J395" s="2" t="s">
        <v>15</v>
      </c>
      <c r="K395" s="2">
        <f>VLOOKUP(E395,Products!A:F,5,FALSE)</f>
        <v>136.91</v>
      </c>
      <c r="L395" s="2">
        <v>10</v>
      </c>
      <c r="M395" s="2">
        <v>0</v>
      </c>
      <c r="N395" s="2">
        <f t="shared" si="18"/>
        <v>1369.1</v>
      </c>
      <c r="O395" s="2">
        <f t="shared" si="19"/>
        <v>1369.1</v>
      </c>
      <c r="P395" s="2" t="s">
        <v>409</v>
      </c>
      <c r="Q395" s="2" t="s">
        <v>42</v>
      </c>
      <c r="R395" t="str">
        <f t="shared" si="20"/>
        <v/>
      </c>
    </row>
    <row r="396" spans="1:18" x14ac:dyDescent="0.3">
      <c r="A396" s="2" t="s">
        <v>865</v>
      </c>
      <c r="B396" s="5">
        <v>45319</v>
      </c>
      <c r="C396" s="2" t="s">
        <v>12</v>
      </c>
      <c r="D396" s="2" t="s">
        <v>1103</v>
      </c>
      <c r="E396" s="2" t="s">
        <v>13</v>
      </c>
      <c r="F396" s="2" t="str">
        <f>VLOOKUP(Orders!E393,Products!A:F,2,FALSE)</f>
        <v>Football</v>
      </c>
      <c r="G396" s="2" t="s">
        <v>14</v>
      </c>
      <c r="H396" s="2" t="str">
        <f>VLOOKUP(G396,Employees!A:E,2,FALSE)</f>
        <v>Fatima Sheikh</v>
      </c>
      <c r="I396" s="2" t="str">
        <f>VLOOKUP(E396,Products!A:F,3,FALSE)</f>
        <v>Sports</v>
      </c>
      <c r="J396" s="2" t="s">
        <v>35</v>
      </c>
      <c r="K396" s="2">
        <f>VLOOKUP(E396,Products!A:F,5,FALSE)</f>
        <v>3493.54</v>
      </c>
      <c r="L396" s="2">
        <v>8</v>
      </c>
      <c r="M396" s="2">
        <v>0.15</v>
      </c>
      <c r="N396" s="2">
        <f t="shared" si="18"/>
        <v>27948.32</v>
      </c>
      <c r="O396" s="2">
        <f t="shared" si="19"/>
        <v>23756.072</v>
      </c>
      <c r="P396" s="2" t="s">
        <v>447</v>
      </c>
      <c r="Q396" s="2" t="s">
        <v>17</v>
      </c>
      <c r="R396" t="str">
        <f t="shared" si="20"/>
        <v/>
      </c>
    </row>
    <row r="397" spans="1:18" x14ac:dyDescent="0.3">
      <c r="A397" s="2" t="s">
        <v>866</v>
      </c>
      <c r="B397" s="5">
        <v>45362</v>
      </c>
      <c r="C397" s="2" t="s">
        <v>462</v>
      </c>
      <c r="D397" s="2" t="s">
        <v>1137</v>
      </c>
      <c r="E397" s="2" t="s">
        <v>67</v>
      </c>
      <c r="F397" s="2" t="str">
        <f>VLOOKUP(Orders!E394,Products!A:F,2,FALSE)</f>
        <v>Cooking Oil 1L</v>
      </c>
      <c r="G397" s="2" t="s">
        <v>45</v>
      </c>
      <c r="H397" s="2" t="str">
        <f>VLOOKUP(G397,Employees!A:E,2,FALSE)</f>
        <v>Rajesh Iyer</v>
      </c>
      <c r="I397" s="2" t="str">
        <f>VLOOKUP(E397,Products!A:F,3,FALSE)</f>
        <v>Toys</v>
      </c>
      <c r="J397" s="2" t="s">
        <v>15</v>
      </c>
      <c r="K397" s="2">
        <f>VLOOKUP(E397,Products!A:F,5,FALSE)</f>
        <v>3205.14</v>
      </c>
      <c r="L397" s="2">
        <v>7</v>
      </c>
      <c r="M397" s="2">
        <v>0.15</v>
      </c>
      <c r="N397" s="2">
        <f t="shared" si="18"/>
        <v>22435.98</v>
      </c>
      <c r="O397" s="2">
        <f t="shared" si="19"/>
        <v>19070.582999999999</v>
      </c>
      <c r="P397" s="2" t="s">
        <v>282</v>
      </c>
      <c r="Q397" s="2" t="s">
        <v>17</v>
      </c>
      <c r="R397" t="str">
        <f t="shared" si="20"/>
        <v/>
      </c>
    </row>
    <row r="398" spans="1:18" x14ac:dyDescent="0.3">
      <c r="A398" s="2" t="s">
        <v>867</v>
      </c>
      <c r="B398" s="5">
        <v>45539</v>
      </c>
      <c r="C398" s="2" t="s">
        <v>403</v>
      </c>
      <c r="D398" s="2" t="s">
        <v>1135</v>
      </c>
      <c r="E398" s="2" t="s">
        <v>196</v>
      </c>
      <c r="F398" s="2" t="str">
        <f>VLOOKUP(Orders!E395,Products!A:F,2,FALSE)</f>
        <v>Board Game</v>
      </c>
      <c r="G398" s="2" t="s">
        <v>14</v>
      </c>
      <c r="H398" s="2" t="str">
        <f>VLOOKUP(G398,Employees!A:E,2,FALSE)</f>
        <v>Fatima Sheikh</v>
      </c>
      <c r="I398" s="2" t="str">
        <f>VLOOKUP(E398,Products!A:F,3,FALSE)</f>
        <v>Electronics</v>
      </c>
      <c r="J398" s="2" t="s">
        <v>35</v>
      </c>
      <c r="K398" s="2">
        <f>VLOOKUP(E398,Products!A:F,5,FALSE)</f>
        <v>2184.5100000000002</v>
      </c>
      <c r="L398" s="2">
        <v>5</v>
      </c>
      <c r="M398" s="2">
        <v>0.15</v>
      </c>
      <c r="N398" s="2">
        <f t="shared" si="18"/>
        <v>10922.550000000001</v>
      </c>
      <c r="O398" s="2">
        <f t="shared" si="19"/>
        <v>9284.1675000000014</v>
      </c>
      <c r="P398" s="2" t="s">
        <v>705</v>
      </c>
      <c r="Q398" s="2" t="s">
        <v>30</v>
      </c>
      <c r="R398" t="str">
        <f t="shared" si="20"/>
        <v/>
      </c>
    </row>
    <row r="399" spans="1:18" x14ac:dyDescent="0.3">
      <c r="A399" s="2" t="s">
        <v>868</v>
      </c>
      <c r="B399" s="5">
        <v>45367</v>
      </c>
      <c r="C399" s="2" t="s">
        <v>279</v>
      </c>
      <c r="D399" s="2" t="s">
        <v>1130</v>
      </c>
      <c r="E399" s="2" t="s">
        <v>116</v>
      </c>
      <c r="F399" s="2" t="str">
        <f>VLOOKUP(Orders!E396,Products!A:F,2,FALSE)</f>
        <v>Football</v>
      </c>
      <c r="G399" s="2" t="s">
        <v>14</v>
      </c>
      <c r="H399" s="2" t="str">
        <f>VLOOKUP(G399,Employees!A:E,2,FALSE)</f>
        <v>Fatima Sheikh</v>
      </c>
      <c r="I399" s="2" t="str">
        <f>VLOOKUP(E399,Products!A:F,3,FALSE)</f>
        <v>Clothing</v>
      </c>
      <c r="J399" s="2" t="s">
        <v>35</v>
      </c>
      <c r="K399" s="2">
        <f>VLOOKUP(E399,Products!A:F,5,FALSE)</f>
        <v>1156.02</v>
      </c>
      <c r="L399" s="2">
        <v>8</v>
      </c>
      <c r="M399" s="2">
        <v>0.1</v>
      </c>
      <c r="N399" s="2">
        <f t="shared" si="18"/>
        <v>9248.16</v>
      </c>
      <c r="O399" s="2">
        <f t="shared" si="19"/>
        <v>8323.344000000001</v>
      </c>
      <c r="P399" s="2" t="s">
        <v>760</v>
      </c>
      <c r="Q399" s="2" t="s">
        <v>42</v>
      </c>
      <c r="R399" t="str">
        <f t="shared" si="20"/>
        <v/>
      </c>
    </row>
    <row r="400" spans="1:18" x14ac:dyDescent="0.3">
      <c r="A400" s="2" t="s">
        <v>869</v>
      </c>
      <c r="B400" s="5">
        <v>45810</v>
      </c>
      <c r="C400" s="2" t="s">
        <v>66</v>
      </c>
      <c r="D400" s="2" t="s">
        <v>1108</v>
      </c>
      <c r="E400" s="2" t="s">
        <v>226</v>
      </c>
      <c r="F400" s="2" t="str">
        <f>VLOOKUP(Orders!E397,Products!A:F,2,FALSE)</f>
        <v>Remote Car</v>
      </c>
      <c r="G400" s="2" t="s">
        <v>14</v>
      </c>
      <c r="H400" s="2" t="str">
        <f>VLOOKUP(G400,Employees!A:E,2,FALSE)</f>
        <v>Fatima Sheikh</v>
      </c>
      <c r="I400" s="2" t="str">
        <f>VLOOKUP(E400,Products!A:F,3,FALSE)</f>
        <v>Beauty</v>
      </c>
      <c r="J400" s="2" t="s">
        <v>22</v>
      </c>
      <c r="K400" s="2">
        <f>VLOOKUP(E400,Products!A:F,5,FALSE)</f>
        <v>2359.5</v>
      </c>
      <c r="L400" s="2">
        <v>0</v>
      </c>
      <c r="M400" s="2">
        <v>0.1</v>
      </c>
      <c r="N400" s="2">
        <f t="shared" si="18"/>
        <v>0</v>
      </c>
      <c r="O400" s="2">
        <f t="shared" si="19"/>
        <v>0</v>
      </c>
      <c r="P400" s="2" t="s">
        <v>525</v>
      </c>
      <c r="Q400" s="2" t="s">
        <v>42</v>
      </c>
      <c r="R400" t="str">
        <f t="shared" si="20"/>
        <v>Missing Quantity</v>
      </c>
    </row>
    <row r="401" spans="1:18" x14ac:dyDescent="0.3">
      <c r="A401" s="2" t="s">
        <v>870</v>
      </c>
      <c r="B401" s="5">
        <v>45379</v>
      </c>
      <c r="C401" s="2" t="s">
        <v>19</v>
      </c>
      <c r="D401" s="2" t="s">
        <v>1104</v>
      </c>
      <c r="E401" s="2" t="s">
        <v>345</v>
      </c>
      <c r="F401" s="2" t="str">
        <f>VLOOKUP(Orders!E398,Products!A:F,2,FALSE)</f>
        <v>Laptop Stand</v>
      </c>
      <c r="G401" s="2" t="s">
        <v>34</v>
      </c>
      <c r="H401" s="2" t="str">
        <f>VLOOKUP(G401,Employees!A:E,2,FALSE)</f>
        <v>Rohit Sinha</v>
      </c>
      <c r="I401" s="2" t="str">
        <f>VLOOKUP(E401,Products!A:F,3,FALSE)</f>
        <v>Toys</v>
      </c>
      <c r="J401" s="2" t="s">
        <v>22</v>
      </c>
      <c r="K401" s="2">
        <f>VLOOKUP(E401,Products!A:F,5,FALSE)</f>
        <v>1212.79</v>
      </c>
      <c r="L401" s="2">
        <v>2</v>
      </c>
      <c r="M401" s="2">
        <v>0.2</v>
      </c>
      <c r="N401" s="2">
        <f t="shared" si="18"/>
        <v>2425.58</v>
      </c>
      <c r="O401" s="2">
        <f t="shared" si="19"/>
        <v>1940.4639999999999</v>
      </c>
      <c r="P401" s="2" t="s">
        <v>871</v>
      </c>
      <c r="Q401" s="2" t="s">
        <v>60</v>
      </c>
      <c r="R401" t="str">
        <f t="shared" si="20"/>
        <v/>
      </c>
    </row>
    <row r="402" spans="1:18" x14ac:dyDescent="0.3">
      <c r="A402" s="2" t="s">
        <v>872</v>
      </c>
      <c r="B402" s="5">
        <v>45337</v>
      </c>
      <c r="C402" s="2" t="s">
        <v>690</v>
      </c>
      <c r="D402" s="2" t="s">
        <v>1142</v>
      </c>
      <c r="E402" s="2" t="s">
        <v>316</v>
      </c>
      <c r="F402" s="2" t="str">
        <f>VLOOKUP(Orders!E399,Products!A:F,2,FALSE)</f>
        <v>Formal Shirt</v>
      </c>
      <c r="G402" s="2" t="s">
        <v>21</v>
      </c>
      <c r="H402" s="2" t="str">
        <f>VLOOKUP(G402,Employees!A:E,2,FALSE)</f>
        <v>Karan Mehta</v>
      </c>
      <c r="I402" s="2" t="str">
        <f>VLOOKUP(E402,Products!A:F,3,FALSE)</f>
        <v>Beauty</v>
      </c>
      <c r="J402" s="2" t="s">
        <v>22</v>
      </c>
      <c r="K402" s="2">
        <f>VLOOKUP(E402,Products!A:F,5,FALSE)</f>
        <v>2405.98</v>
      </c>
      <c r="L402" s="2">
        <v>10</v>
      </c>
      <c r="M402" s="2">
        <v>0.15</v>
      </c>
      <c r="N402" s="2">
        <f t="shared" si="18"/>
        <v>24059.8</v>
      </c>
      <c r="O402" s="2">
        <f t="shared" si="19"/>
        <v>20450.829999999998</v>
      </c>
      <c r="P402" s="2" t="s">
        <v>815</v>
      </c>
      <c r="Q402" s="2" t="s">
        <v>30</v>
      </c>
      <c r="R402" t="str">
        <f t="shared" si="20"/>
        <v/>
      </c>
    </row>
    <row r="403" spans="1:18" x14ac:dyDescent="0.3">
      <c r="A403" s="2" t="s">
        <v>873</v>
      </c>
      <c r="B403" s="5">
        <v>45400</v>
      </c>
      <c r="C403" s="2" t="s">
        <v>218</v>
      </c>
      <c r="D403" s="2" t="s">
        <v>1003</v>
      </c>
      <c r="E403" s="2" t="s">
        <v>116</v>
      </c>
      <c r="F403" s="2" t="str">
        <f>VLOOKUP(Orders!E400,Products!A:F,2,FALSE)</f>
        <v>Moisturizer</v>
      </c>
      <c r="G403" s="2" t="s">
        <v>21</v>
      </c>
      <c r="H403" s="2" t="str">
        <f>VLOOKUP(G403,Employees!A:E,2,FALSE)</f>
        <v>Karan Mehta</v>
      </c>
      <c r="I403" s="2" t="str">
        <f>VLOOKUP(E403,Products!A:F,3,FALSE)</f>
        <v>Clothing</v>
      </c>
      <c r="J403" s="2" t="s">
        <v>15</v>
      </c>
      <c r="K403" s="2">
        <f>VLOOKUP(E403,Products!A:F,5,FALSE)</f>
        <v>1156.02</v>
      </c>
      <c r="L403" s="2">
        <v>1</v>
      </c>
      <c r="M403" s="2">
        <v>0</v>
      </c>
      <c r="N403" s="2">
        <f t="shared" si="18"/>
        <v>1156.02</v>
      </c>
      <c r="O403" s="2">
        <f t="shared" si="19"/>
        <v>1156.02</v>
      </c>
      <c r="P403" s="2" t="s">
        <v>874</v>
      </c>
      <c r="Q403" s="2" t="s">
        <v>42</v>
      </c>
      <c r="R403" t="str">
        <f t="shared" si="20"/>
        <v/>
      </c>
    </row>
    <row r="404" spans="1:18" x14ac:dyDescent="0.3">
      <c r="A404" s="2" t="s">
        <v>1156</v>
      </c>
      <c r="B404" s="5">
        <v>45400</v>
      </c>
      <c r="C404" s="2" t="s">
        <v>218</v>
      </c>
      <c r="D404" s="2" t="s">
        <v>1003</v>
      </c>
      <c r="E404" s="2" t="s">
        <v>116</v>
      </c>
      <c r="F404" s="2" t="str">
        <f>VLOOKUP(Orders!E402,Products!A:F,2,FALSE)</f>
        <v>Sunscreen</v>
      </c>
      <c r="G404" s="2" t="s">
        <v>21</v>
      </c>
      <c r="H404" s="2" t="str">
        <f>VLOOKUP(G404,Employees!A:E,2,FALSE)</f>
        <v>Karan Mehta</v>
      </c>
      <c r="I404" s="2" t="str">
        <f>VLOOKUP(E404,Products!A:F,3,FALSE)</f>
        <v>Clothing</v>
      </c>
      <c r="J404" s="2" t="s">
        <v>15</v>
      </c>
      <c r="K404" s="2">
        <f>VLOOKUP(E404,Products!A:F,5,FALSE)</f>
        <v>1156.02</v>
      </c>
      <c r="L404" s="2">
        <v>1</v>
      </c>
      <c r="M404" s="2">
        <v>0</v>
      </c>
      <c r="N404" s="2">
        <f t="shared" si="18"/>
        <v>1156.02</v>
      </c>
      <c r="O404" s="2">
        <f t="shared" si="19"/>
        <v>1156.02</v>
      </c>
      <c r="P404" s="2" t="s">
        <v>874</v>
      </c>
      <c r="Q404" s="2" t="s">
        <v>42</v>
      </c>
      <c r="R404" t="str">
        <f t="shared" si="20"/>
        <v/>
      </c>
    </row>
    <row r="405" spans="1:18" x14ac:dyDescent="0.3">
      <c r="A405" s="2" t="s">
        <v>875</v>
      </c>
      <c r="B405" s="5">
        <v>45823</v>
      </c>
      <c r="C405" s="2" t="s">
        <v>476</v>
      </c>
      <c r="D405" s="2" t="s">
        <v>983</v>
      </c>
      <c r="E405" s="2" t="s">
        <v>454</v>
      </c>
      <c r="F405" s="2" t="str">
        <f>VLOOKUP(Orders!E401,Products!A:F,2,FALSE)</f>
        <v>Soft Toy</v>
      </c>
      <c r="G405" s="2" t="s">
        <v>14</v>
      </c>
      <c r="H405" s="2" t="str">
        <f>VLOOKUP(G405,Employees!A:E,2,FALSE)</f>
        <v>Fatima Sheikh</v>
      </c>
      <c r="I405" s="2" t="str">
        <f>VLOOKUP(E405,Products!A:F,3,FALSE)</f>
        <v>Books</v>
      </c>
      <c r="J405" s="2" t="s">
        <v>15</v>
      </c>
      <c r="K405" s="2">
        <f>VLOOKUP(E405,Products!A:F,5,FALSE)</f>
        <v>1253.57</v>
      </c>
      <c r="L405" s="2">
        <v>9</v>
      </c>
      <c r="M405" s="2">
        <v>0.1</v>
      </c>
      <c r="N405" s="2">
        <f t="shared" si="18"/>
        <v>11282.13</v>
      </c>
      <c r="O405" s="2">
        <f t="shared" si="19"/>
        <v>10153.916999999999</v>
      </c>
      <c r="P405" s="2" t="s">
        <v>538</v>
      </c>
      <c r="Q405" s="2" t="s">
        <v>30</v>
      </c>
      <c r="R405" t="str">
        <f t="shared" si="20"/>
        <v/>
      </c>
    </row>
    <row r="406" spans="1:18" x14ac:dyDescent="0.3">
      <c r="L406" s="2"/>
    </row>
  </sheetData>
  <sortState xmlns:xlrd2="http://schemas.microsoft.com/office/spreadsheetml/2017/richdata2" ref="A2:R406">
    <sortCondition ref="A1"/>
  </sortState>
  <conditionalFormatting sqref="A1:A1048576">
    <cfRule type="duplicateValues" dxfId="5" priority="1"/>
    <cfRule type="duplicateValues" dxfId="4" priority="2"/>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1646-BB8D-4804-9133-1BD0CAE5982F}">
  <dimension ref="A1:Q104"/>
  <sheetViews>
    <sheetView workbookViewId="0">
      <selection sqref="A1:Q104"/>
    </sheetView>
  </sheetViews>
  <sheetFormatPr defaultRowHeight="14.4" x14ac:dyDescent="0.3"/>
  <cols>
    <col min="1" max="1" width="9.44140625" customWidth="1"/>
    <col min="2" max="2" width="11.5546875" customWidth="1"/>
    <col min="3" max="3" width="12.77734375" customWidth="1"/>
    <col min="4" max="4" width="16.44140625" customWidth="1"/>
    <col min="5" max="5" width="11.33203125" customWidth="1"/>
    <col min="6" max="6" width="15" customWidth="1"/>
    <col min="7" max="7" width="13" customWidth="1"/>
    <col min="8" max="8" width="16.6640625" customWidth="1"/>
    <col min="10" max="10" width="12.88671875" customWidth="1"/>
    <col min="11" max="12" width="10.21875" customWidth="1"/>
    <col min="13" max="13" width="14.21875" customWidth="1"/>
    <col min="14" max="14" width="10.21875" customWidth="1"/>
    <col min="15" max="15" width="10.44140625" customWidth="1"/>
    <col min="16" max="16" width="17.21875" customWidth="1"/>
    <col min="17" max="17" width="11.44140625" customWidth="1"/>
  </cols>
  <sheetData>
    <row r="1" spans="1:17" x14ac:dyDescent="0.3">
      <c r="A1" t="s">
        <v>0</v>
      </c>
      <c r="B1" t="s">
        <v>1</v>
      </c>
      <c r="C1" t="s">
        <v>2</v>
      </c>
      <c r="D1" t="s">
        <v>1101</v>
      </c>
      <c r="E1" t="s">
        <v>3</v>
      </c>
      <c r="F1" t="s">
        <v>1100</v>
      </c>
      <c r="G1" t="s">
        <v>4</v>
      </c>
      <c r="H1" t="s">
        <v>1102</v>
      </c>
      <c r="I1" t="s">
        <v>5</v>
      </c>
      <c r="J1" t="s">
        <v>1143</v>
      </c>
      <c r="K1" t="s">
        <v>6</v>
      </c>
      <c r="L1" t="s">
        <v>7</v>
      </c>
      <c r="M1" t="s">
        <v>1144</v>
      </c>
      <c r="N1" t="s">
        <v>1145</v>
      </c>
      <c r="O1" t="s">
        <v>8</v>
      </c>
      <c r="P1" t="s">
        <v>9</v>
      </c>
      <c r="Q1" t="s">
        <v>1146</v>
      </c>
    </row>
    <row r="2" spans="1:17" x14ac:dyDescent="0.3">
      <c r="A2" t="s">
        <v>796</v>
      </c>
      <c r="B2" t="s">
        <v>222</v>
      </c>
      <c r="C2" t="s">
        <v>168</v>
      </c>
      <c r="D2" t="s">
        <v>1119</v>
      </c>
      <c r="E2" t="s">
        <v>206</v>
      </c>
      <c r="F2" t="s">
        <v>887</v>
      </c>
      <c r="G2" t="s">
        <v>45</v>
      </c>
      <c r="H2" t="s">
        <v>1096</v>
      </c>
      <c r="I2" t="s">
        <v>73</v>
      </c>
      <c r="J2">
        <v>2779.58</v>
      </c>
      <c r="K2">
        <v>2</v>
      </c>
      <c r="L2">
        <v>0.05</v>
      </c>
      <c r="M2">
        <v>5559.16</v>
      </c>
      <c r="N2">
        <v>5281.2019999999993</v>
      </c>
      <c r="O2" t="s">
        <v>133</v>
      </c>
      <c r="P2" t="s">
        <v>42</v>
      </c>
      <c r="Q2" t="s">
        <v>1150</v>
      </c>
    </row>
    <row r="3" spans="1:17" x14ac:dyDescent="0.3">
      <c r="A3" t="s">
        <v>781</v>
      </c>
      <c r="B3" t="s">
        <v>593</v>
      </c>
      <c r="C3" t="s">
        <v>53</v>
      </c>
      <c r="D3" t="s">
        <v>1047</v>
      </c>
      <c r="E3" t="s">
        <v>345</v>
      </c>
      <c r="F3" t="s">
        <v>927</v>
      </c>
      <c r="G3" t="s">
        <v>14</v>
      </c>
      <c r="H3" t="s">
        <v>1080</v>
      </c>
      <c r="I3" t="s">
        <v>73</v>
      </c>
      <c r="J3">
        <v>1212.79</v>
      </c>
      <c r="K3">
        <v>4</v>
      </c>
      <c r="L3">
        <v>0</v>
      </c>
      <c r="M3">
        <v>4851.16</v>
      </c>
      <c r="N3">
        <v>4851.16</v>
      </c>
      <c r="O3" t="s">
        <v>375</v>
      </c>
      <c r="P3" t="s">
        <v>42</v>
      </c>
      <c r="Q3" t="s">
        <v>1150</v>
      </c>
    </row>
    <row r="4" spans="1:17" x14ac:dyDescent="0.3">
      <c r="A4" t="s">
        <v>849</v>
      </c>
      <c r="B4" t="s">
        <v>478</v>
      </c>
      <c r="C4" t="s">
        <v>80</v>
      </c>
      <c r="D4" t="s">
        <v>1109</v>
      </c>
      <c r="E4" t="s">
        <v>90</v>
      </c>
      <c r="F4" t="s">
        <v>902</v>
      </c>
      <c r="G4" t="s">
        <v>45</v>
      </c>
      <c r="H4" t="s">
        <v>1096</v>
      </c>
      <c r="I4" t="s">
        <v>73</v>
      </c>
      <c r="J4">
        <v>928.72</v>
      </c>
      <c r="K4">
        <v>2</v>
      </c>
      <c r="L4">
        <v>0</v>
      </c>
      <c r="M4">
        <v>1857.44</v>
      </c>
      <c r="N4">
        <v>1857.44</v>
      </c>
      <c r="O4" t="s">
        <v>200</v>
      </c>
      <c r="P4" t="s">
        <v>42</v>
      </c>
      <c r="Q4" t="s">
        <v>1150</v>
      </c>
    </row>
    <row r="5" spans="1:17" x14ac:dyDescent="0.3">
      <c r="A5" t="s">
        <v>846</v>
      </c>
      <c r="B5" t="s">
        <v>847</v>
      </c>
      <c r="C5" t="s">
        <v>547</v>
      </c>
      <c r="D5" t="s">
        <v>1139</v>
      </c>
      <c r="E5" t="s">
        <v>111</v>
      </c>
      <c r="F5" t="s">
        <v>929</v>
      </c>
      <c r="G5" t="s">
        <v>21</v>
      </c>
      <c r="H5" t="s">
        <v>1073</v>
      </c>
      <c r="I5" t="s">
        <v>73</v>
      </c>
      <c r="J5">
        <v>4390.62</v>
      </c>
      <c r="K5">
        <v>8</v>
      </c>
      <c r="L5">
        <v>0</v>
      </c>
      <c r="M5">
        <v>35124.959999999999</v>
      </c>
      <c r="N5">
        <v>35124.959999999999</v>
      </c>
      <c r="O5" t="s">
        <v>504</v>
      </c>
      <c r="P5" t="s">
        <v>60</v>
      </c>
      <c r="Q5" t="s">
        <v>1150</v>
      </c>
    </row>
    <row r="6" spans="1:17" x14ac:dyDescent="0.3">
      <c r="A6" t="s">
        <v>843</v>
      </c>
      <c r="B6" t="s">
        <v>844</v>
      </c>
      <c r="C6" t="s">
        <v>209</v>
      </c>
      <c r="D6" t="s">
        <v>966</v>
      </c>
      <c r="E6" t="s">
        <v>99</v>
      </c>
      <c r="F6" t="s">
        <v>881</v>
      </c>
      <c r="G6" t="s">
        <v>34</v>
      </c>
      <c r="H6" t="s">
        <v>1078</v>
      </c>
      <c r="I6" t="s">
        <v>73</v>
      </c>
      <c r="J6">
        <v>2352.63</v>
      </c>
      <c r="K6">
        <v>6</v>
      </c>
      <c r="L6">
        <v>0</v>
      </c>
      <c r="M6">
        <v>14115.78</v>
      </c>
      <c r="N6">
        <v>14115.78</v>
      </c>
      <c r="O6" t="s">
        <v>845</v>
      </c>
      <c r="P6" t="s">
        <v>24</v>
      </c>
      <c r="Q6" t="s">
        <v>1150</v>
      </c>
    </row>
    <row r="7" spans="1:17" x14ac:dyDescent="0.3">
      <c r="A7" t="s">
        <v>836</v>
      </c>
      <c r="B7" t="s">
        <v>682</v>
      </c>
      <c r="C7" t="s">
        <v>291</v>
      </c>
      <c r="D7" t="s">
        <v>1131</v>
      </c>
      <c r="E7" t="s">
        <v>20</v>
      </c>
      <c r="F7" t="s">
        <v>899</v>
      </c>
      <c r="G7" t="s">
        <v>21</v>
      </c>
      <c r="H7" t="s">
        <v>1073</v>
      </c>
      <c r="I7" t="s">
        <v>73</v>
      </c>
      <c r="J7">
        <v>3772.12</v>
      </c>
      <c r="K7">
        <v>2</v>
      </c>
      <c r="L7">
        <v>0.1</v>
      </c>
      <c r="M7">
        <v>7544.24</v>
      </c>
      <c r="N7">
        <v>6789.8159999999998</v>
      </c>
      <c r="O7" t="s">
        <v>367</v>
      </c>
      <c r="P7" t="s">
        <v>24</v>
      </c>
      <c r="Q7" t="s">
        <v>1150</v>
      </c>
    </row>
    <row r="8" spans="1:17" x14ac:dyDescent="0.3">
      <c r="A8" t="s">
        <v>832</v>
      </c>
      <c r="B8" t="s">
        <v>272</v>
      </c>
      <c r="C8" t="s">
        <v>180</v>
      </c>
      <c r="D8" t="s">
        <v>1121</v>
      </c>
      <c r="E8" t="s">
        <v>161</v>
      </c>
      <c r="F8" t="s">
        <v>905</v>
      </c>
      <c r="G8" t="s">
        <v>14</v>
      </c>
      <c r="H8" t="s">
        <v>1080</v>
      </c>
      <c r="I8" t="s">
        <v>73</v>
      </c>
      <c r="J8">
        <v>1513.99</v>
      </c>
      <c r="K8">
        <v>3</v>
      </c>
      <c r="L8">
        <v>0.2</v>
      </c>
      <c r="M8">
        <v>4541.97</v>
      </c>
      <c r="N8">
        <v>3633.5760000000005</v>
      </c>
      <c r="O8" t="s">
        <v>692</v>
      </c>
      <c r="P8" t="s">
        <v>60</v>
      </c>
      <c r="Q8" t="s">
        <v>1150</v>
      </c>
    </row>
    <row r="9" spans="1:17" x14ac:dyDescent="0.3">
      <c r="A9" t="s">
        <v>827</v>
      </c>
      <c r="B9" t="s">
        <v>276</v>
      </c>
      <c r="C9" t="s">
        <v>110</v>
      </c>
      <c r="D9" t="s">
        <v>983</v>
      </c>
      <c r="E9" t="s">
        <v>148</v>
      </c>
      <c r="F9" t="s">
        <v>933</v>
      </c>
      <c r="G9" t="s">
        <v>82</v>
      </c>
      <c r="H9" t="s">
        <v>1076</v>
      </c>
      <c r="I9" t="s">
        <v>73</v>
      </c>
      <c r="J9">
        <v>3576.75</v>
      </c>
      <c r="K9">
        <v>4</v>
      </c>
      <c r="L9">
        <v>0</v>
      </c>
      <c r="M9">
        <v>14307</v>
      </c>
      <c r="N9">
        <v>14307</v>
      </c>
      <c r="O9" t="s">
        <v>810</v>
      </c>
      <c r="P9" t="s">
        <v>24</v>
      </c>
      <c r="Q9" t="s">
        <v>1150</v>
      </c>
    </row>
    <row r="10" spans="1:17" x14ac:dyDescent="0.3">
      <c r="A10" t="s">
        <v>823</v>
      </c>
      <c r="B10" t="s">
        <v>579</v>
      </c>
      <c r="C10" t="s">
        <v>392</v>
      </c>
      <c r="D10" t="s">
        <v>1134</v>
      </c>
      <c r="E10" t="s">
        <v>172</v>
      </c>
      <c r="F10" t="s">
        <v>898</v>
      </c>
      <c r="G10" t="s">
        <v>45</v>
      </c>
      <c r="H10" t="s">
        <v>1096</v>
      </c>
      <c r="I10" t="s">
        <v>73</v>
      </c>
      <c r="J10">
        <v>2849.53</v>
      </c>
      <c r="K10">
        <v>7</v>
      </c>
      <c r="L10">
        <v>0.2</v>
      </c>
      <c r="M10">
        <v>19946.710000000003</v>
      </c>
      <c r="N10">
        <v>15957.368000000002</v>
      </c>
      <c r="O10" t="s">
        <v>824</v>
      </c>
      <c r="P10" t="s">
        <v>24</v>
      </c>
      <c r="Q10" t="s">
        <v>1150</v>
      </c>
    </row>
    <row r="11" spans="1:17" x14ac:dyDescent="0.3">
      <c r="A11" t="s">
        <v>812</v>
      </c>
      <c r="B11" t="s">
        <v>813</v>
      </c>
      <c r="C11" t="s">
        <v>291</v>
      </c>
      <c r="D11" t="s">
        <v>1131</v>
      </c>
      <c r="E11" t="s">
        <v>77</v>
      </c>
      <c r="F11" t="s">
        <v>884</v>
      </c>
      <c r="G11" t="s">
        <v>14</v>
      </c>
      <c r="H11" t="s">
        <v>1080</v>
      </c>
      <c r="I11" t="s">
        <v>73</v>
      </c>
      <c r="J11">
        <v>3550.89</v>
      </c>
      <c r="K11">
        <v>3</v>
      </c>
      <c r="L11">
        <v>0.1</v>
      </c>
      <c r="M11">
        <v>10652.67</v>
      </c>
      <c r="N11">
        <v>9587.4030000000002</v>
      </c>
      <c r="O11" t="s">
        <v>662</v>
      </c>
      <c r="P11" t="s">
        <v>24</v>
      </c>
      <c r="Q11" t="s">
        <v>1150</v>
      </c>
    </row>
    <row r="12" spans="1:17" x14ac:dyDescent="0.3">
      <c r="A12" t="s">
        <v>797</v>
      </c>
      <c r="B12" t="s">
        <v>330</v>
      </c>
      <c r="C12" t="s">
        <v>66</v>
      </c>
      <c r="D12" t="s">
        <v>1108</v>
      </c>
      <c r="E12" t="s">
        <v>389</v>
      </c>
      <c r="F12" t="s">
        <v>883</v>
      </c>
      <c r="G12" t="s">
        <v>21</v>
      </c>
      <c r="H12" t="s">
        <v>1073</v>
      </c>
      <c r="I12" t="s">
        <v>73</v>
      </c>
      <c r="J12">
        <v>991.59</v>
      </c>
      <c r="K12">
        <v>1</v>
      </c>
      <c r="L12">
        <v>0</v>
      </c>
      <c r="M12">
        <v>991.59</v>
      </c>
      <c r="N12">
        <v>991.59</v>
      </c>
      <c r="O12" t="s">
        <v>519</v>
      </c>
      <c r="P12" t="s">
        <v>24</v>
      </c>
      <c r="Q12" t="s">
        <v>1150</v>
      </c>
    </row>
    <row r="13" spans="1:17" x14ac:dyDescent="0.3">
      <c r="A13" t="s">
        <v>69</v>
      </c>
      <c r="B13" t="s">
        <v>70</v>
      </c>
      <c r="C13" t="s">
        <v>71</v>
      </c>
      <c r="D13" t="s">
        <v>980</v>
      </c>
      <c r="E13" t="s">
        <v>72</v>
      </c>
      <c r="F13" t="s">
        <v>919</v>
      </c>
      <c r="G13" t="s">
        <v>14</v>
      </c>
      <c r="H13" t="s">
        <v>1080</v>
      </c>
      <c r="I13" t="s">
        <v>73</v>
      </c>
      <c r="J13">
        <v>2316.1999999999998</v>
      </c>
      <c r="K13">
        <v>7</v>
      </c>
      <c r="L13">
        <v>0</v>
      </c>
      <c r="M13">
        <v>16213.399999999998</v>
      </c>
      <c r="N13">
        <v>16213.399999999998</v>
      </c>
      <c r="O13" t="s">
        <v>74</v>
      </c>
      <c r="P13" t="s">
        <v>24</v>
      </c>
      <c r="Q13" t="s">
        <v>1150</v>
      </c>
    </row>
    <row r="14" spans="1:17" x14ac:dyDescent="0.3">
      <c r="A14" t="s">
        <v>796</v>
      </c>
      <c r="B14" t="s">
        <v>222</v>
      </c>
      <c r="C14" t="s">
        <v>168</v>
      </c>
      <c r="D14" t="s">
        <v>1119</v>
      </c>
      <c r="E14" t="s">
        <v>206</v>
      </c>
      <c r="F14" t="s">
        <v>887</v>
      </c>
      <c r="G14" t="s">
        <v>45</v>
      </c>
      <c r="H14" t="s">
        <v>1096</v>
      </c>
      <c r="I14" t="s">
        <v>73</v>
      </c>
      <c r="J14">
        <v>2779.58</v>
      </c>
      <c r="K14">
        <v>2</v>
      </c>
      <c r="L14">
        <v>0.05</v>
      </c>
      <c r="M14">
        <v>5559.16</v>
      </c>
      <c r="N14">
        <v>5281.2019999999993</v>
      </c>
      <c r="O14" t="s">
        <v>133</v>
      </c>
      <c r="P14" t="s">
        <v>42</v>
      </c>
      <c r="Q14" t="s">
        <v>1150</v>
      </c>
    </row>
    <row r="15" spans="1:17" x14ac:dyDescent="0.3">
      <c r="A15" t="s">
        <v>781</v>
      </c>
      <c r="B15" t="s">
        <v>593</v>
      </c>
      <c r="C15" t="s">
        <v>53</v>
      </c>
      <c r="D15" t="s">
        <v>1047</v>
      </c>
      <c r="E15" t="s">
        <v>345</v>
      </c>
      <c r="F15" t="s">
        <v>927</v>
      </c>
      <c r="G15" t="s">
        <v>14</v>
      </c>
      <c r="H15" t="s">
        <v>1080</v>
      </c>
      <c r="I15" t="s">
        <v>73</v>
      </c>
      <c r="J15">
        <v>1212.79</v>
      </c>
      <c r="K15">
        <v>4</v>
      </c>
      <c r="L15">
        <v>0</v>
      </c>
      <c r="M15">
        <v>4851.16</v>
      </c>
      <c r="N15">
        <v>4851.16</v>
      </c>
      <c r="O15" t="s">
        <v>375</v>
      </c>
      <c r="P15" t="s">
        <v>42</v>
      </c>
      <c r="Q15" t="s">
        <v>1150</v>
      </c>
    </row>
    <row r="16" spans="1:17" x14ac:dyDescent="0.3">
      <c r="A16" t="s">
        <v>779</v>
      </c>
      <c r="B16" t="s">
        <v>205</v>
      </c>
      <c r="C16" t="s">
        <v>590</v>
      </c>
      <c r="D16" t="s">
        <v>1140</v>
      </c>
      <c r="E16" t="s">
        <v>130</v>
      </c>
      <c r="F16" t="s">
        <v>912</v>
      </c>
      <c r="G16" t="s">
        <v>82</v>
      </c>
      <c r="H16" t="s">
        <v>1076</v>
      </c>
      <c r="I16" t="s">
        <v>73</v>
      </c>
      <c r="J16">
        <v>3128.51</v>
      </c>
      <c r="K16">
        <v>4</v>
      </c>
      <c r="L16">
        <v>0.15</v>
      </c>
      <c r="M16">
        <v>12514.04</v>
      </c>
      <c r="N16">
        <v>10636.934000000001</v>
      </c>
      <c r="O16" t="s">
        <v>780</v>
      </c>
      <c r="P16" t="s">
        <v>30</v>
      </c>
      <c r="Q16" t="s">
        <v>1150</v>
      </c>
    </row>
    <row r="17" spans="1:17" x14ac:dyDescent="0.3">
      <c r="A17" t="s">
        <v>776</v>
      </c>
      <c r="B17" t="s">
        <v>541</v>
      </c>
      <c r="C17" t="s">
        <v>214</v>
      </c>
      <c r="D17" t="s">
        <v>1125</v>
      </c>
      <c r="E17" t="s">
        <v>54</v>
      </c>
      <c r="F17" t="s">
        <v>891</v>
      </c>
      <c r="G17" t="s">
        <v>34</v>
      </c>
      <c r="H17" t="s">
        <v>1078</v>
      </c>
      <c r="I17" t="s">
        <v>73</v>
      </c>
      <c r="J17">
        <v>3929.31</v>
      </c>
      <c r="K17">
        <v>9</v>
      </c>
      <c r="L17">
        <v>0</v>
      </c>
      <c r="M17">
        <v>35363.79</v>
      </c>
      <c r="N17">
        <v>35363.79</v>
      </c>
      <c r="O17" t="s">
        <v>501</v>
      </c>
      <c r="P17" t="s">
        <v>24</v>
      </c>
      <c r="Q17" t="s">
        <v>1150</v>
      </c>
    </row>
    <row r="18" spans="1:17" x14ac:dyDescent="0.3">
      <c r="A18" t="s">
        <v>774</v>
      </c>
      <c r="B18" t="s">
        <v>664</v>
      </c>
      <c r="C18" t="s">
        <v>392</v>
      </c>
      <c r="D18" t="s">
        <v>1134</v>
      </c>
      <c r="E18" t="s">
        <v>111</v>
      </c>
      <c r="F18" t="s">
        <v>929</v>
      </c>
      <c r="G18" t="s">
        <v>21</v>
      </c>
      <c r="H18" t="s">
        <v>1073</v>
      </c>
      <c r="I18" t="s">
        <v>73</v>
      </c>
      <c r="J18">
        <v>4390.62</v>
      </c>
      <c r="K18">
        <v>9</v>
      </c>
      <c r="L18">
        <v>0</v>
      </c>
      <c r="M18">
        <v>39515.58</v>
      </c>
      <c r="N18">
        <v>39515.58</v>
      </c>
      <c r="O18" t="s">
        <v>775</v>
      </c>
      <c r="P18" t="s">
        <v>60</v>
      </c>
      <c r="Q18" t="s">
        <v>1150</v>
      </c>
    </row>
    <row r="19" spans="1:17" x14ac:dyDescent="0.3">
      <c r="A19" t="s">
        <v>771</v>
      </c>
      <c r="B19" t="s">
        <v>112</v>
      </c>
      <c r="C19" t="s">
        <v>124</v>
      </c>
      <c r="D19" t="s">
        <v>1112</v>
      </c>
      <c r="E19" t="s">
        <v>67</v>
      </c>
      <c r="F19" t="s">
        <v>925</v>
      </c>
      <c r="G19" t="s">
        <v>34</v>
      </c>
      <c r="H19" t="s">
        <v>1078</v>
      </c>
      <c r="I19" t="s">
        <v>73</v>
      </c>
      <c r="J19">
        <v>3205.14</v>
      </c>
      <c r="K19">
        <v>6</v>
      </c>
      <c r="L19">
        <v>0.15</v>
      </c>
      <c r="M19">
        <v>19230.84</v>
      </c>
      <c r="N19">
        <v>16346.214</v>
      </c>
      <c r="O19" t="s">
        <v>76</v>
      </c>
      <c r="P19" t="s">
        <v>24</v>
      </c>
      <c r="Q19" t="s">
        <v>1150</v>
      </c>
    </row>
    <row r="20" spans="1:17" x14ac:dyDescent="0.3">
      <c r="A20" t="s">
        <v>768</v>
      </c>
      <c r="B20" t="s">
        <v>769</v>
      </c>
      <c r="C20" t="s">
        <v>49</v>
      </c>
      <c r="D20" t="s">
        <v>1107</v>
      </c>
      <c r="E20" t="s">
        <v>465</v>
      </c>
      <c r="F20" t="s">
        <v>908</v>
      </c>
      <c r="G20" t="s">
        <v>21</v>
      </c>
      <c r="H20" t="s">
        <v>1073</v>
      </c>
      <c r="I20" t="s">
        <v>73</v>
      </c>
      <c r="J20">
        <v>1140.8</v>
      </c>
      <c r="K20">
        <v>1</v>
      </c>
      <c r="L20">
        <v>0.15</v>
      </c>
      <c r="M20">
        <v>1140.8</v>
      </c>
      <c r="N20">
        <v>969.68</v>
      </c>
      <c r="O20" t="s">
        <v>770</v>
      </c>
      <c r="P20" t="s">
        <v>24</v>
      </c>
      <c r="Q20" t="s">
        <v>1150</v>
      </c>
    </row>
    <row r="21" spans="1:17" x14ac:dyDescent="0.3">
      <c r="A21" t="s">
        <v>766</v>
      </c>
      <c r="B21" t="s">
        <v>572</v>
      </c>
      <c r="C21" t="s">
        <v>49</v>
      </c>
      <c r="D21" t="s">
        <v>1107</v>
      </c>
      <c r="E21" t="s">
        <v>121</v>
      </c>
      <c r="F21" t="s">
        <v>906</v>
      </c>
      <c r="G21" t="s">
        <v>45</v>
      </c>
      <c r="H21" t="s">
        <v>1096</v>
      </c>
      <c r="I21" t="s">
        <v>73</v>
      </c>
      <c r="J21">
        <v>3414.07</v>
      </c>
      <c r="K21">
        <v>9</v>
      </c>
      <c r="L21">
        <v>0.05</v>
      </c>
      <c r="M21">
        <v>30726.63</v>
      </c>
      <c r="N21">
        <v>29190.298500000001</v>
      </c>
      <c r="O21" t="s">
        <v>767</v>
      </c>
      <c r="P21" t="s">
        <v>30</v>
      </c>
      <c r="Q21" t="s">
        <v>1150</v>
      </c>
    </row>
    <row r="22" spans="1:17" x14ac:dyDescent="0.3">
      <c r="A22" t="s">
        <v>751</v>
      </c>
      <c r="B22" t="s">
        <v>51</v>
      </c>
      <c r="C22" t="s">
        <v>476</v>
      </c>
      <c r="D22" t="s">
        <v>983</v>
      </c>
      <c r="E22" t="s">
        <v>111</v>
      </c>
      <c r="F22" t="s">
        <v>929</v>
      </c>
      <c r="G22" t="s">
        <v>34</v>
      </c>
      <c r="H22" t="s">
        <v>1078</v>
      </c>
      <c r="I22" t="s">
        <v>73</v>
      </c>
      <c r="J22">
        <v>4390.62</v>
      </c>
      <c r="K22">
        <v>5</v>
      </c>
      <c r="L22">
        <v>0.1</v>
      </c>
      <c r="M22">
        <v>21953.1</v>
      </c>
      <c r="N22">
        <v>19757.79</v>
      </c>
      <c r="O22" t="s">
        <v>59</v>
      </c>
      <c r="P22" t="s">
        <v>17</v>
      </c>
      <c r="Q22" t="s">
        <v>1150</v>
      </c>
    </row>
    <row r="23" spans="1:17" x14ac:dyDescent="0.3">
      <c r="A23" t="s">
        <v>744</v>
      </c>
      <c r="B23" t="s">
        <v>745</v>
      </c>
      <c r="C23" t="s">
        <v>80</v>
      </c>
      <c r="D23" t="s">
        <v>1109</v>
      </c>
      <c r="E23" t="s">
        <v>77</v>
      </c>
      <c r="F23" t="s">
        <v>884</v>
      </c>
      <c r="G23" t="s">
        <v>82</v>
      </c>
      <c r="H23" t="s">
        <v>1076</v>
      </c>
      <c r="I23" t="s">
        <v>73</v>
      </c>
      <c r="J23">
        <v>3550.89</v>
      </c>
      <c r="K23">
        <v>7</v>
      </c>
      <c r="L23">
        <v>0.1</v>
      </c>
      <c r="M23">
        <v>24856.23</v>
      </c>
      <c r="N23">
        <v>22370.607</v>
      </c>
      <c r="O23" t="s">
        <v>746</v>
      </c>
      <c r="P23" t="s">
        <v>30</v>
      </c>
      <c r="Q23" t="s">
        <v>1150</v>
      </c>
    </row>
    <row r="24" spans="1:17" x14ac:dyDescent="0.3">
      <c r="A24" t="s">
        <v>118</v>
      </c>
      <c r="B24" t="s">
        <v>119</v>
      </c>
      <c r="C24" t="s">
        <v>120</v>
      </c>
      <c r="D24" t="s">
        <v>993</v>
      </c>
      <c r="E24" t="s">
        <v>121</v>
      </c>
      <c r="F24" t="s">
        <v>906</v>
      </c>
      <c r="G24" t="s">
        <v>14</v>
      </c>
      <c r="H24" t="s">
        <v>1080</v>
      </c>
      <c r="I24" t="s">
        <v>73</v>
      </c>
      <c r="J24">
        <v>3414.07</v>
      </c>
      <c r="K24">
        <v>10</v>
      </c>
      <c r="L24">
        <v>0.05</v>
      </c>
      <c r="M24">
        <v>34140.700000000004</v>
      </c>
      <c r="N24">
        <v>32433.665000000001</v>
      </c>
      <c r="O24" t="s">
        <v>122</v>
      </c>
      <c r="P24" t="s">
        <v>17</v>
      </c>
      <c r="Q24" t="s">
        <v>1150</v>
      </c>
    </row>
    <row r="25" spans="1:17" x14ac:dyDescent="0.3">
      <c r="A25" t="s">
        <v>739</v>
      </c>
      <c r="B25" t="s">
        <v>445</v>
      </c>
      <c r="C25" t="s">
        <v>550</v>
      </c>
      <c r="D25" t="s">
        <v>1127</v>
      </c>
      <c r="E25" t="s">
        <v>468</v>
      </c>
      <c r="F25" t="s">
        <v>926</v>
      </c>
      <c r="G25" t="s">
        <v>14</v>
      </c>
      <c r="H25" t="s">
        <v>1080</v>
      </c>
      <c r="I25" t="s">
        <v>73</v>
      </c>
      <c r="J25">
        <v>2113.67</v>
      </c>
      <c r="K25">
        <v>8</v>
      </c>
      <c r="L25">
        <v>0</v>
      </c>
      <c r="M25">
        <v>16909.36</v>
      </c>
      <c r="N25">
        <v>16909.36</v>
      </c>
      <c r="O25" t="s">
        <v>288</v>
      </c>
      <c r="P25" t="s">
        <v>17</v>
      </c>
      <c r="Q25" t="s">
        <v>1150</v>
      </c>
    </row>
    <row r="26" spans="1:17" x14ac:dyDescent="0.3">
      <c r="A26" t="s">
        <v>127</v>
      </c>
      <c r="B26" t="s">
        <v>128</v>
      </c>
      <c r="C26" t="s">
        <v>129</v>
      </c>
      <c r="D26" t="s">
        <v>1113</v>
      </c>
      <c r="E26" t="s">
        <v>130</v>
      </c>
      <c r="F26" t="s">
        <v>912</v>
      </c>
      <c r="G26" t="s">
        <v>21</v>
      </c>
      <c r="H26" t="s">
        <v>1073</v>
      </c>
      <c r="I26" t="s">
        <v>73</v>
      </c>
      <c r="J26">
        <v>3128.51</v>
      </c>
      <c r="K26">
        <v>5</v>
      </c>
      <c r="L26">
        <v>0.05</v>
      </c>
      <c r="M26">
        <v>15642.550000000001</v>
      </c>
      <c r="N26">
        <v>14860.422500000001</v>
      </c>
      <c r="O26" t="s">
        <v>131</v>
      </c>
      <c r="P26" t="s">
        <v>30</v>
      </c>
      <c r="Q26" t="s">
        <v>1150</v>
      </c>
    </row>
    <row r="27" spans="1:17" x14ac:dyDescent="0.3">
      <c r="A27" t="s">
        <v>736</v>
      </c>
      <c r="B27" t="s">
        <v>361</v>
      </c>
      <c r="C27" t="s">
        <v>32</v>
      </c>
      <c r="D27" t="s">
        <v>1106</v>
      </c>
      <c r="E27" t="s">
        <v>389</v>
      </c>
      <c r="F27" t="s">
        <v>883</v>
      </c>
      <c r="G27" t="s">
        <v>14</v>
      </c>
      <c r="H27" t="s">
        <v>1080</v>
      </c>
      <c r="I27" t="s">
        <v>73</v>
      </c>
      <c r="J27">
        <v>991.59</v>
      </c>
      <c r="K27">
        <v>1</v>
      </c>
      <c r="L27">
        <v>0</v>
      </c>
      <c r="M27">
        <v>991.59</v>
      </c>
      <c r="N27">
        <v>991.59</v>
      </c>
      <c r="O27" t="s">
        <v>737</v>
      </c>
      <c r="P27" t="s">
        <v>17</v>
      </c>
      <c r="Q27" t="s">
        <v>1150</v>
      </c>
    </row>
    <row r="28" spans="1:17" x14ac:dyDescent="0.3">
      <c r="A28" t="s">
        <v>135</v>
      </c>
      <c r="B28" t="s">
        <v>136</v>
      </c>
      <c r="C28" t="s">
        <v>137</v>
      </c>
      <c r="D28" t="s">
        <v>1114</v>
      </c>
      <c r="E28" t="s">
        <v>106</v>
      </c>
      <c r="F28" t="s">
        <v>894</v>
      </c>
      <c r="G28" t="s">
        <v>34</v>
      </c>
      <c r="H28" t="s">
        <v>1078</v>
      </c>
      <c r="I28" t="s">
        <v>73</v>
      </c>
      <c r="J28">
        <v>1559.65</v>
      </c>
      <c r="K28">
        <v>7</v>
      </c>
      <c r="L28">
        <v>0.1</v>
      </c>
      <c r="M28">
        <v>10917.550000000001</v>
      </c>
      <c r="N28">
        <v>9825.7950000000019</v>
      </c>
      <c r="O28" t="s">
        <v>138</v>
      </c>
      <c r="P28" t="s">
        <v>24</v>
      </c>
      <c r="Q28" t="s">
        <v>1150</v>
      </c>
    </row>
    <row r="29" spans="1:17" x14ac:dyDescent="0.3">
      <c r="A29" t="s">
        <v>730</v>
      </c>
      <c r="B29" t="s">
        <v>63</v>
      </c>
      <c r="C29" t="s">
        <v>202</v>
      </c>
      <c r="D29" t="s">
        <v>1124</v>
      </c>
      <c r="E29" t="s">
        <v>465</v>
      </c>
      <c r="F29" t="s">
        <v>908</v>
      </c>
      <c r="G29" t="s">
        <v>34</v>
      </c>
      <c r="H29" t="s">
        <v>1078</v>
      </c>
      <c r="I29" t="s">
        <v>73</v>
      </c>
      <c r="J29">
        <v>1140.8</v>
      </c>
      <c r="K29">
        <v>5</v>
      </c>
      <c r="L29">
        <v>0</v>
      </c>
      <c r="M29">
        <v>5704</v>
      </c>
      <c r="N29">
        <v>5704</v>
      </c>
      <c r="O29" t="s">
        <v>731</v>
      </c>
      <c r="P29" t="s">
        <v>24</v>
      </c>
      <c r="Q29" t="s">
        <v>1150</v>
      </c>
    </row>
    <row r="30" spans="1:17" x14ac:dyDescent="0.3">
      <c r="A30" t="s">
        <v>727</v>
      </c>
      <c r="B30" t="s">
        <v>421</v>
      </c>
      <c r="C30" t="s">
        <v>590</v>
      </c>
      <c r="D30" t="s">
        <v>1140</v>
      </c>
      <c r="E30" t="s">
        <v>206</v>
      </c>
      <c r="F30" t="s">
        <v>887</v>
      </c>
      <c r="G30" t="s">
        <v>34</v>
      </c>
      <c r="H30" t="s">
        <v>1078</v>
      </c>
      <c r="I30" t="s">
        <v>73</v>
      </c>
      <c r="J30">
        <v>2779.58</v>
      </c>
      <c r="K30">
        <v>6</v>
      </c>
      <c r="L30">
        <v>0.15</v>
      </c>
      <c r="M30">
        <v>16677.48</v>
      </c>
      <c r="N30">
        <v>14175.857999999998</v>
      </c>
      <c r="O30" t="s">
        <v>591</v>
      </c>
      <c r="P30" t="s">
        <v>60</v>
      </c>
      <c r="Q30" t="s">
        <v>1150</v>
      </c>
    </row>
    <row r="31" spans="1:17" x14ac:dyDescent="0.3">
      <c r="A31" t="s">
        <v>724</v>
      </c>
      <c r="B31" t="s">
        <v>725</v>
      </c>
      <c r="C31" t="s">
        <v>605</v>
      </c>
      <c r="D31" t="s">
        <v>1023</v>
      </c>
      <c r="E31" t="s">
        <v>454</v>
      </c>
      <c r="F31" t="s">
        <v>921</v>
      </c>
      <c r="G31" t="s">
        <v>34</v>
      </c>
      <c r="H31" t="s">
        <v>1078</v>
      </c>
      <c r="I31" t="s">
        <v>73</v>
      </c>
      <c r="J31">
        <v>1253.57</v>
      </c>
      <c r="K31">
        <v>9</v>
      </c>
      <c r="L31">
        <v>0</v>
      </c>
      <c r="M31">
        <v>11282.13</v>
      </c>
      <c r="N31">
        <v>11282.13</v>
      </c>
      <c r="O31" t="s">
        <v>726</v>
      </c>
      <c r="P31" t="s">
        <v>24</v>
      </c>
      <c r="Q31" t="s">
        <v>1150</v>
      </c>
    </row>
    <row r="32" spans="1:17" x14ac:dyDescent="0.3">
      <c r="A32" t="s">
        <v>150</v>
      </c>
      <c r="B32" t="s">
        <v>151</v>
      </c>
      <c r="C32" t="s">
        <v>152</v>
      </c>
      <c r="D32" t="s">
        <v>944</v>
      </c>
      <c r="E32" t="s">
        <v>153</v>
      </c>
      <c r="F32" t="s">
        <v>916</v>
      </c>
      <c r="G32" t="s">
        <v>21</v>
      </c>
      <c r="H32" t="s">
        <v>1073</v>
      </c>
      <c r="I32" t="s">
        <v>73</v>
      </c>
      <c r="J32">
        <v>2128.4</v>
      </c>
      <c r="K32">
        <v>1</v>
      </c>
      <c r="L32">
        <v>0.15</v>
      </c>
      <c r="M32">
        <v>2128.4</v>
      </c>
      <c r="N32">
        <v>1809.14</v>
      </c>
      <c r="O32" t="s">
        <v>154</v>
      </c>
      <c r="P32" t="s">
        <v>17</v>
      </c>
      <c r="Q32" t="s">
        <v>1150</v>
      </c>
    </row>
    <row r="33" spans="1:17" x14ac:dyDescent="0.3">
      <c r="A33" t="s">
        <v>155</v>
      </c>
      <c r="B33" t="s">
        <v>156</v>
      </c>
      <c r="C33" t="s">
        <v>157</v>
      </c>
      <c r="D33" t="s">
        <v>1117</v>
      </c>
      <c r="E33" t="s">
        <v>40</v>
      </c>
      <c r="F33" t="s">
        <v>928</v>
      </c>
      <c r="G33" t="s">
        <v>14</v>
      </c>
      <c r="H33" t="s">
        <v>1080</v>
      </c>
      <c r="I33" t="s">
        <v>73</v>
      </c>
      <c r="J33">
        <v>136.91</v>
      </c>
      <c r="K33">
        <v>2</v>
      </c>
      <c r="L33">
        <v>0.2</v>
      </c>
      <c r="M33">
        <v>273.82</v>
      </c>
      <c r="N33">
        <v>219.05600000000001</v>
      </c>
      <c r="O33" t="s">
        <v>158</v>
      </c>
      <c r="P33" t="s">
        <v>60</v>
      </c>
      <c r="Q33" t="s">
        <v>1150</v>
      </c>
    </row>
    <row r="34" spans="1:17" x14ac:dyDescent="0.3">
      <c r="A34" t="s">
        <v>701</v>
      </c>
      <c r="B34" t="s">
        <v>556</v>
      </c>
      <c r="C34" t="s">
        <v>199</v>
      </c>
      <c r="D34" t="s">
        <v>1123</v>
      </c>
      <c r="E34" t="s">
        <v>145</v>
      </c>
      <c r="F34" t="s">
        <v>900</v>
      </c>
      <c r="G34" t="s">
        <v>45</v>
      </c>
      <c r="H34" t="s">
        <v>1096</v>
      </c>
      <c r="I34" t="s">
        <v>73</v>
      </c>
      <c r="J34">
        <v>2612.71</v>
      </c>
      <c r="K34">
        <v>7</v>
      </c>
      <c r="L34">
        <v>0.1</v>
      </c>
      <c r="M34">
        <v>18288.97</v>
      </c>
      <c r="N34">
        <v>16460.073</v>
      </c>
      <c r="O34" t="s">
        <v>278</v>
      </c>
      <c r="P34" t="s">
        <v>42</v>
      </c>
      <c r="Q34" t="s">
        <v>1150</v>
      </c>
    </row>
    <row r="35" spans="1:17" x14ac:dyDescent="0.3">
      <c r="A35" t="s">
        <v>689</v>
      </c>
      <c r="B35" t="s">
        <v>62</v>
      </c>
      <c r="C35" t="s">
        <v>690</v>
      </c>
      <c r="D35" t="s">
        <v>1142</v>
      </c>
      <c r="E35" t="s">
        <v>125</v>
      </c>
      <c r="F35" t="s">
        <v>930</v>
      </c>
      <c r="G35" t="s">
        <v>82</v>
      </c>
      <c r="H35" t="s">
        <v>1076</v>
      </c>
      <c r="I35" t="s">
        <v>73</v>
      </c>
      <c r="J35">
        <v>2458.91</v>
      </c>
      <c r="K35">
        <v>10</v>
      </c>
      <c r="L35">
        <v>0.1</v>
      </c>
      <c r="M35">
        <v>24589.1</v>
      </c>
      <c r="N35">
        <v>22130.19</v>
      </c>
      <c r="O35" t="s">
        <v>612</v>
      </c>
      <c r="P35" t="s">
        <v>24</v>
      </c>
      <c r="Q35" t="s">
        <v>1150</v>
      </c>
    </row>
    <row r="36" spans="1:17" x14ac:dyDescent="0.3">
      <c r="A36" t="s">
        <v>166</v>
      </c>
      <c r="B36" t="s">
        <v>167</v>
      </c>
      <c r="C36" t="s">
        <v>168</v>
      </c>
      <c r="D36" t="s">
        <v>1119</v>
      </c>
      <c r="E36" t="s">
        <v>77</v>
      </c>
      <c r="F36" t="s">
        <v>884</v>
      </c>
      <c r="G36" t="s">
        <v>21</v>
      </c>
      <c r="H36" t="s">
        <v>1073</v>
      </c>
      <c r="I36" t="s">
        <v>73</v>
      </c>
      <c r="J36">
        <v>3550.89</v>
      </c>
      <c r="K36">
        <v>3</v>
      </c>
      <c r="L36">
        <v>0.1</v>
      </c>
      <c r="M36">
        <v>10652.67</v>
      </c>
      <c r="N36">
        <v>9587.4030000000002</v>
      </c>
      <c r="O36" t="s">
        <v>169</v>
      </c>
      <c r="P36" t="s">
        <v>60</v>
      </c>
      <c r="Q36" t="s">
        <v>1150</v>
      </c>
    </row>
    <row r="37" spans="1:17" x14ac:dyDescent="0.3">
      <c r="A37" t="s">
        <v>687</v>
      </c>
      <c r="B37" t="s">
        <v>100</v>
      </c>
      <c r="C37" t="s">
        <v>229</v>
      </c>
      <c r="D37" t="s">
        <v>1126</v>
      </c>
      <c r="E37" t="s">
        <v>304</v>
      </c>
      <c r="F37" t="s">
        <v>890</v>
      </c>
      <c r="G37" t="s">
        <v>45</v>
      </c>
      <c r="H37" t="s">
        <v>1096</v>
      </c>
      <c r="I37" t="s">
        <v>73</v>
      </c>
      <c r="J37">
        <v>1498.91</v>
      </c>
      <c r="K37">
        <v>10</v>
      </c>
      <c r="L37">
        <v>0.15</v>
      </c>
      <c r="M37">
        <v>14989.1</v>
      </c>
      <c r="N37">
        <v>12740.735000000001</v>
      </c>
      <c r="O37" t="s">
        <v>361</v>
      </c>
      <c r="P37" t="s">
        <v>60</v>
      </c>
      <c r="Q37" t="s">
        <v>1150</v>
      </c>
    </row>
    <row r="38" spans="1:17" x14ac:dyDescent="0.3">
      <c r="A38" t="s">
        <v>174</v>
      </c>
      <c r="B38" t="s">
        <v>175</v>
      </c>
      <c r="C38" t="s">
        <v>176</v>
      </c>
      <c r="D38" t="s">
        <v>1120</v>
      </c>
      <c r="E38" t="s">
        <v>161</v>
      </c>
      <c r="F38" t="s">
        <v>905</v>
      </c>
      <c r="G38" t="s">
        <v>82</v>
      </c>
      <c r="H38" t="s">
        <v>1076</v>
      </c>
      <c r="I38" t="s">
        <v>73</v>
      </c>
      <c r="J38">
        <v>1513.99</v>
      </c>
      <c r="K38">
        <v>7</v>
      </c>
      <c r="L38">
        <v>0.15</v>
      </c>
      <c r="M38">
        <v>10597.93</v>
      </c>
      <c r="N38">
        <v>9008.2404999999999</v>
      </c>
      <c r="O38" t="s">
        <v>177</v>
      </c>
      <c r="P38" t="s">
        <v>42</v>
      </c>
      <c r="Q38" t="s">
        <v>1150</v>
      </c>
    </row>
    <row r="39" spans="1:17" x14ac:dyDescent="0.3">
      <c r="A39" t="s">
        <v>178</v>
      </c>
      <c r="B39" t="s">
        <v>179</v>
      </c>
      <c r="C39" t="s">
        <v>180</v>
      </c>
      <c r="D39" t="s">
        <v>1121</v>
      </c>
      <c r="E39" t="s">
        <v>148</v>
      </c>
      <c r="F39" t="s">
        <v>933</v>
      </c>
      <c r="G39" t="s">
        <v>82</v>
      </c>
      <c r="H39" t="s">
        <v>1076</v>
      </c>
      <c r="I39" t="s">
        <v>73</v>
      </c>
      <c r="J39">
        <v>3576.75</v>
      </c>
      <c r="K39">
        <v>2</v>
      </c>
      <c r="L39">
        <v>0.15</v>
      </c>
      <c r="M39">
        <v>7153.5</v>
      </c>
      <c r="N39">
        <v>6080.4749999999995</v>
      </c>
      <c r="O39" t="s">
        <v>93</v>
      </c>
      <c r="P39" t="s">
        <v>42</v>
      </c>
      <c r="Q39" t="s">
        <v>1150</v>
      </c>
    </row>
    <row r="40" spans="1:17" x14ac:dyDescent="0.3">
      <c r="A40" t="s">
        <v>679</v>
      </c>
      <c r="B40" t="s">
        <v>151</v>
      </c>
      <c r="C40" t="s">
        <v>199</v>
      </c>
      <c r="D40" t="s">
        <v>1123</v>
      </c>
      <c r="E40" t="s">
        <v>164</v>
      </c>
      <c r="F40" t="s">
        <v>922</v>
      </c>
      <c r="G40" t="s">
        <v>34</v>
      </c>
      <c r="H40" t="s">
        <v>1078</v>
      </c>
      <c r="I40" t="s">
        <v>73</v>
      </c>
      <c r="J40">
        <v>2489.91</v>
      </c>
      <c r="K40">
        <v>5</v>
      </c>
      <c r="L40">
        <v>0.1</v>
      </c>
      <c r="M40">
        <v>12449.55</v>
      </c>
      <c r="N40">
        <v>11204.594999999999</v>
      </c>
      <c r="O40" t="s">
        <v>680</v>
      </c>
      <c r="P40" t="s">
        <v>30</v>
      </c>
      <c r="Q40" t="s">
        <v>1150</v>
      </c>
    </row>
    <row r="41" spans="1:17" x14ac:dyDescent="0.3">
      <c r="A41" t="s">
        <v>676</v>
      </c>
      <c r="B41" t="s">
        <v>510</v>
      </c>
      <c r="C41" t="s">
        <v>199</v>
      </c>
      <c r="D41" t="s">
        <v>1123</v>
      </c>
      <c r="E41" t="s">
        <v>121</v>
      </c>
      <c r="F41" t="s">
        <v>906</v>
      </c>
      <c r="G41" t="s">
        <v>14</v>
      </c>
      <c r="H41" t="s">
        <v>1080</v>
      </c>
      <c r="I41" t="s">
        <v>73</v>
      </c>
      <c r="J41">
        <v>3414.07</v>
      </c>
      <c r="K41">
        <v>8</v>
      </c>
      <c r="L41">
        <v>0</v>
      </c>
      <c r="M41">
        <v>27312.560000000001</v>
      </c>
      <c r="N41">
        <v>27312.560000000001</v>
      </c>
      <c r="O41" t="s">
        <v>55</v>
      </c>
      <c r="P41" t="s">
        <v>24</v>
      </c>
      <c r="Q41" t="s">
        <v>1150</v>
      </c>
    </row>
    <row r="42" spans="1:17" x14ac:dyDescent="0.3">
      <c r="A42" t="s">
        <v>671</v>
      </c>
      <c r="B42" t="s">
        <v>672</v>
      </c>
      <c r="C42" t="s">
        <v>120</v>
      </c>
      <c r="D42" t="s">
        <v>993</v>
      </c>
      <c r="E42" t="s">
        <v>300</v>
      </c>
      <c r="F42" t="s">
        <v>901</v>
      </c>
      <c r="G42" t="s">
        <v>14</v>
      </c>
      <c r="H42" t="s">
        <v>1080</v>
      </c>
      <c r="I42" t="s">
        <v>73</v>
      </c>
      <c r="J42">
        <v>4174.32</v>
      </c>
      <c r="K42">
        <v>4</v>
      </c>
      <c r="L42">
        <v>0</v>
      </c>
      <c r="M42">
        <v>16697.28</v>
      </c>
      <c r="N42">
        <v>16697.28</v>
      </c>
      <c r="O42" t="s">
        <v>562</v>
      </c>
      <c r="P42" t="s">
        <v>17</v>
      </c>
      <c r="Q42" t="s">
        <v>1150</v>
      </c>
    </row>
    <row r="43" spans="1:17" x14ac:dyDescent="0.3">
      <c r="A43" t="s">
        <v>668</v>
      </c>
      <c r="B43" t="s">
        <v>669</v>
      </c>
      <c r="C43" t="s">
        <v>141</v>
      </c>
      <c r="D43" t="s">
        <v>1115</v>
      </c>
      <c r="E43" t="s">
        <v>196</v>
      </c>
      <c r="F43" t="s">
        <v>885</v>
      </c>
      <c r="G43" t="s">
        <v>82</v>
      </c>
      <c r="H43" t="s">
        <v>1076</v>
      </c>
      <c r="I43" t="s">
        <v>73</v>
      </c>
      <c r="J43">
        <v>2184.5100000000002</v>
      </c>
      <c r="K43">
        <v>6</v>
      </c>
      <c r="L43">
        <v>0</v>
      </c>
      <c r="M43">
        <v>13107.060000000001</v>
      </c>
      <c r="N43">
        <v>13107.060000000001</v>
      </c>
      <c r="O43" t="s">
        <v>670</v>
      </c>
      <c r="P43" t="s">
        <v>17</v>
      </c>
      <c r="Q43" t="s">
        <v>1150</v>
      </c>
    </row>
    <row r="44" spans="1:17" x14ac:dyDescent="0.3">
      <c r="A44" t="s">
        <v>658</v>
      </c>
      <c r="B44" t="s">
        <v>103</v>
      </c>
      <c r="C44" t="s">
        <v>27</v>
      </c>
      <c r="D44" t="s">
        <v>1105</v>
      </c>
      <c r="E44" t="s">
        <v>226</v>
      </c>
      <c r="F44" t="s">
        <v>904</v>
      </c>
      <c r="G44" t="s">
        <v>45</v>
      </c>
      <c r="H44" t="s">
        <v>1096</v>
      </c>
      <c r="I44" t="s">
        <v>73</v>
      </c>
      <c r="J44">
        <v>2359.5</v>
      </c>
      <c r="K44">
        <v>10</v>
      </c>
      <c r="L44">
        <v>0</v>
      </c>
      <c r="M44">
        <v>23595</v>
      </c>
      <c r="N44">
        <v>23595</v>
      </c>
      <c r="O44" t="s">
        <v>223</v>
      </c>
      <c r="P44" t="s">
        <v>24</v>
      </c>
      <c r="Q44" t="s">
        <v>1150</v>
      </c>
    </row>
    <row r="45" spans="1:17" x14ac:dyDescent="0.3">
      <c r="A45" t="s">
        <v>652</v>
      </c>
      <c r="B45" t="s">
        <v>158</v>
      </c>
      <c r="C45" t="s">
        <v>168</v>
      </c>
      <c r="D45" t="s">
        <v>1119</v>
      </c>
      <c r="E45" t="s">
        <v>345</v>
      </c>
      <c r="F45" t="s">
        <v>927</v>
      </c>
      <c r="G45" t="s">
        <v>45</v>
      </c>
      <c r="H45" t="s">
        <v>1096</v>
      </c>
      <c r="I45" t="s">
        <v>73</v>
      </c>
      <c r="J45">
        <v>1212.79</v>
      </c>
      <c r="K45">
        <v>6</v>
      </c>
      <c r="L45">
        <v>0.1</v>
      </c>
      <c r="M45">
        <v>7276.74</v>
      </c>
      <c r="N45">
        <v>6549.0659999999998</v>
      </c>
      <c r="O45" t="s">
        <v>653</v>
      </c>
      <c r="P45" t="s">
        <v>17</v>
      </c>
      <c r="Q45" t="s">
        <v>1150</v>
      </c>
    </row>
    <row r="46" spans="1:17" x14ac:dyDescent="0.3">
      <c r="A46" t="s">
        <v>649</v>
      </c>
      <c r="B46" t="s">
        <v>370</v>
      </c>
      <c r="C46" t="s">
        <v>476</v>
      </c>
      <c r="D46" t="s">
        <v>983</v>
      </c>
      <c r="E46" t="s">
        <v>468</v>
      </c>
      <c r="F46" t="s">
        <v>926</v>
      </c>
      <c r="G46" t="s">
        <v>82</v>
      </c>
      <c r="H46" t="s">
        <v>1076</v>
      </c>
      <c r="I46" t="s">
        <v>73</v>
      </c>
      <c r="J46">
        <v>2113.67</v>
      </c>
      <c r="K46">
        <v>3</v>
      </c>
      <c r="L46">
        <v>0.05</v>
      </c>
      <c r="M46">
        <v>6341.01</v>
      </c>
      <c r="N46">
        <v>6023.9594999999999</v>
      </c>
      <c r="O46" t="s">
        <v>330</v>
      </c>
      <c r="P46" t="s">
        <v>24</v>
      </c>
      <c r="Q46" t="s">
        <v>1150</v>
      </c>
    </row>
    <row r="47" spans="1:17" x14ac:dyDescent="0.3">
      <c r="A47" t="s">
        <v>646</v>
      </c>
      <c r="B47" t="s">
        <v>154</v>
      </c>
      <c r="C47" t="s">
        <v>89</v>
      </c>
      <c r="D47" t="s">
        <v>1059</v>
      </c>
      <c r="E47" t="s">
        <v>468</v>
      </c>
      <c r="F47" t="s">
        <v>926</v>
      </c>
      <c r="G47" t="s">
        <v>45</v>
      </c>
      <c r="H47" t="s">
        <v>1096</v>
      </c>
      <c r="I47" t="s">
        <v>73</v>
      </c>
      <c r="J47">
        <v>2113.67</v>
      </c>
      <c r="K47">
        <v>9</v>
      </c>
      <c r="L47">
        <v>0.05</v>
      </c>
      <c r="M47">
        <v>19023.03</v>
      </c>
      <c r="N47">
        <v>18071.878499999999</v>
      </c>
      <c r="O47" t="s">
        <v>647</v>
      </c>
      <c r="P47" t="s">
        <v>60</v>
      </c>
      <c r="Q47" t="s">
        <v>1150</v>
      </c>
    </row>
    <row r="48" spans="1:17" x14ac:dyDescent="0.3">
      <c r="A48" t="s">
        <v>635</v>
      </c>
      <c r="B48" t="s">
        <v>317</v>
      </c>
      <c r="C48" t="s">
        <v>110</v>
      </c>
      <c r="D48" t="s">
        <v>983</v>
      </c>
      <c r="E48" t="s">
        <v>121</v>
      </c>
      <c r="F48" t="s">
        <v>906</v>
      </c>
      <c r="G48" t="s">
        <v>82</v>
      </c>
      <c r="H48" t="s">
        <v>1076</v>
      </c>
      <c r="I48" t="s">
        <v>73</v>
      </c>
      <c r="J48">
        <v>3414.07</v>
      </c>
      <c r="K48">
        <v>9</v>
      </c>
      <c r="L48">
        <v>0.05</v>
      </c>
      <c r="M48">
        <v>30726.63</v>
      </c>
      <c r="N48">
        <v>29190.298500000001</v>
      </c>
      <c r="O48" t="s">
        <v>288</v>
      </c>
      <c r="P48" t="s">
        <v>17</v>
      </c>
      <c r="Q48" t="s">
        <v>1150</v>
      </c>
    </row>
    <row r="49" spans="1:17" x14ac:dyDescent="0.3">
      <c r="A49" t="s">
        <v>633</v>
      </c>
      <c r="B49" t="s">
        <v>634</v>
      </c>
      <c r="C49" t="s">
        <v>392</v>
      </c>
      <c r="D49" t="s">
        <v>1134</v>
      </c>
      <c r="E49" t="s">
        <v>67</v>
      </c>
      <c r="F49" t="s">
        <v>925</v>
      </c>
      <c r="G49" t="s">
        <v>82</v>
      </c>
      <c r="H49" t="s">
        <v>1076</v>
      </c>
      <c r="I49" t="s">
        <v>73</v>
      </c>
      <c r="J49">
        <v>3205.14</v>
      </c>
      <c r="K49">
        <v>5</v>
      </c>
      <c r="L49">
        <v>0</v>
      </c>
      <c r="M49">
        <v>16025.699999999999</v>
      </c>
      <c r="N49">
        <v>16025.699999999999</v>
      </c>
      <c r="O49" t="s">
        <v>513</v>
      </c>
      <c r="P49" t="s">
        <v>60</v>
      </c>
      <c r="Q49" t="s">
        <v>1150</v>
      </c>
    </row>
    <row r="50" spans="1:17" x14ac:dyDescent="0.3">
      <c r="A50" t="s">
        <v>212</v>
      </c>
      <c r="B50" t="s">
        <v>213</v>
      </c>
      <c r="C50" t="s">
        <v>214</v>
      </c>
      <c r="D50" t="s">
        <v>1125</v>
      </c>
      <c r="E50" t="s">
        <v>40</v>
      </c>
      <c r="F50" t="s">
        <v>928</v>
      </c>
      <c r="G50" t="s">
        <v>14</v>
      </c>
      <c r="H50" t="s">
        <v>1080</v>
      </c>
      <c r="I50" t="s">
        <v>73</v>
      </c>
      <c r="J50">
        <v>136.91</v>
      </c>
      <c r="K50">
        <v>8</v>
      </c>
      <c r="L50">
        <v>0.2</v>
      </c>
      <c r="M50">
        <v>1095.28</v>
      </c>
      <c r="N50">
        <v>876.22400000000005</v>
      </c>
      <c r="O50" t="s">
        <v>215</v>
      </c>
      <c r="P50" t="s">
        <v>17</v>
      </c>
      <c r="Q50" t="s">
        <v>1150</v>
      </c>
    </row>
    <row r="51" spans="1:17" x14ac:dyDescent="0.3">
      <c r="A51" t="s">
        <v>627</v>
      </c>
      <c r="B51" t="s">
        <v>372</v>
      </c>
      <c r="C51" t="s">
        <v>32</v>
      </c>
      <c r="D51" t="s">
        <v>1106</v>
      </c>
      <c r="E51" t="s">
        <v>54</v>
      </c>
      <c r="F51" t="s">
        <v>891</v>
      </c>
      <c r="G51" t="s">
        <v>82</v>
      </c>
      <c r="H51" t="s">
        <v>1076</v>
      </c>
      <c r="I51" t="s">
        <v>73</v>
      </c>
      <c r="J51">
        <v>3929.31</v>
      </c>
      <c r="K51">
        <v>10</v>
      </c>
      <c r="L51">
        <v>0.15</v>
      </c>
      <c r="M51">
        <v>39293.1</v>
      </c>
      <c r="N51">
        <v>33399.134999999995</v>
      </c>
      <c r="O51" t="s">
        <v>628</v>
      </c>
      <c r="P51" t="s">
        <v>60</v>
      </c>
      <c r="Q51" t="s">
        <v>1150</v>
      </c>
    </row>
    <row r="52" spans="1:17" x14ac:dyDescent="0.3">
      <c r="A52" t="s">
        <v>614</v>
      </c>
      <c r="B52" t="s">
        <v>138</v>
      </c>
      <c r="C52" t="s">
        <v>590</v>
      </c>
      <c r="D52" t="s">
        <v>1140</v>
      </c>
      <c r="E52" t="s">
        <v>316</v>
      </c>
      <c r="F52" t="s">
        <v>907</v>
      </c>
      <c r="G52" t="s">
        <v>14</v>
      </c>
      <c r="H52" t="s">
        <v>1080</v>
      </c>
      <c r="I52" t="s">
        <v>73</v>
      </c>
      <c r="J52">
        <v>2405.98</v>
      </c>
      <c r="K52">
        <v>4</v>
      </c>
      <c r="L52">
        <v>0</v>
      </c>
      <c r="M52">
        <v>9623.92</v>
      </c>
      <c r="N52">
        <v>9623.92</v>
      </c>
      <c r="O52" t="s">
        <v>308</v>
      </c>
      <c r="P52" t="s">
        <v>17</v>
      </c>
      <c r="Q52" t="s">
        <v>1150</v>
      </c>
    </row>
    <row r="53" spans="1:17" x14ac:dyDescent="0.3">
      <c r="A53" t="s">
        <v>610</v>
      </c>
      <c r="B53" t="s">
        <v>611</v>
      </c>
      <c r="C53" t="s">
        <v>58</v>
      </c>
      <c r="D53" t="s">
        <v>1014</v>
      </c>
      <c r="E53" t="s">
        <v>54</v>
      </c>
      <c r="F53" t="s">
        <v>891</v>
      </c>
      <c r="G53" t="s">
        <v>34</v>
      </c>
      <c r="H53" t="s">
        <v>1078</v>
      </c>
      <c r="I53" t="s">
        <v>73</v>
      </c>
      <c r="J53">
        <v>3929.31</v>
      </c>
      <c r="K53">
        <v>1</v>
      </c>
      <c r="L53">
        <v>0.2</v>
      </c>
      <c r="M53">
        <v>3929.31</v>
      </c>
      <c r="N53">
        <v>3143.4480000000003</v>
      </c>
      <c r="O53" t="s">
        <v>612</v>
      </c>
      <c r="P53" t="s">
        <v>17</v>
      </c>
      <c r="Q53" t="s">
        <v>1150</v>
      </c>
    </row>
    <row r="54" spans="1:17" x14ac:dyDescent="0.3">
      <c r="A54" t="s">
        <v>609</v>
      </c>
      <c r="B54" t="s">
        <v>370</v>
      </c>
      <c r="C54" t="s">
        <v>124</v>
      </c>
      <c r="D54" t="s">
        <v>1112</v>
      </c>
      <c r="E54" t="s">
        <v>81</v>
      </c>
      <c r="F54" t="s">
        <v>886</v>
      </c>
      <c r="G54" t="s">
        <v>82</v>
      </c>
      <c r="H54" t="s">
        <v>1076</v>
      </c>
      <c r="I54" t="s">
        <v>73</v>
      </c>
      <c r="J54">
        <v>1044.7</v>
      </c>
      <c r="K54">
        <v>3</v>
      </c>
      <c r="L54">
        <v>0</v>
      </c>
      <c r="M54">
        <v>3134.1000000000004</v>
      </c>
      <c r="N54">
        <v>3134.1000000000004</v>
      </c>
      <c r="O54" t="s">
        <v>388</v>
      </c>
      <c r="P54" t="s">
        <v>17</v>
      </c>
      <c r="Q54" t="s">
        <v>1150</v>
      </c>
    </row>
    <row r="55" spans="1:17" x14ac:dyDescent="0.3">
      <c r="A55" t="s">
        <v>598</v>
      </c>
      <c r="B55" t="s">
        <v>599</v>
      </c>
      <c r="C55" t="s">
        <v>311</v>
      </c>
      <c r="D55" t="s">
        <v>1132</v>
      </c>
      <c r="E55" t="s">
        <v>254</v>
      </c>
      <c r="F55" t="s">
        <v>918</v>
      </c>
      <c r="G55" t="s">
        <v>14</v>
      </c>
      <c r="H55" t="s">
        <v>1080</v>
      </c>
      <c r="I55" t="s">
        <v>73</v>
      </c>
      <c r="J55">
        <v>605.26</v>
      </c>
      <c r="K55">
        <v>9</v>
      </c>
      <c r="L55">
        <v>0.1</v>
      </c>
      <c r="M55">
        <v>5447.34</v>
      </c>
      <c r="N55">
        <v>4902.6060000000007</v>
      </c>
      <c r="O55" t="s">
        <v>600</v>
      </c>
      <c r="P55" t="s">
        <v>30</v>
      </c>
      <c r="Q55" t="s">
        <v>1150</v>
      </c>
    </row>
    <row r="56" spans="1:17" x14ac:dyDescent="0.3">
      <c r="A56" t="s">
        <v>589</v>
      </c>
      <c r="B56" t="s">
        <v>485</v>
      </c>
      <c r="C56" t="s">
        <v>590</v>
      </c>
      <c r="D56" t="s">
        <v>1140</v>
      </c>
      <c r="E56" t="s">
        <v>468</v>
      </c>
      <c r="F56" t="s">
        <v>926</v>
      </c>
      <c r="G56" t="s">
        <v>21</v>
      </c>
      <c r="H56" t="s">
        <v>1073</v>
      </c>
      <c r="I56" t="s">
        <v>73</v>
      </c>
      <c r="J56">
        <v>2113.67</v>
      </c>
      <c r="K56">
        <v>10</v>
      </c>
      <c r="L56">
        <v>0.05</v>
      </c>
      <c r="M56">
        <v>21136.7</v>
      </c>
      <c r="N56">
        <v>20079.864999999998</v>
      </c>
      <c r="O56" t="s">
        <v>591</v>
      </c>
      <c r="P56" t="s">
        <v>30</v>
      </c>
      <c r="Q56" t="s">
        <v>1150</v>
      </c>
    </row>
    <row r="57" spans="1:17" x14ac:dyDescent="0.3">
      <c r="A57" t="s">
        <v>233</v>
      </c>
      <c r="B57" t="s">
        <v>131</v>
      </c>
      <c r="C57" t="s">
        <v>234</v>
      </c>
      <c r="D57" t="s">
        <v>1127</v>
      </c>
      <c r="E57" t="s">
        <v>121</v>
      </c>
      <c r="F57" t="s">
        <v>906</v>
      </c>
      <c r="G57" t="s">
        <v>82</v>
      </c>
      <c r="H57" t="s">
        <v>1076</v>
      </c>
      <c r="I57" t="s">
        <v>73</v>
      </c>
      <c r="J57">
        <v>3414.07</v>
      </c>
      <c r="K57">
        <v>6</v>
      </c>
      <c r="L57">
        <v>0</v>
      </c>
      <c r="M57">
        <v>20484.420000000002</v>
      </c>
      <c r="N57">
        <v>20484.420000000002</v>
      </c>
      <c r="O57" t="s">
        <v>235</v>
      </c>
      <c r="P57" t="s">
        <v>42</v>
      </c>
      <c r="Q57" t="s">
        <v>1150</v>
      </c>
    </row>
    <row r="58" spans="1:17" x14ac:dyDescent="0.3">
      <c r="A58" t="s">
        <v>587</v>
      </c>
      <c r="B58" t="s">
        <v>588</v>
      </c>
      <c r="C58" t="s">
        <v>141</v>
      </c>
      <c r="D58" t="s">
        <v>1115</v>
      </c>
      <c r="E58" t="s">
        <v>33</v>
      </c>
      <c r="F58" t="s">
        <v>932</v>
      </c>
      <c r="G58" t="s">
        <v>82</v>
      </c>
      <c r="H58" t="s">
        <v>1076</v>
      </c>
      <c r="I58" t="s">
        <v>73</v>
      </c>
      <c r="J58">
        <v>620.89</v>
      </c>
      <c r="K58">
        <v>4</v>
      </c>
      <c r="L58">
        <v>0</v>
      </c>
      <c r="M58">
        <v>2483.56</v>
      </c>
      <c r="N58">
        <v>2483.56</v>
      </c>
      <c r="O58" t="s">
        <v>507</v>
      </c>
      <c r="P58" t="s">
        <v>60</v>
      </c>
      <c r="Q58" t="s">
        <v>1150</v>
      </c>
    </row>
    <row r="59" spans="1:17" x14ac:dyDescent="0.3">
      <c r="A59" t="s">
        <v>584</v>
      </c>
      <c r="B59" t="s">
        <v>585</v>
      </c>
      <c r="C59" t="s">
        <v>214</v>
      </c>
      <c r="D59" t="s">
        <v>1125</v>
      </c>
      <c r="E59" t="s">
        <v>226</v>
      </c>
      <c r="F59" t="s">
        <v>904</v>
      </c>
      <c r="G59" t="s">
        <v>21</v>
      </c>
      <c r="H59" t="s">
        <v>1073</v>
      </c>
      <c r="I59" t="s">
        <v>73</v>
      </c>
      <c r="J59">
        <v>2359.5</v>
      </c>
      <c r="K59">
        <v>10</v>
      </c>
      <c r="L59">
        <v>0</v>
      </c>
      <c r="M59">
        <v>23595</v>
      </c>
      <c r="N59">
        <v>23595</v>
      </c>
      <c r="O59" t="s">
        <v>423</v>
      </c>
      <c r="P59" t="s">
        <v>17</v>
      </c>
      <c r="Q59" t="s">
        <v>1150</v>
      </c>
    </row>
    <row r="60" spans="1:17" x14ac:dyDescent="0.3">
      <c r="A60" t="s">
        <v>241</v>
      </c>
      <c r="B60" t="s">
        <v>154</v>
      </c>
      <c r="C60" t="s">
        <v>98</v>
      </c>
      <c r="D60" t="s">
        <v>1110</v>
      </c>
      <c r="E60" t="s">
        <v>40</v>
      </c>
      <c r="F60" t="s">
        <v>928</v>
      </c>
      <c r="G60" t="s">
        <v>14</v>
      </c>
      <c r="H60" t="s">
        <v>1080</v>
      </c>
      <c r="I60" t="s">
        <v>73</v>
      </c>
      <c r="J60">
        <v>136.91</v>
      </c>
      <c r="K60">
        <v>8</v>
      </c>
      <c r="L60">
        <v>0</v>
      </c>
      <c r="M60">
        <v>1095.28</v>
      </c>
      <c r="N60">
        <v>1095.28</v>
      </c>
      <c r="O60" t="s">
        <v>242</v>
      </c>
      <c r="P60" t="s">
        <v>17</v>
      </c>
      <c r="Q60" t="s">
        <v>1150</v>
      </c>
    </row>
    <row r="61" spans="1:17" x14ac:dyDescent="0.3">
      <c r="A61" t="s">
        <v>578</v>
      </c>
      <c r="B61" t="s">
        <v>579</v>
      </c>
      <c r="C61" t="s">
        <v>115</v>
      </c>
      <c r="D61" t="s">
        <v>996</v>
      </c>
      <c r="E61" t="s">
        <v>400</v>
      </c>
      <c r="F61" t="s">
        <v>923</v>
      </c>
      <c r="G61" t="s">
        <v>34</v>
      </c>
      <c r="H61" t="s">
        <v>1078</v>
      </c>
      <c r="I61" t="s">
        <v>73</v>
      </c>
      <c r="J61">
        <v>588.75</v>
      </c>
      <c r="K61">
        <v>6</v>
      </c>
      <c r="L61">
        <v>0</v>
      </c>
      <c r="M61">
        <v>3532.5</v>
      </c>
      <c r="N61">
        <v>3532.5</v>
      </c>
      <c r="O61" t="s">
        <v>580</v>
      </c>
      <c r="P61" t="s">
        <v>17</v>
      </c>
      <c r="Q61" t="s">
        <v>1150</v>
      </c>
    </row>
    <row r="62" spans="1:17" x14ac:dyDescent="0.3">
      <c r="A62" t="s">
        <v>576</v>
      </c>
      <c r="B62" t="s">
        <v>423</v>
      </c>
      <c r="C62" t="s">
        <v>356</v>
      </c>
      <c r="D62" t="s">
        <v>1133</v>
      </c>
      <c r="E62" t="s">
        <v>389</v>
      </c>
      <c r="F62" t="s">
        <v>883</v>
      </c>
      <c r="G62" t="s">
        <v>82</v>
      </c>
      <c r="H62" t="s">
        <v>1076</v>
      </c>
      <c r="I62" t="s">
        <v>73</v>
      </c>
      <c r="J62">
        <v>991.59</v>
      </c>
      <c r="K62">
        <v>6</v>
      </c>
      <c r="L62">
        <v>0</v>
      </c>
      <c r="M62">
        <v>5949.54</v>
      </c>
      <c r="N62">
        <v>5949.54</v>
      </c>
      <c r="O62" t="s">
        <v>577</v>
      </c>
      <c r="P62" t="s">
        <v>30</v>
      </c>
      <c r="Q62" t="s">
        <v>1150</v>
      </c>
    </row>
    <row r="63" spans="1:17" x14ac:dyDescent="0.3">
      <c r="A63" t="s">
        <v>574</v>
      </c>
      <c r="B63" t="s">
        <v>184</v>
      </c>
      <c r="C63" t="s">
        <v>190</v>
      </c>
      <c r="D63" t="s">
        <v>1119</v>
      </c>
      <c r="E63" t="s">
        <v>90</v>
      </c>
      <c r="F63" t="s">
        <v>902</v>
      </c>
      <c r="G63" t="s">
        <v>82</v>
      </c>
      <c r="H63" t="s">
        <v>1076</v>
      </c>
      <c r="I63" t="s">
        <v>73</v>
      </c>
      <c r="J63">
        <v>928.72</v>
      </c>
      <c r="K63">
        <v>3</v>
      </c>
      <c r="L63">
        <v>0.2</v>
      </c>
      <c r="M63">
        <v>2786.16</v>
      </c>
      <c r="N63">
        <v>2228.9279999999999</v>
      </c>
      <c r="O63" t="s">
        <v>575</v>
      </c>
      <c r="P63" t="s">
        <v>60</v>
      </c>
      <c r="Q63" t="s">
        <v>1150</v>
      </c>
    </row>
    <row r="64" spans="1:17" x14ac:dyDescent="0.3">
      <c r="A64" t="s">
        <v>570</v>
      </c>
      <c r="B64" t="s">
        <v>571</v>
      </c>
      <c r="C64" t="s">
        <v>110</v>
      </c>
      <c r="D64" t="s">
        <v>983</v>
      </c>
      <c r="E64" t="s">
        <v>20</v>
      </c>
      <c r="F64" t="s">
        <v>899</v>
      </c>
      <c r="G64" t="s">
        <v>82</v>
      </c>
      <c r="H64" t="s">
        <v>1076</v>
      </c>
      <c r="I64" t="s">
        <v>73</v>
      </c>
      <c r="J64">
        <v>3772.12</v>
      </c>
      <c r="K64">
        <v>0</v>
      </c>
      <c r="L64">
        <v>0.2</v>
      </c>
      <c r="M64">
        <v>0</v>
      </c>
      <c r="N64">
        <v>0</v>
      </c>
      <c r="O64" t="s">
        <v>572</v>
      </c>
      <c r="P64" t="s">
        <v>42</v>
      </c>
      <c r="Q64" t="s">
        <v>1151</v>
      </c>
    </row>
    <row r="65" spans="1:17" x14ac:dyDescent="0.3">
      <c r="A65" t="s">
        <v>258</v>
      </c>
      <c r="B65" t="s">
        <v>259</v>
      </c>
      <c r="C65" t="s">
        <v>115</v>
      </c>
      <c r="D65" t="s">
        <v>996</v>
      </c>
      <c r="E65" t="s">
        <v>260</v>
      </c>
      <c r="F65" t="s">
        <v>895</v>
      </c>
      <c r="G65" t="s">
        <v>45</v>
      </c>
      <c r="H65" t="s">
        <v>1096</v>
      </c>
      <c r="I65" t="s">
        <v>73</v>
      </c>
      <c r="J65">
        <v>3981.64</v>
      </c>
      <c r="K65">
        <v>5</v>
      </c>
      <c r="L65">
        <v>0.1</v>
      </c>
      <c r="M65">
        <v>19908.2</v>
      </c>
      <c r="N65">
        <v>17917.38</v>
      </c>
      <c r="O65" t="s">
        <v>261</v>
      </c>
      <c r="P65" t="s">
        <v>42</v>
      </c>
      <c r="Q65" t="s">
        <v>1150</v>
      </c>
    </row>
    <row r="66" spans="1:17" x14ac:dyDescent="0.3">
      <c r="A66" t="s">
        <v>555</v>
      </c>
      <c r="B66" t="s">
        <v>295</v>
      </c>
      <c r="C66" t="s">
        <v>71</v>
      </c>
      <c r="D66" t="s">
        <v>980</v>
      </c>
      <c r="E66" t="s">
        <v>254</v>
      </c>
      <c r="F66" t="s">
        <v>918</v>
      </c>
      <c r="G66" t="s">
        <v>82</v>
      </c>
      <c r="H66" t="s">
        <v>1076</v>
      </c>
      <c r="I66" t="s">
        <v>73</v>
      </c>
      <c r="J66">
        <v>605.26</v>
      </c>
      <c r="K66">
        <v>9</v>
      </c>
      <c r="L66">
        <v>0.2</v>
      </c>
      <c r="M66">
        <v>5447.34</v>
      </c>
      <c r="N66">
        <v>4357.8720000000003</v>
      </c>
      <c r="O66" t="s">
        <v>556</v>
      </c>
      <c r="P66" t="s">
        <v>17</v>
      </c>
      <c r="Q66" t="s">
        <v>1150</v>
      </c>
    </row>
    <row r="67" spans="1:17" x14ac:dyDescent="0.3">
      <c r="A67" t="s">
        <v>265</v>
      </c>
      <c r="B67" t="s">
        <v>266</v>
      </c>
      <c r="C67" t="s">
        <v>176</v>
      </c>
      <c r="D67" t="s">
        <v>1120</v>
      </c>
      <c r="E67" t="s">
        <v>267</v>
      </c>
      <c r="F67" t="s">
        <v>915</v>
      </c>
      <c r="G67" t="s">
        <v>45</v>
      </c>
      <c r="H67" t="s">
        <v>1096</v>
      </c>
      <c r="I67" t="s">
        <v>73</v>
      </c>
      <c r="J67">
        <v>2877.99</v>
      </c>
      <c r="K67">
        <v>4</v>
      </c>
      <c r="L67">
        <v>0</v>
      </c>
      <c r="M67">
        <v>11511.96</v>
      </c>
      <c r="N67">
        <v>11511.96</v>
      </c>
      <c r="O67" t="s">
        <v>268</v>
      </c>
      <c r="P67" t="s">
        <v>60</v>
      </c>
      <c r="Q67" t="s">
        <v>1150</v>
      </c>
    </row>
    <row r="68" spans="1:17" x14ac:dyDescent="0.3">
      <c r="A68" t="s">
        <v>552</v>
      </c>
      <c r="B68" t="s">
        <v>553</v>
      </c>
      <c r="C68" t="s">
        <v>160</v>
      </c>
      <c r="D68" t="s">
        <v>1118</v>
      </c>
      <c r="E68" t="s">
        <v>210</v>
      </c>
      <c r="F68" t="s">
        <v>914</v>
      </c>
      <c r="G68" t="s">
        <v>45</v>
      </c>
      <c r="H68" t="s">
        <v>1096</v>
      </c>
      <c r="I68" t="s">
        <v>73</v>
      </c>
      <c r="J68">
        <v>1187.29</v>
      </c>
      <c r="K68">
        <v>4</v>
      </c>
      <c r="L68">
        <v>0</v>
      </c>
      <c r="M68">
        <v>4749.16</v>
      </c>
      <c r="N68">
        <v>4749.16</v>
      </c>
      <c r="O68" t="s">
        <v>554</v>
      </c>
      <c r="P68" t="s">
        <v>17</v>
      </c>
      <c r="Q68" t="s">
        <v>1150</v>
      </c>
    </row>
    <row r="69" spans="1:17" x14ac:dyDescent="0.3">
      <c r="A69" t="s">
        <v>539</v>
      </c>
      <c r="B69" t="s">
        <v>540</v>
      </c>
      <c r="C69" t="s">
        <v>80</v>
      </c>
      <c r="D69" t="s">
        <v>1109</v>
      </c>
      <c r="E69" t="s">
        <v>153</v>
      </c>
      <c r="F69" t="s">
        <v>916</v>
      </c>
      <c r="G69" t="s">
        <v>34</v>
      </c>
      <c r="H69" t="s">
        <v>1078</v>
      </c>
      <c r="I69" t="s">
        <v>73</v>
      </c>
      <c r="J69">
        <v>2128.4</v>
      </c>
      <c r="K69">
        <v>7</v>
      </c>
      <c r="L69">
        <v>0.2</v>
      </c>
      <c r="M69">
        <v>14898.800000000001</v>
      </c>
      <c r="N69">
        <v>11919.04</v>
      </c>
      <c r="O69" t="s">
        <v>541</v>
      </c>
      <c r="P69" t="s">
        <v>17</v>
      </c>
      <c r="Q69" t="s">
        <v>1150</v>
      </c>
    </row>
    <row r="70" spans="1:17" x14ac:dyDescent="0.3">
      <c r="A70" t="s">
        <v>533</v>
      </c>
      <c r="B70" t="s">
        <v>423</v>
      </c>
      <c r="C70" t="s">
        <v>171</v>
      </c>
      <c r="D70" t="s">
        <v>1010</v>
      </c>
      <c r="E70" t="s">
        <v>316</v>
      </c>
      <c r="F70" t="s">
        <v>907</v>
      </c>
      <c r="G70" t="s">
        <v>14</v>
      </c>
      <c r="H70" t="s">
        <v>1080</v>
      </c>
      <c r="I70" t="s">
        <v>73</v>
      </c>
      <c r="J70">
        <v>2405.98</v>
      </c>
      <c r="K70">
        <v>2</v>
      </c>
      <c r="L70">
        <v>0.2</v>
      </c>
      <c r="M70">
        <v>4811.96</v>
      </c>
      <c r="N70">
        <v>3849.5680000000002</v>
      </c>
      <c r="O70" t="s">
        <v>379</v>
      </c>
      <c r="P70" t="s">
        <v>42</v>
      </c>
      <c r="Q70" t="s">
        <v>1150</v>
      </c>
    </row>
    <row r="71" spans="1:17" x14ac:dyDescent="0.3">
      <c r="A71" t="s">
        <v>529</v>
      </c>
      <c r="B71" t="s">
        <v>525</v>
      </c>
      <c r="C71" t="s">
        <v>476</v>
      </c>
      <c r="D71" t="s">
        <v>983</v>
      </c>
      <c r="E71" t="s">
        <v>345</v>
      </c>
      <c r="F71" t="s">
        <v>927</v>
      </c>
      <c r="G71" t="s">
        <v>34</v>
      </c>
      <c r="H71" t="s">
        <v>1078</v>
      </c>
      <c r="I71" t="s">
        <v>73</v>
      </c>
      <c r="J71">
        <v>1212.79</v>
      </c>
      <c r="K71">
        <v>7</v>
      </c>
      <c r="L71">
        <v>0.05</v>
      </c>
      <c r="M71">
        <v>8489.5299999999988</v>
      </c>
      <c r="N71">
        <v>8065.0534999999982</v>
      </c>
      <c r="O71" t="s">
        <v>530</v>
      </c>
      <c r="P71" t="s">
        <v>30</v>
      </c>
      <c r="Q71" t="s">
        <v>1150</v>
      </c>
    </row>
    <row r="72" spans="1:17" x14ac:dyDescent="0.3">
      <c r="A72" t="s">
        <v>527</v>
      </c>
      <c r="B72" t="s">
        <v>528</v>
      </c>
      <c r="C72" t="s">
        <v>105</v>
      </c>
      <c r="D72" t="s">
        <v>941</v>
      </c>
      <c r="E72" t="s">
        <v>254</v>
      </c>
      <c r="F72" t="s">
        <v>918</v>
      </c>
      <c r="G72" t="s">
        <v>34</v>
      </c>
      <c r="H72" t="s">
        <v>1078</v>
      </c>
      <c r="I72" t="s">
        <v>73</v>
      </c>
      <c r="J72">
        <v>605.26</v>
      </c>
      <c r="K72">
        <v>6</v>
      </c>
      <c r="L72">
        <v>0.2</v>
      </c>
      <c r="M72">
        <v>3631.56</v>
      </c>
      <c r="N72">
        <v>2905.248</v>
      </c>
      <c r="O72" t="s">
        <v>114</v>
      </c>
      <c r="P72" t="s">
        <v>24</v>
      </c>
      <c r="Q72" t="s">
        <v>1150</v>
      </c>
    </row>
    <row r="73" spans="1:17" x14ac:dyDescent="0.3">
      <c r="A73" t="s">
        <v>523</v>
      </c>
      <c r="B73" t="s">
        <v>193</v>
      </c>
      <c r="C73" t="s">
        <v>462</v>
      </c>
      <c r="D73" t="s">
        <v>1137</v>
      </c>
      <c r="E73" t="s">
        <v>145</v>
      </c>
      <c r="F73" t="s">
        <v>900</v>
      </c>
      <c r="G73" t="s">
        <v>14</v>
      </c>
      <c r="H73" t="s">
        <v>1080</v>
      </c>
      <c r="I73" t="s">
        <v>73</v>
      </c>
      <c r="J73">
        <v>2612.71</v>
      </c>
      <c r="K73">
        <v>5</v>
      </c>
      <c r="L73">
        <v>0.2</v>
      </c>
      <c r="M73">
        <v>13063.55</v>
      </c>
      <c r="N73">
        <v>10450.84</v>
      </c>
      <c r="O73" t="s">
        <v>337</v>
      </c>
      <c r="P73" t="s">
        <v>17</v>
      </c>
      <c r="Q73" t="s">
        <v>1150</v>
      </c>
    </row>
    <row r="74" spans="1:17" x14ac:dyDescent="0.3">
      <c r="A74" t="s">
        <v>286</v>
      </c>
      <c r="B74" t="s">
        <v>287</v>
      </c>
      <c r="C74" t="s">
        <v>89</v>
      </c>
      <c r="D74" t="s">
        <v>1059</v>
      </c>
      <c r="E74" t="s">
        <v>72</v>
      </c>
      <c r="F74" t="s">
        <v>919</v>
      </c>
      <c r="G74" t="s">
        <v>21</v>
      </c>
      <c r="H74" t="s">
        <v>1073</v>
      </c>
      <c r="I74" t="s">
        <v>73</v>
      </c>
      <c r="J74">
        <v>2316.1999999999998</v>
      </c>
      <c r="K74">
        <v>9</v>
      </c>
      <c r="L74">
        <v>0.05</v>
      </c>
      <c r="M74">
        <v>20845.8</v>
      </c>
      <c r="N74">
        <v>19803.509999999998</v>
      </c>
      <c r="O74" t="s">
        <v>288</v>
      </c>
      <c r="P74" t="s">
        <v>42</v>
      </c>
      <c r="Q74" t="s">
        <v>1150</v>
      </c>
    </row>
    <row r="75" spans="1:17" x14ac:dyDescent="0.3">
      <c r="A75" t="s">
        <v>522</v>
      </c>
      <c r="B75" t="s">
        <v>505</v>
      </c>
      <c r="C75" t="s">
        <v>460</v>
      </c>
      <c r="D75" t="s">
        <v>1136</v>
      </c>
      <c r="E75" t="s">
        <v>50</v>
      </c>
      <c r="F75" t="s">
        <v>936</v>
      </c>
      <c r="G75" t="s">
        <v>82</v>
      </c>
      <c r="H75" t="s">
        <v>1076</v>
      </c>
      <c r="I75" t="s">
        <v>73</v>
      </c>
      <c r="J75">
        <v>2041.83</v>
      </c>
      <c r="K75">
        <v>6</v>
      </c>
      <c r="L75">
        <v>0</v>
      </c>
      <c r="M75">
        <v>12250.98</v>
      </c>
      <c r="N75">
        <v>12250.98</v>
      </c>
      <c r="O75" t="s">
        <v>222</v>
      </c>
      <c r="P75" t="s">
        <v>30</v>
      </c>
      <c r="Q75" t="s">
        <v>1150</v>
      </c>
    </row>
    <row r="76" spans="1:17" x14ac:dyDescent="0.3">
      <c r="A76" t="s">
        <v>293</v>
      </c>
      <c r="B76" t="s">
        <v>294</v>
      </c>
      <c r="C76" t="s">
        <v>137</v>
      </c>
      <c r="D76" t="s">
        <v>1114</v>
      </c>
      <c r="E76" t="s">
        <v>210</v>
      </c>
      <c r="F76" t="s">
        <v>914</v>
      </c>
      <c r="G76" t="s">
        <v>45</v>
      </c>
      <c r="H76" t="s">
        <v>1096</v>
      </c>
      <c r="I76" t="s">
        <v>73</v>
      </c>
      <c r="J76">
        <v>1187.29</v>
      </c>
      <c r="K76">
        <v>4</v>
      </c>
      <c r="L76">
        <v>0.15</v>
      </c>
      <c r="M76">
        <v>4749.16</v>
      </c>
      <c r="N76">
        <v>4036.7859999999996</v>
      </c>
      <c r="O76" t="s">
        <v>295</v>
      </c>
      <c r="P76" t="s">
        <v>17</v>
      </c>
      <c r="Q76" t="s">
        <v>1150</v>
      </c>
    </row>
    <row r="77" spans="1:17" x14ac:dyDescent="0.3">
      <c r="A77" t="s">
        <v>518</v>
      </c>
      <c r="B77" t="s">
        <v>519</v>
      </c>
      <c r="C77" t="s">
        <v>168</v>
      </c>
      <c r="D77" t="s">
        <v>1119</v>
      </c>
      <c r="E77" t="s">
        <v>33</v>
      </c>
      <c r="F77" t="s">
        <v>932</v>
      </c>
      <c r="G77" t="s">
        <v>21</v>
      </c>
      <c r="H77" t="s">
        <v>1073</v>
      </c>
      <c r="I77" t="s">
        <v>73</v>
      </c>
      <c r="J77">
        <v>620.89</v>
      </c>
      <c r="K77">
        <v>3</v>
      </c>
      <c r="L77">
        <v>0.1</v>
      </c>
      <c r="M77">
        <v>1862.67</v>
      </c>
      <c r="N77">
        <v>1676.403</v>
      </c>
      <c r="O77" t="s">
        <v>520</v>
      </c>
      <c r="P77" t="s">
        <v>60</v>
      </c>
      <c r="Q77" t="s">
        <v>1150</v>
      </c>
    </row>
    <row r="78" spans="1:17" x14ac:dyDescent="0.3">
      <c r="A78" t="s">
        <v>299</v>
      </c>
      <c r="B78" t="s">
        <v>191</v>
      </c>
      <c r="C78" t="s">
        <v>120</v>
      </c>
      <c r="D78" t="s">
        <v>993</v>
      </c>
      <c r="E78" t="s">
        <v>300</v>
      </c>
      <c r="F78" t="s">
        <v>901</v>
      </c>
      <c r="G78" t="s">
        <v>34</v>
      </c>
      <c r="H78" t="s">
        <v>1078</v>
      </c>
      <c r="I78" t="s">
        <v>73</v>
      </c>
      <c r="J78">
        <v>4174.32</v>
      </c>
      <c r="K78">
        <v>10</v>
      </c>
      <c r="L78">
        <v>0.05</v>
      </c>
      <c r="M78">
        <v>41743.199999999997</v>
      </c>
      <c r="N78">
        <v>39656.039999999994</v>
      </c>
      <c r="O78" t="s">
        <v>301</v>
      </c>
      <c r="P78" t="s">
        <v>30</v>
      </c>
      <c r="Q78" t="s">
        <v>1150</v>
      </c>
    </row>
    <row r="79" spans="1:17" x14ac:dyDescent="0.3">
      <c r="A79" t="s">
        <v>302</v>
      </c>
      <c r="B79" t="s">
        <v>303</v>
      </c>
      <c r="C79" t="s">
        <v>152</v>
      </c>
      <c r="D79" t="s">
        <v>944</v>
      </c>
      <c r="E79" t="s">
        <v>304</v>
      </c>
      <c r="F79" t="s">
        <v>890</v>
      </c>
      <c r="G79" t="s">
        <v>45</v>
      </c>
      <c r="H79" t="s">
        <v>1096</v>
      </c>
      <c r="I79" t="s">
        <v>73</v>
      </c>
      <c r="J79">
        <v>1498.91</v>
      </c>
      <c r="K79">
        <v>7</v>
      </c>
      <c r="L79">
        <v>0</v>
      </c>
      <c r="M79">
        <v>10492.37</v>
      </c>
      <c r="N79">
        <v>10492.37</v>
      </c>
      <c r="O79" t="s">
        <v>305</v>
      </c>
      <c r="P79" t="s">
        <v>60</v>
      </c>
      <c r="Q79" t="s">
        <v>1150</v>
      </c>
    </row>
    <row r="80" spans="1:17" x14ac:dyDescent="0.3">
      <c r="A80" t="s">
        <v>511</v>
      </c>
      <c r="B80" t="s">
        <v>11</v>
      </c>
      <c r="C80" t="s">
        <v>144</v>
      </c>
      <c r="D80" t="s">
        <v>1116</v>
      </c>
      <c r="E80" t="s">
        <v>161</v>
      </c>
      <c r="F80" t="s">
        <v>905</v>
      </c>
      <c r="G80" t="s">
        <v>21</v>
      </c>
      <c r="H80" t="s">
        <v>1073</v>
      </c>
      <c r="I80" t="s">
        <v>73</v>
      </c>
      <c r="J80">
        <v>1513.99</v>
      </c>
      <c r="K80">
        <v>10</v>
      </c>
      <c r="L80">
        <v>0.05</v>
      </c>
      <c r="M80">
        <v>15139.9</v>
      </c>
      <c r="N80">
        <v>14382.904999999999</v>
      </c>
      <c r="O80" t="s">
        <v>16</v>
      </c>
      <c r="P80" t="s">
        <v>30</v>
      </c>
      <c r="Q80" t="s">
        <v>1150</v>
      </c>
    </row>
    <row r="81" spans="1:17" x14ac:dyDescent="0.3">
      <c r="A81" t="s">
        <v>508</v>
      </c>
      <c r="B81" t="s">
        <v>509</v>
      </c>
      <c r="C81" t="s">
        <v>311</v>
      </c>
      <c r="D81" t="s">
        <v>1132</v>
      </c>
      <c r="E81" t="s">
        <v>161</v>
      </c>
      <c r="F81" t="s">
        <v>905</v>
      </c>
      <c r="G81" t="s">
        <v>82</v>
      </c>
      <c r="H81" t="s">
        <v>1076</v>
      </c>
      <c r="I81" t="s">
        <v>73</v>
      </c>
      <c r="J81">
        <v>1513.99</v>
      </c>
      <c r="K81">
        <v>6</v>
      </c>
      <c r="L81">
        <v>0</v>
      </c>
      <c r="M81">
        <v>9083.94</v>
      </c>
      <c r="N81">
        <v>9083.94</v>
      </c>
      <c r="O81" t="s">
        <v>510</v>
      </c>
      <c r="P81" t="s">
        <v>60</v>
      </c>
      <c r="Q81" t="s">
        <v>1150</v>
      </c>
    </row>
    <row r="82" spans="1:17" x14ac:dyDescent="0.3">
      <c r="A82" t="s">
        <v>309</v>
      </c>
      <c r="B82" t="s">
        <v>310</v>
      </c>
      <c r="C82" t="s">
        <v>311</v>
      </c>
      <c r="D82" t="s">
        <v>1132</v>
      </c>
      <c r="E82" t="s">
        <v>106</v>
      </c>
      <c r="F82" t="s">
        <v>894</v>
      </c>
      <c r="G82" t="s">
        <v>45</v>
      </c>
      <c r="H82" t="s">
        <v>1096</v>
      </c>
      <c r="I82" t="s">
        <v>73</v>
      </c>
      <c r="J82">
        <v>1559.65</v>
      </c>
      <c r="K82">
        <v>7</v>
      </c>
      <c r="L82">
        <v>0.2</v>
      </c>
      <c r="M82">
        <v>10917.550000000001</v>
      </c>
      <c r="N82">
        <v>8734.0400000000009</v>
      </c>
      <c r="O82" t="s">
        <v>284</v>
      </c>
      <c r="P82" t="s">
        <v>42</v>
      </c>
      <c r="Q82" t="s">
        <v>1150</v>
      </c>
    </row>
    <row r="83" spans="1:17" x14ac:dyDescent="0.3">
      <c r="A83" t="s">
        <v>493</v>
      </c>
      <c r="B83" t="s">
        <v>494</v>
      </c>
      <c r="C83" t="s">
        <v>19</v>
      </c>
      <c r="D83" t="s">
        <v>1104</v>
      </c>
      <c r="E83" t="s">
        <v>249</v>
      </c>
      <c r="F83" t="s">
        <v>893</v>
      </c>
      <c r="G83" t="s">
        <v>21</v>
      </c>
      <c r="H83" t="s">
        <v>1073</v>
      </c>
      <c r="I83" t="s">
        <v>73</v>
      </c>
      <c r="J83">
        <v>1309.58</v>
      </c>
      <c r="K83">
        <v>7</v>
      </c>
      <c r="L83">
        <v>0.1</v>
      </c>
      <c r="M83">
        <v>9167.06</v>
      </c>
      <c r="N83">
        <v>8250.3539999999994</v>
      </c>
      <c r="O83" t="s">
        <v>217</v>
      </c>
      <c r="P83" t="s">
        <v>60</v>
      </c>
      <c r="Q83" t="s">
        <v>1150</v>
      </c>
    </row>
    <row r="84" spans="1:17" x14ac:dyDescent="0.3">
      <c r="A84" t="s">
        <v>487</v>
      </c>
      <c r="B84" t="s">
        <v>365</v>
      </c>
      <c r="C84" t="s">
        <v>80</v>
      </c>
      <c r="D84" t="s">
        <v>1109</v>
      </c>
      <c r="E84" t="s">
        <v>90</v>
      </c>
      <c r="F84" t="s">
        <v>902</v>
      </c>
      <c r="G84" t="s">
        <v>14</v>
      </c>
      <c r="H84" t="s">
        <v>1080</v>
      </c>
      <c r="I84" t="s">
        <v>73</v>
      </c>
      <c r="J84">
        <v>928.72</v>
      </c>
      <c r="K84">
        <v>10</v>
      </c>
      <c r="L84">
        <v>0.1</v>
      </c>
      <c r="M84">
        <v>9287.2000000000007</v>
      </c>
      <c r="N84">
        <v>8358.4800000000014</v>
      </c>
      <c r="O84" t="s">
        <v>488</v>
      </c>
      <c r="P84" t="s">
        <v>60</v>
      </c>
      <c r="Q84" t="s">
        <v>1150</v>
      </c>
    </row>
    <row r="85" spans="1:17" x14ac:dyDescent="0.3">
      <c r="A85" t="s">
        <v>318</v>
      </c>
      <c r="B85" t="s">
        <v>319</v>
      </c>
      <c r="C85" t="s">
        <v>32</v>
      </c>
      <c r="D85" t="s">
        <v>1106</v>
      </c>
      <c r="E85" t="s">
        <v>40</v>
      </c>
      <c r="F85" t="s">
        <v>928</v>
      </c>
      <c r="G85" t="s">
        <v>45</v>
      </c>
      <c r="H85" t="s">
        <v>1096</v>
      </c>
      <c r="I85" t="s">
        <v>73</v>
      </c>
      <c r="J85">
        <v>136.91</v>
      </c>
      <c r="K85">
        <v>5</v>
      </c>
      <c r="L85">
        <v>0.05</v>
      </c>
      <c r="M85">
        <v>684.55</v>
      </c>
      <c r="N85">
        <v>650.32249999999988</v>
      </c>
      <c r="O85" t="s">
        <v>320</v>
      </c>
      <c r="P85" t="s">
        <v>24</v>
      </c>
      <c r="Q85" t="s">
        <v>1150</v>
      </c>
    </row>
    <row r="86" spans="1:17" x14ac:dyDescent="0.3">
      <c r="A86" t="s">
        <v>321</v>
      </c>
      <c r="B86" t="s">
        <v>322</v>
      </c>
      <c r="C86" t="s">
        <v>80</v>
      </c>
      <c r="D86" t="s">
        <v>1109</v>
      </c>
      <c r="E86" t="s">
        <v>50</v>
      </c>
      <c r="F86" t="s">
        <v>936</v>
      </c>
      <c r="G86" t="s">
        <v>21</v>
      </c>
      <c r="H86" t="s">
        <v>1073</v>
      </c>
      <c r="I86" t="s">
        <v>73</v>
      </c>
      <c r="J86">
        <v>2041.83</v>
      </c>
      <c r="K86">
        <v>3</v>
      </c>
      <c r="L86">
        <v>0</v>
      </c>
      <c r="M86">
        <v>6125.49</v>
      </c>
      <c r="N86">
        <v>6125.49</v>
      </c>
      <c r="O86" t="s">
        <v>323</v>
      </c>
      <c r="P86" t="s">
        <v>42</v>
      </c>
      <c r="Q86" t="s">
        <v>1150</v>
      </c>
    </row>
    <row r="87" spans="1:17" x14ac:dyDescent="0.3">
      <c r="A87" t="s">
        <v>481</v>
      </c>
      <c r="B87" t="s">
        <v>372</v>
      </c>
      <c r="C87" t="s">
        <v>187</v>
      </c>
      <c r="D87" t="s">
        <v>1122</v>
      </c>
      <c r="E87" t="s">
        <v>81</v>
      </c>
      <c r="F87" t="s">
        <v>886</v>
      </c>
      <c r="G87" t="s">
        <v>82</v>
      </c>
      <c r="H87" t="s">
        <v>1076</v>
      </c>
      <c r="I87" t="s">
        <v>73</v>
      </c>
      <c r="J87">
        <v>1044.7</v>
      </c>
      <c r="K87">
        <v>10</v>
      </c>
      <c r="L87">
        <v>0.15</v>
      </c>
      <c r="M87">
        <v>10447</v>
      </c>
      <c r="N87">
        <v>8879.9499999999989</v>
      </c>
      <c r="O87" t="s">
        <v>482</v>
      </c>
      <c r="P87" t="s">
        <v>60</v>
      </c>
      <c r="Q87" t="s">
        <v>1150</v>
      </c>
    </row>
    <row r="88" spans="1:17" x14ac:dyDescent="0.3">
      <c r="A88" t="s">
        <v>479</v>
      </c>
      <c r="B88" t="s">
        <v>480</v>
      </c>
      <c r="C88" t="s">
        <v>356</v>
      </c>
      <c r="D88" t="s">
        <v>1133</v>
      </c>
      <c r="E88" t="s">
        <v>54</v>
      </c>
      <c r="F88" t="s">
        <v>891</v>
      </c>
      <c r="G88" t="s">
        <v>45</v>
      </c>
      <c r="H88" t="s">
        <v>1096</v>
      </c>
      <c r="I88" t="s">
        <v>73</v>
      </c>
      <c r="J88">
        <v>3929.31</v>
      </c>
      <c r="K88">
        <v>5</v>
      </c>
      <c r="L88">
        <v>0</v>
      </c>
      <c r="M88">
        <v>19646.55</v>
      </c>
      <c r="N88">
        <v>19646.55</v>
      </c>
      <c r="O88" t="s">
        <v>195</v>
      </c>
      <c r="P88" t="s">
        <v>60</v>
      </c>
      <c r="Q88" t="s">
        <v>1150</v>
      </c>
    </row>
    <row r="89" spans="1:17" x14ac:dyDescent="0.3">
      <c r="A89" t="s">
        <v>477</v>
      </c>
      <c r="B89" t="s">
        <v>478</v>
      </c>
      <c r="C89" t="s">
        <v>462</v>
      </c>
      <c r="D89" t="s">
        <v>1137</v>
      </c>
      <c r="E89" t="s">
        <v>153</v>
      </c>
      <c r="F89" t="s">
        <v>916</v>
      </c>
      <c r="G89" t="s">
        <v>82</v>
      </c>
      <c r="H89" t="s">
        <v>1076</v>
      </c>
      <c r="I89" t="s">
        <v>73</v>
      </c>
      <c r="J89">
        <v>2128.4</v>
      </c>
      <c r="K89">
        <v>10</v>
      </c>
      <c r="L89">
        <v>0.15</v>
      </c>
      <c r="M89">
        <v>21284</v>
      </c>
      <c r="N89">
        <v>18091.399999999998</v>
      </c>
      <c r="O89" t="s">
        <v>447</v>
      </c>
      <c r="P89" t="s">
        <v>60</v>
      </c>
      <c r="Q89" t="s">
        <v>1150</v>
      </c>
    </row>
    <row r="90" spans="1:17" x14ac:dyDescent="0.3">
      <c r="A90" t="s">
        <v>329</v>
      </c>
      <c r="B90" t="s">
        <v>330</v>
      </c>
      <c r="C90" t="s">
        <v>331</v>
      </c>
      <c r="D90" t="s">
        <v>1006</v>
      </c>
      <c r="E90" t="s">
        <v>20</v>
      </c>
      <c r="F90" t="s">
        <v>899</v>
      </c>
      <c r="G90" t="s">
        <v>34</v>
      </c>
      <c r="H90" t="s">
        <v>1078</v>
      </c>
      <c r="I90" t="s">
        <v>73</v>
      </c>
      <c r="J90">
        <v>3772.12</v>
      </c>
      <c r="K90">
        <v>10</v>
      </c>
      <c r="L90">
        <v>0.1</v>
      </c>
      <c r="M90">
        <v>37721.199999999997</v>
      </c>
      <c r="N90">
        <v>33949.08</v>
      </c>
      <c r="O90" t="s">
        <v>332</v>
      </c>
      <c r="P90" t="s">
        <v>17</v>
      </c>
      <c r="Q90" t="s">
        <v>1150</v>
      </c>
    </row>
    <row r="91" spans="1:17" x14ac:dyDescent="0.3">
      <c r="A91" t="s">
        <v>469</v>
      </c>
      <c r="B91" t="s">
        <v>470</v>
      </c>
      <c r="C91" t="s">
        <v>115</v>
      </c>
      <c r="D91" t="s">
        <v>996</v>
      </c>
      <c r="E91" t="s">
        <v>94</v>
      </c>
      <c r="F91" t="s">
        <v>935</v>
      </c>
      <c r="G91" t="s">
        <v>82</v>
      </c>
      <c r="H91" t="s">
        <v>1076</v>
      </c>
      <c r="I91" t="s">
        <v>73</v>
      </c>
      <c r="J91">
        <v>3610.44</v>
      </c>
      <c r="K91">
        <v>6</v>
      </c>
      <c r="L91">
        <v>0.2</v>
      </c>
      <c r="M91">
        <v>21662.639999999999</v>
      </c>
      <c r="N91">
        <v>17330.112000000001</v>
      </c>
      <c r="O91" t="s">
        <v>471</v>
      </c>
      <c r="P91" t="s">
        <v>17</v>
      </c>
      <c r="Q91" t="s">
        <v>1150</v>
      </c>
    </row>
    <row r="92" spans="1:17" x14ac:dyDescent="0.3">
      <c r="A92" t="s">
        <v>461</v>
      </c>
      <c r="B92" t="s">
        <v>368</v>
      </c>
      <c r="C92" t="s">
        <v>462</v>
      </c>
      <c r="D92" t="s">
        <v>1137</v>
      </c>
      <c r="E92" t="s">
        <v>210</v>
      </c>
      <c r="F92" t="s">
        <v>914</v>
      </c>
      <c r="G92" t="s">
        <v>82</v>
      </c>
      <c r="H92" t="s">
        <v>1076</v>
      </c>
      <c r="I92" t="s">
        <v>73</v>
      </c>
      <c r="J92">
        <v>1187.29</v>
      </c>
      <c r="K92">
        <v>8</v>
      </c>
      <c r="L92">
        <v>0</v>
      </c>
      <c r="M92">
        <v>9498.32</v>
      </c>
      <c r="N92">
        <v>9498.32</v>
      </c>
      <c r="O92" t="s">
        <v>352</v>
      </c>
      <c r="P92" t="s">
        <v>24</v>
      </c>
      <c r="Q92" t="s">
        <v>1150</v>
      </c>
    </row>
    <row r="93" spans="1:17" x14ac:dyDescent="0.3">
      <c r="A93" t="s">
        <v>442</v>
      </c>
      <c r="B93" t="s">
        <v>346</v>
      </c>
      <c r="C93" t="s">
        <v>209</v>
      </c>
      <c r="D93" t="s">
        <v>966</v>
      </c>
      <c r="E93" t="s">
        <v>72</v>
      </c>
      <c r="F93" t="s">
        <v>919</v>
      </c>
      <c r="G93" t="s">
        <v>14</v>
      </c>
      <c r="H93" t="s">
        <v>1080</v>
      </c>
      <c r="I93" t="s">
        <v>73</v>
      </c>
      <c r="J93">
        <v>2316.1999999999998</v>
      </c>
      <c r="K93">
        <v>8</v>
      </c>
      <c r="L93">
        <v>0.2</v>
      </c>
      <c r="M93">
        <v>18529.599999999999</v>
      </c>
      <c r="N93">
        <v>14823.68</v>
      </c>
      <c r="O93" t="s">
        <v>242</v>
      </c>
      <c r="P93" t="s">
        <v>30</v>
      </c>
      <c r="Q93" t="s">
        <v>1150</v>
      </c>
    </row>
    <row r="94" spans="1:17" x14ac:dyDescent="0.3">
      <c r="A94" t="s">
        <v>439</v>
      </c>
      <c r="B94" t="s">
        <v>440</v>
      </c>
      <c r="C94" t="s">
        <v>253</v>
      </c>
      <c r="D94" t="s">
        <v>1044</v>
      </c>
      <c r="E94" t="s">
        <v>148</v>
      </c>
      <c r="F94" t="s">
        <v>933</v>
      </c>
      <c r="G94" t="s">
        <v>45</v>
      </c>
      <c r="H94" t="s">
        <v>1096</v>
      </c>
      <c r="I94" t="s">
        <v>73</v>
      </c>
      <c r="J94">
        <v>3576.75</v>
      </c>
      <c r="K94">
        <v>1</v>
      </c>
      <c r="L94">
        <v>0</v>
      </c>
      <c r="M94">
        <v>3576.75</v>
      </c>
      <c r="N94">
        <v>3576.75</v>
      </c>
      <c r="O94" t="s">
        <v>441</v>
      </c>
      <c r="P94" t="s">
        <v>24</v>
      </c>
      <c r="Q94" t="s">
        <v>1150</v>
      </c>
    </row>
    <row r="95" spans="1:17" x14ac:dyDescent="0.3">
      <c r="A95" t="s">
        <v>341</v>
      </c>
      <c r="B95" t="s">
        <v>342</v>
      </c>
      <c r="C95" t="s">
        <v>98</v>
      </c>
      <c r="D95" t="s">
        <v>1110</v>
      </c>
      <c r="E95" t="s">
        <v>50</v>
      </c>
      <c r="F95" t="s">
        <v>936</v>
      </c>
      <c r="G95" t="s">
        <v>34</v>
      </c>
      <c r="H95" t="s">
        <v>1078</v>
      </c>
      <c r="I95" t="s">
        <v>73</v>
      </c>
      <c r="J95">
        <v>2041.83</v>
      </c>
      <c r="K95">
        <v>4</v>
      </c>
      <c r="L95">
        <v>0.2</v>
      </c>
      <c r="M95">
        <v>8167.32</v>
      </c>
      <c r="N95">
        <v>6533.8559999999998</v>
      </c>
      <c r="O95" t="s">
        <v>343</v>
      </c>
      <c r="P95" t="s">
        <v>17</v>
      </c>
      <c r="Q95" t="s">
        <v>1150</v>
      </c>
    </row>
    <row r="96" spans="1:17" x14ac:dyDescent="0.3">
      <c r="A96" t="s">
        <v>437</v>
      </c>
      <c r="B96" t="s">
        <v>438</v>
      </c>
      <c r="C96" t="s">
        <v>171</v>
      </c>
      <c r="D96" t="s">
        <v>1010</v>
      </c>
      <c r="E96" t="s">
        <v>33</v>
      </c>
      <c r="F96" t="s">
        <v>932</v>
      </c>
      <c r="G96" t="s">
        <v>82</v>
      </c>
      <c r="H96" t="s">
        <v>1076</v>
      </c>
      <c r="I96" t="s">
        <v>73</v>
      </c>
      <c r="J96">
        <v>620.89</v>
      </c>
      <c r="K96">
        <v>4</v>
      </c>
      <c r="L96">
        <v>0.1</v>
      </c>
      <c r="M96">
        <v>2483.56</v>
      </c>
      <c r="N96">
        <v>2235.2040000000002</v>
      </c>
      <c r="O96" t="s">
        <v>425</v>
      </c>
      <c r="P96" t="s">
        <v>60</v>
      </c>
      <c r="Q96" t="s">
        <v>1150</v>
      </c>
    </row>
    <row r="97" spans="1:17" x14ac:dyDescent="0.3">
      <c r="A97" t="s">
        <v>347</v>
      </c>
      <c r="B97" t="s">
        <v>237</v>
      </c>
      <c r="C97" t="s">
        <v>39</v>
      </c>
      <c r="D97" t="s">
        <v>990</v>
      </c>
      <c r="E97" t="s">
        <v>81</v>
      </c>
      <c r="F97" t="s">
        <v>886</v>
      </c>
      <c r="G97" t="s">
        <v>82</v>
      </c>
      <c r="H97" t="s">
        <v>1076</v>
      </c>
      <c r="I97" t="s">
        <v>73</v>
      </c>
      <c r="J97">
        <v>1044.7</v>
      </c>
      <c r="K97">
        <v>9</v>
      </c>
      <c r="L97">
        <v>0.1</v>
      </c>
      <c r="M97">
        <v>9402.3000000000011</v>
      </c>
      <c r="N97">
        <v>8462.0700000000015</v>
      </c>
      <c r="O97" t="s">
        <v>348</v>
      </c>
      <c r="P97" t="s">
        <v>30</v>
      </c>
      <c r="Q97" t="s">
        <v>1150</v>
      </c>
    </row>
    <row r="98" spans="1:17" x14ac:dyDescent="0.3">
      <c r="A98" t="s">
        <v>426</v>
      </c>
      <c r="B98" t="s">
        <v>427</v>
      </c>
      <c r="C98" t="s">
        <v>124</v>
      </c>
      <c r="D98" t="s">
        <v>1112</v>
      </c>
      <c r="E98" t="s">
        <v>72</v>
      </c>
      <c r="F98" t="s">
        <v>919</v>
      </c>
      <c r="G98" t="s">
        <v>34</v>
      </c>
      <c r="H98" t="s">
        <v>1078</v>
      </c>
      <c r="I98" t="s">
        <v>73</v>
      </c>
      <c r="J98">
        <v>2316.1999999999998</v>
      </c>
      <c r="K98">
        <v>2</v>
      </c>
      <c r="L98">
        <v>0.15</v>
      </c>
      <c r="M98">
        <v>4632.3999999999996</v>
      </c>
      <c r="N98">
        <v>3937.5399999999995</v>
      </c>
      <c r="O98" t="s">
        <v>428</v>
      </c>
      <c r="P98" t="s">
        <v>24</v>
      </c>
      <c r="Q98" t="s">
        <v>1150</v>
      </c>
    </row>
    <row r="99" spans="1:17" x14ac:dyDescent="0.3">
      <c r="A99" t="s">
        <v>422</v>
      </c>
      <c r="B99" t="s">
        <v>16</v>
      </c>
      <c r="C99" t="s">
        <v>291</v>
      </c>
      <c r="D99" t="s">
        <v>1131</v>
      </c>
      <c r="E99" t="s">
        <v>226</v>
      </c>
      <c r="F99" t="s">
        <v>904</v>
      </c>
      <c r="G99" t="s">
        <v>34</v>
      </c>
      <c r="H99" t="s">
        <v>1078</v>
      </c>
      <c r="I99" t="s">
        <v>73</v>
      </c>
      <c r="J99">
        <v>2359.5</v>
      </c>
      <c r="K99">
        <v>4</v>
      </c>
      <c r="L99">
        <v>0.2</v>
      </c>
      <c r="M99">
        <v>9438</v>
      </c>
      <c r="N99">
        <v>7550.4000000000005</v>
      </c>
      <c r="O99" t="s">
        <v>423</v>
      </c>
      <c r="P99" t="s">
        <v>17</v>
      </c>
      <c r="Q99" t="s">
        <v>1150</v>
      </c>
    </row>
    <row r="100" spans="1:17" x14ac:dyDescent="0.3">
      <c r="A100" t="s">
        <v>405</v>
      </c>
      <c r="B100" t="s">
        <v>406</v>
      </c>
      <c r="C100" t="s">
        <v>311</v>
      </c>
      <c r="D100" t="s">
        <v>1132</v>
      </c>
      <c r="E100" t="s">
        <v>40</v>
      </c>
      <c r="F100" t="s">
        <v>928</v>
      </c>
      <c r="G100" t="s">
        <v>21</v>
      </c>
      <c r="H100" t="s">
        <v>1073</v>
      </c>
      <c r="I100" t="s">
        <v>73</v>
      </c>
      <c r="J100">
        <v>136.91</v>
      </c>
      <c r="K100">
        <v>2</v>
      </c>
      <c r="L100">
        <v>0.2</v>
      </c>
      <c r="M100">
        <v>273.82</v>
      </c>
      <c r="N100">
        <v>219.05600000000001</v>
      </c>
      <c r="O100" t="s">
        <v>407</v>
      </c>
      <c r="P100" t="s">
        <v>17</v>
      </c>
      <c r="Q100" t="s">
        <v>1150</v>
      </c>
    </row>
    <row r="101" spans="1:17" x14ac:dyDescent="0.3">
      <c r="A101" t="s">
        <v>358</v>
      </c>
      <c r="B101" t="s">
        <v>359</v>
      </c>
      <c r="C101" t="s">
        <v>124</v>
      </c>
      <c r="D101" t="s">
        <v>1112</v>
      </c>
      <c r="E101" t="s">
        <v>316</v>
      </c>
      <c r="F101" t="s">
        <v>907</v>
      </c>
      <c r="G101" t="s">
        <v>14</v>
      </c>
      <c r="H101" t="s">
        <v>1080</v>
      </c>
      <c r="I101" t="s">
        <v>73</v>
      </c>
      <c r="J101">
        <v>2405.98</v>
      </c>
      <c r="K101">
        <v>9</v>
      </c>
      <c r="L101">
        <v>0</v>
      </c>
      <c r="M101">
        <v>21653.82</v>
      </c>
      <c r="N101">
        <v>21653.82</v>
      </c>
      <c r="O101" t="s">
        <v>74</v>
      </c>
      <c r="P101" t="s">
        <v>60</v>
      </c>
      <c r="Q101" t="s">
        <v>1150</v>
      </c>
    </row>
    <row r="102" spans="1:17" x14ac:dyDescent="0.3">
      <c r="A102" t="s">
        <v>387</v>
      </c>
      <c r="B102" t="s">
        <v>388</v>
      </c>
      <c r="C102" t="s">
        <v>129</v>
      </c>
      <c r="D102" t="s">
        <v>1113</v>
      </c>
      <c r="E102" t="s">
        <v>389</v>
      </c>
      <c r="F102" t="s">
        <v>883</v>
      </c>
      <c r="G102" t="s">
        <v>82</v>
      </c>
      <c r="H102" t="s">
        <v>1076</v>
      </c>
      <c r="I102" t="s">
        <v>73</v>
      </c>
      <c r="J102">
        <v>991.59</v>
      </c>
      <c r="K102">
        <v>10</v>
      </c>
      <c r="L102">
        <v>0</v>
      </c>
      <c r="M102">
        <v>9915.9</v>
      </c>
      <c r="N102">
        <v>9915.9</v>
      </c>
      <c r="O102" t="s">
        <v>230</v>
      </c>
      <c r="P102" t="s">
        <v>24</v>
      </c>
      <c r="Q102" t="s">
        <v>1150</v>
      </c>
    </row>
    <row r="103" spans="1:17" x14ac:dyDescent="0.3">
      <c r="A103" t="s">
        <v>362</v>
      </c>
      <c r="B103" t="s">
        <v>350</v>
      </c>
      <c r="C103" t="s">
        <v>214</v>
      </c>
      <c r="D103" t="s">
        <v>1125</v>
      </c>
      <c r="E103" t="s">
        <v>161</v>
      </c>
      <c r="F103" t="s">
        <v>905</v>
      </c>
      <c r="G103" t="s">
        <v>21</v>
      </c>
      <c r="H103" t="s">
        <v>1073</v>
      </c>
      <c r="I103" t="s">
        <v>73</v>
      </c>
      <c r="J103">
        <v>1513.99</v>
      </c>
      <c r="K103">
        <v>8</v>
      </c>
      <c r="L103">
        <v>0</v>
      </c>
      <c r="M103">
        <v>12111.92</v>
      </c>
      <c r="N103">
        <v>12111.92</v>
      </c>
      <c r="O103" t="s">
        <v>363</v>
      </c>
      <c r="P103" t="s">
        <v>24</v>
      </c>
      <c r="Q103" t="s">
        <v>1150</v>
      </c>
    </row>
    <row r="104" spans="1:17" x14ac:dyDescent="0.3">
      <c r="A104" t="s">
        <v>382</v>
      </c>
      <c r="B104" t="s">
        <v>383</v>
      </c>
      <c r="C104" t="s">
        <v>102</v>
      </c>
      <c r="D104" t="s">
        <v>1111</v>
      </c>
      <c r="E104" t="s">
        <v>240</v>
      </c>
      <c r="F104" t="s">
        <v>920</v>
      </c>
      <c r="G104" t="s">
        <v>21</v>
      </c>
      <c r="H104" t="s">
        <v>1073</v>
      </c>
      <c r="I104" t="s">
        <v>73</v>
      </c>
      <c r="J104">
        <v>2036.67</v>
      </c>
      <c r="K104">
        <v>7</v>
      </c>
      <c r="L104">
        <v>0</v>
      </c>
      <c r="M104">
        <v>14256.69</v>
      </c>
      <c r="N104">
        <v>14256.69</v>
      </c>
      <c r="O104" t="s">
        <v>384</v>
      </c>
      <c r="P104" t="s">
        <v>42</v>
      </c>
      <c r="Q104" t="s">
        <v>1150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pane ySplit="1" topLeftCell="A3" activePane="bottomLeft" state="frozen"/>
      <selection pane="bottomLeft" activeCell="H41" sqref="H41"/>
    </sheetView>
  </sheetViews>
  <sheetFormatPr defaultRowHeight="14.4" x14ac:dyDescent="0.3"/>
  <cols>
    <col min="1" max="1" width="15" bestFit="1" customWidth="1"/>
    <col min="2" max="2" width="18.77734375" bestFit="1" customWidth="1"/>
    <col min="3" max="3" width="14.33203125" bestFit="1" customWidth="1"/>
    <col min="4" max="4" width="14.88671875" bestFit="1" customWidth="1"/>
    <col min="5" max="5" width="17.109375" bestFit="1" customWidth="1"/>
    <col min="6" max="6" width="14.33203125" bestFit="1" customWidth="1"/>
  </cols>
  <sheetData>
    <row r="1" spans="1:6" x14ac:dyDescent="0.3">
      <c r="A1" s="1" t="s">
        <v>3</v>
      </c>
      <c r="B1" s="1" t="s">
        <v>876</v>
      </c>
      <c r="C1" s="1" t="s">
        <v>877</v>
      </c>
      <c r="D1" s="1" t="s">
        <v>878</v>
      </c>
      <c r="E1" s="1" t="s">
        <v>879</v>
      </c>
      <c r="F1" s="1" t="s">
        <v>880</v>
      </c>
    </row>
    <row r="2" spans="1:6" x14ac:dyDescent="0.3">
      <c r="A2" s="2" t="s">
        <v>99</v>
      </c>
      <c r="B2" s="2" t="s">
        <v>881</v>
      </c>
      <c r="C2" s="2" t="s">
        <v>882</v>
      </c>
      <c r="D2" s="2">
        <v>1936.31</v>
      </c>
      <c r="E2" s="2">
        <v>2352.63</v>
      </c>
      <c r="F2" s="2">
        <v>140</v>
      </c>
    </row>
    <row r="3" spans="1:6" x14ac:dyDescent="0.3">
      <c r="A3" s="2" t="s">
        <v>389</v>
      </c>
      <c r="B3" s="2" t="s">
        <v>883</v>
      </c>
      <c r="C3" s="2" t="s">
        <v>882</v>
      </c>
      <c r="D3" s="2">
        <v>772.43</v>
      </c>
      <c r="E3" s="2">
        <v>991.59</v>
      </c>
      <c r="F3" s="2">
        <v>52</v>
      </c>
    </row>
    <row r="4" spans="1:6" x14ac:dyDescent="0.3">
      <c r="A4" s="2" t="s">
        <v>77</v>
      </c>
      <c r="B4" s="2" t="s">
        <v>884</v>
      </c>
      <c r="C4" s="2" t="s">
        <v>882</v>
      </c>
      <c r="D4" s="2">
        <v>2046.26</v>
      </c>
      <c r="E4" s="2">
        <v>3550.89</v>
      </c>
      <c r="F4" s="2">
        <v>44</v>
      </c>
    </row>
    <row r="5" spans="1:6" x14ac:dyDescent="0.3">
      <c r="A5" s="2" t="s">
        <v>196</v>
      </c>
      <c r="B5" s="2" t="s">
        <v>885</v>
      </c>
      <c r="C5" s="2" t="s">
        <v>882</v>
      </c>
      <c r="D5" s="2">
        <v>1791.95</v>
      </c>
      <c r="E5" s="2">
        <v>2184.5100000000002</v>
      </c>
      <c r="F5" s="2">
        <v>47</v>
      </c>
    </row>
    <row r="6" spans="1:6" x14ac:dyDescent="0.3">
      <c r="A6" s="2" t="s">
        <v>81</v>
      </c>
      <c r="B6" s="2" t="s">
        <v>886</v>
      </c>
      <c r="C6" s="2" t="s">
        <v>882</v>
      </c>
      <c r="D6" s="2">
        <v>694.98</v>
      </c>
      <c r="E6" s="2">
        <v>1044.7</v>
      </c>
      <c r="F6" s="2">
        <v>13</v>
      </c>
    </row>
    <row r="7" spans="1:6" x14ac:dyDescent="0.3">
      <c r="A7" s="2" t="s">
        <v>206</v>
      </c>
      <c r="B7" s="2" t="s">
        <v>887</v>
      </c>
      <c r="C7" s="2" t="s">
        <v>882</v>
      </c>
      <c r="D7" s="2">
        <v>1705.67</v>
      </c>
      <c r="E7" s="2">
        <v>2779.58</v>
      </c>
      <c r="F7" s="2">
        <v>359</v>
      </c>
    </row>
    <row r="8" spans="1:6" x14ac:dyDescent="0.3">
      <c r="A8" s="2" t="s">
        <v>729</v>
      </c>
      <c r="B8" s="2" t="s">
        <v>888</v>
      </c>
      <c r="C8" s="2" t="s">
        <v>889</v>
      </c>
      <c r="D8" s="2">
        <v>1657.58</v>
      </c>
      <c r="E8" s="2">
        <v>2208.33</v>
      </c>
      <c r="F8" s="2">
        <v>301</v>
      </c>
    </row>
    <row r="9" spans="1:6" x14ac:dyDescent="0.3">
      <c r="A9" s="2" t="s">
        <v>304</v>
      </c>
      <c r="B9" s="2" t="s">
        <v>890</v>
      </c>
      <c r="C9" s="2" t="s">
        <v>889</v>
      </c>
      <c r="D9" s="2">
        <v>870.66</v>
      </c>
      <c r="E9" s="2">
        <v>1498.91</v>
      </c>
      <c r="F9" s="2">
        <v>388</v>
      </c>
    </row>
    <row r="10" spans="1:6" x14ac:dyDescent="0.3">
      <c r="A10" s="2" t="s">
        <v>54</v>
      </c>
      <c r="B10" s="2" t="s">
        <v>891</v>
      </c>
      <c r="C10" s="2" t="s">
        <v>889</v>
      </c>
      <c r="D10" s="2">
        <v>2427.17</v>
      </c>
      <c r="E10" s="2">
        <v>3929.31</v>
      </c>
      <c r="F10" s="2">
        <v>174</v>
      </c>
    </row>
    <row r="11" spans="1:6" x14ac:dyDescent="0.3">
      <c r="A11" s="2" t="s">
        <v>116</v>
      </c>
      <c r="B11" s="2" t="s">
        <v>892</v>
      </c>
      <c r="C11" s="2" t="s">
        <v>889</v>
      </c>
      <c r="D11" s="2">
        <v>869.72</v>
      </c>
      <c r="E11" s="2">
        <v>1156.02</v>
      </c>
      <c r="F11" s="2">
        <v>390</v>
      </c>
    </row>
    <row r="12" spans="1:6" x14ac:dyDescent="0.3">
      <c r="A12" s="2" t="s">
        <v>249</v>
      </c>
      <c r="B12" s="2" t="s">
        <v>893</v>
      </c>
      <c r="C12" s="2" t="s">
        <v>889</v>
      </c>
      <c r="D12" s="2">
        <v>1042.95</v>
      </c>
      <c r="E12" s="2">
        <v>1309.58</v>
      </c>
      <c r="F12" s="2">
        <v>49</v>
      </c>
    </row>
    <row r="13" spans="1:6" x14ac:dyDescent="0.3">
      <c r="A13" s="2" t="s">
        <v>106</v>
      </c>
      <c r="B13" s="2" t="s">
        <v>894</v>
      </c>
      <c r="C13" s="2" t="s">
        <v>889</v>
      </c>
      <c r="D13" s="2">
        <v>1108.99</v>
      </c>
      <c r="E13" s="2">
        <v>1559.65</v>
      </c>
      <c r="F13" s="2">
        <v>135</v>
      </c>
    </row>
    <row r="14" spans="1:6" x14ac:dyDescent="0.3">
      <c r="A14" s="2" t="s">
        <v>260</v>
      </c>
      <c r="B14" s="2" t="s">
        <v>895</v>
      </c>
      <c r="C14" s="2" t="s">
        <v>896</v>
      </c>
      <c r="D14" s="2">
        <v>2431.0300000000002</v>
      </c>
      <c r="E14" s="2">
        <v>3981.64</v>
      </c>
      <c r="F14" s="2">
        <v>274</v>
      </c>
    </row>
    <row r="15" spans="1:6" x14ac:dyDescent="0.3">
      <c r="A15" s="2" t="s">
        <v>28</v>
      </c>
      <c r="B15" s="2" t="s">
        <v>897</v>
      </c>
      <c r="C15" s="2" t="s">
        <v>896</v>
      </c>
      <c r="D15" s="2">
        <v>418.24</v>
      </c>
      <c r="E15" s="2">
        <v>733.33</v>
      </c>
      <c r="F15" s="2">
        <v>40</v>
      </c>
    </row>
    <row r="16" spans="1:6" x14ac:dyDescent="0.3">
      <c r="A16" s="2" t="s">
        <v>172</v>
      </c>
      <c r="B16" s="2" t="s">
        <v>898</v>
      </c>
      <c r="C16" s="2" t="s">
        <v>896</v>
      </c>
      <c r="D16" s="2">
        <v>1678.52</v>
      </c>
      <c r="E16" s="2">
        <v>2849.53</v>
      </c>
      <c r="F16" s="2">
        <v>316</v>
      </c>
    </row>
    <row r="17" spans="1:6" x14ac:dyDescent="0.3">
      <c r="A17" s="2" t="s">
        <v>20</v>
      </c>
      <c r="B17" s="2" t="s">
        <v>899</v>
      </c>
      <c r="C17" s="2" t="s">
        <v>896</v>
      </c>
      <c r="D17" s="2">
        <v>2662.08</v>
      </c>
      <c r="E17" s="2">
        <v>3772.12</v>
      </c>
      <c r="F17" s="2">
        <v>98</v>
      </c>
    </row>
    <row r="18" spans="1:6" x14ac:dyDescent="0.3">
      <c r="A18" s="2" t="s">
        <v>145</v>
      </c>
      <c r="B18" s="2" t="s">
        <v>900</v>
      </c>
      <c r="C18" s="2" t="s">
        <v>896</v>
      </c>
      <c r="D18" s="2">
        <v>2128.4899999999998</v>
      </c>
      <c r="E18" s="2">
        <v>2612.71</v>
      </c>
      <c r="F18" s="2">
        <v>116</v>
      </c>
    </row>
    <row r="19" spans="1:6" x14ac:dyDescent="0.3">
      <c r="A19" s="2" t="s">
        <v>300</v>
      </c>
      <c r="B19" s="2" t="s">
        <v>901</v>
      </c>
      <c r="C19" s="2" t="s">
        <v>896</v>
      </c>
      <c r="D19" s="2">
        <v>2330.5500000000002</v>
      </c>
      <c r="E19" s="2">
        <v>4174.32</v>
      </c>
      <c r="F19" s="2">
        <v>437</v>
      </c>
    </row>
    <row r="20" spans="1:6" x14ac:dyDescent="0.3">
      <c r="A20" s="2" t="s">
        <v>90</v>
      </c>
      <c r="B20" s="2" t="s">
        <v>902</v>
      </c>
      <c r="C20" s="2" t="s">
        <v>903</v>
      </c>
      <c r="D20" s="2">
        <v>736.73</v>
      </c>
      <c r="E20" s="2">
        <v>928.72</v>
      </c>
      <c r="F20" s="2">
        <v>142</v>
      </c>
    </row>
    <row r="21" spans="1:6" x14ac:dyDescent="0.3">
      <c r="A21" s="2" t="s">
        <v>226</v>
      </c>
      <c r="B21" s="2" t="s">
        <v>904</v>
      </c>
      <c r="C21" s="2" t="s">
        <v>903</v>
      </c>
      <c r="D21" s="2">
        <v>1387.56</v>
      </c>
      <c r="E21" s="2">
        <v>2359.5</v>
      </c>
      <c r="F21" s="2">
        <v>83</v>
      </c>
    </row>
    <row r="22" spans="1:6" x14ac:dyDescent="0.3">
      <c r="A22" s="2" t="s">
        <v>161</v>
      </c>
      <c r="B22" s="2" t="s">
        <v>905</v>
      </c>
      <c r="C22" s="2" t="s">
        <v>903</v>
      </c>
      <c r="D22" s="2">
        <v>1142.03</v>
      </c>
      <c r="E22" s="2">
        <v>1513.99</v>
      </c>
      <c r="F22" s="2">
        <v>136</v>
      </c>
    </row>
    <row r="23" spans="1:6" x14ac:dyDescent="0.3">
      <c r="A23" s="2" t="s">
        <v>121</v>
      </c>
      <c r="B23" s="2" t="s">
        <v>906</v>
      </c>
      <c r="C23" s="2" t="s">
        <v>903</v>
      </c>
      <c r="D23" s="2">
        <v>2120.37</v>
      </c>
      <c r="E23" s="2">
        <v>3414.07</v>
      </c>
      <c r="F23" s="2">
        <v>36</v>
      </c>
    </row>
    <row r="24" spans="1:6" x14ac:dyDescent="0.3">
      <c r="A24" s="2" t="s">
        <v>316</v>
      </c>
      <c r="B24" s="2" t="s">
        <v>907</v>
      </c>
      <c r="C24" s="2" t="s">
        <v>903</v>
      </c>
      <c r="D24" s="2">
        <v>1846.94</v>
      </c>
      <c r="E24" s="2">
        <v>2405.98</v>
      </c>
      <c r="F24" s="2">
        <v>373</v>
      </c>
    </row>
    <row r="25" spans="1:6" x14ac:dyDescent="0.3">
      <c r="A25" s="2" t="s">
        <v>465</v>
      </c>
      <c r="B25" s="2" t="s">
        <v>908</v>
      </c>
      <c r="C25" s="2" t="s">
        <v>903</v>
      </c>
      <c r="D25" s="2">
        <v>772.19</v>
      </c>
      <c r="E25" s="2">
        <v>1140.8</v>
      </c>
      <c r="F25" s="2">
        <v>138</v>
      </c>
    </row>
    <row r="26" spans="1:6" x14ac:dyDescent="0.3">
      <c r="A26" s="2" t="s">
        <v>377</v>
      </c>
      <c r="B26" s="2" t="s">
        <v>909</v>
      </c>
      <c r="C26" s="2" t="s">
        <v>910</v>
      </c>
      <c r="D26" s="2">
        <v>2969.09</v>
      </c>
      <c r="E26" s="2">
        <v>4703.04</v>
      </c>
      <c r="F26" s="2">
        <v>285</v>
      </c>
    </row>
    <row r="27" spans="1:6" x14ac:dyDescent="0.3">
      <c r="A27" s="2" t="s">
        <v>44</v>
      </c>
      <c r="B27" s="2" t="s">
        <v>911</v>
      </c>
      <c r="C27" s="2" t="s">
        <v>910</v>
      </c>
      <c r="D27" s="2">
        <v>697.86</v>
      </c>
      <c r="E27" s="2">
        <v>973.21</v>
      </c>
      <c r="F27" s="2">
        <v>393</v>
      </c>
    </row>
    <row r="28" spans="1:6" x14ac:dyDescent="0.3">
      <c r="A28" s="2" t="s">
        <v>130</v>
      </c>
      <c r="B28" s="2" t="s">
        <v>912</v>
      </c>
      <c r="C28" s="2" t="s">
        <v>910</v>
      </c>
      <c r="D28" s="2">
        <v>2339.1999999999998</v>
      </c>
      <c r="E28" s="2">
        <v>3128.51</v>
      </c>
      <c r="F28" s="2">
        <v>16</v>
      </c>
    </row>
    <row r="29" spans="1:6" x14ac:dyDescent="0.3">
      <c r="A29" s="2" t="s">
        <v>13</v>
      </c>
      <c r="B29" s="2" t="s">
        <v>913</v>
      </c>
      <c r="C29" s="2" t="s">
        <v>910</v>
      </c>
      <c r="D29" s="2">
        <v>2424.89</v>
      </c>
      <c r="E29" s="2">
        <v>3493.54</v>
      </c>
      <c r="F29" s="2">
        <v>33</v>
      </c>
    </row>
    <row r="30" spans="1:6" x14ac:dyDescent="0.3">
      <c r="A30" s="2" t="s">
        <v>210</v>
      </c>
      <c r="B30" s="2" t="s">
        <v>914</v>
      </c>
      <c r="C30" s="2" t="s">
        <v>910</v>
      </c>
      <c r="D30" s="2">
        <v>672.4</v>
      </c>
      <c r="E30" s="2">
        <v>1187.29</v>
      </c>
      <c r="F30" s="2">
        <v>448</v>
      </c>
    </row>
    <row r="31" spans="1:6" x14ac:dyDescent="0.3">
      <c r="A31" s="2" t="s">
        <v>267</v>
      </c>
      <c r="B31" s="2" t="s">
        <v>915</v>
      </c>
      <c r="C31" s="2" t="s">
        <v>910</v>
      </c>
      <c r="D31" s="2">
        <v>2167.85</v>
      </c>
      <c r="E31" s="2">
        <v>2877.99</v>
      </c>
      <c r="F31" s="2">
        <v>255</v>
      </c>
    </row>
    <row r="32" spans="1:6" x14ac:dyDescent="0.3">
      <c r="A32" s="2" t="s">
        <v>153</v>
      </c>
      <c r="B32" s="2" t="s">
        <v>916</v>
      </c>
      <c r="C32" s="2" t="s">
        <v>917</v>
      </c>
      <c r="D32" s="2">
        <v>1217.1099999999999</v>
      </c>
      <c r="E32" s="2">
        <v>2128.4</v>
      </c>
      <c r="F32" s="2">
        <v>234</v>
      </c>
    </row>
    <row r="33" spans="1:6" x14ac:dyDescent="0.3">
      <c r="A33" s="2" t="s">
        <v>254</v>
      </c>
      <c r="B33" s="2" t="s">
        <v>918</v>
      </c>
      <c r="C33" s="2" t="s">
        <v>917</v>
      </c>
      <c r="D33" s="2">
        <v>471.47</v>
      </c>
      <c r="E33" s="2">
        <v>605.26</v>
      </c>
      <c r="F33" s="2">
        <v>381</v>
      </c>
    </row>
    <row r="34" spans="1:6" x14ac:dyDescent="0.3">
      <c r="A34" s="2" t="s">
        <v>72</v>
      </c>
      <c r="B34" s="2" t="s">
        <v>919</v>
      </c>
      <c r="C34" s="2" t="s">
        <v>917</v>
      </c>
      <c r="D34" s="2">
        <v>1706.04</v>
      </c>
      <c r="E34" s="2">
        <v>2316.1999999999998</v>
      </c>
      <c r="F34" s="2">
        <v>299</v>
      </c>
    </row>
    <row r="35" spans="1:6" x14ac:dyDescent="0.3">
      <c r="A35" s="2" t="s">
        <v>240</v>
      </c>
      <c r="B35" s="2" t="s">
        <v>920</v>
      </c>
      <c r="C35" s="2" t="s">
        <v>917</v>
      </c>
      <c r="D35" s="2">
        <v>1313.88</v>
      </c>
      <c r="E35" s="2">
        <v>2036.67</v>
      </c>
      <c r="F35" s="2">
        <v>185</v>
      </c>
    </row>
    <row r="36" spans="1:6" x14ac:dyDescent="0.3">
      <c r="A36" s="2" t="s">
        <v>454</v>
      </c>
      <c r="B36" s="2" t="s">
        <v>921</v>
      </c>
      <c r="C36" s="2" t="s">
        <v>917</v>
      </c>
      <c r="D36" s="2">
        <v>697</v>
      </c>
      <c r="E36" s="2">
        <v>1253.57</v>
      </c>
      <c r="F36" s="2">
        <v>260</v>
      </c>
    </row>
    <row r="37" spans="1:6" x14ac:dyDescent="0.3">
      <c r="A37" s="2" t="s">
        <v>164</v>
      </c>
      <c r="B37" s="2" t="s">
        <v>922</v>
      </c>
      <c r="C37" s="2" t="s">
        <v>917</v>
      </c>
      <c r="D37" s="2">
        <v>1505.87</v>
      </c>
      <c r="E37" s="2">
        <v>2489.91</v>
      </c>
      <c r="F37" s="2">
        <v>440</v>
      </c>
    </row>
    <row r="38" spans="1:6" x14ac:dyDescent="0.3">
      <c r="A38" s="2" t="s">
        <v>400</v>
      </c>
      <c r="B38" s="2" t="s">
        <v>923</v>
      </c>
      <c r="C38" s="2" t="s">
        <v>924</v>
      </c>
      <c r="D38" s="2">
        <v>373.46</v>
      </c>
      <c r="E38" s="2">
        <v>588.75</v>
      </c>
      <c r="F38" s="2">
        <v>405</v>
      </c>
    </row>
    <row r="39" spans="1:6" x14ac:dyDescent="0.3">
      <c r="A39" s="2" t="s">
        <v>67</v>
      </c>
      <c r="B39" s="2" t="s">
        <v>925</v>
      </c>
      <c r="C39" s="2" t="s">
        <v>924</v>
      </c>
      <c r="D39" s="2">
        <v>2057.42</v>
      </c>
      <c r="E39" s="2">
        <v>3205.14</v>
      </c>
      <c r="F39" s="2">
        <v>197</v>
      </c>
    </row>
    <row r="40" spans="1:6" x14ac:dyDescent="0.3">
      <c r="A40" s="2" t="s">
        <v>468</v>
      </c>
      <c r="B40" s="2" t="s">
        <v>926</v>
      </c>
      <c r="C40" s="2" t="s">
        <v>924</v>
      </c>
      <c r="D40" s="2">
        <v>1175.78</v>
      </c>
      <c r="E40" s="2">
        <v>2113.67</v>
      </c>
      <c r="F40" s="2">
        <v>270</v>
      </c>
    </row>
    <row r="41" spans="1:6" x14ac:dyDescent="0.3">
      <c r="A41" s="2" t="s">
        <v>345</v>
      </c>
      <c r="B41" s="2" t="s">
        <v>927</v>
      </c>
      <c r="C41" s="2" t="s">
        <v>924</v>
      </c>
      <c r="D41" s="2">
        <v>791.67</v>
      </c>
      <c r="E41" s="2">
        <v>1212.79</v>
      </c>
      <c r="F41" s="2">
        <v>482</v>
      </c>
    </row>
    <row r="42" spans="1:6" x14ac:dyDescent="0.3">
      <c r="A42" s="2" t="s">
        <v>40</v>
      </c>
      <c r="B42" s="2" t="s">
        <v>928</v>
      </c>
      <c r="C42" s="2" t="s">
        <v>924</v>
      </c>
      <c r="D42" s="2">
        <v>83.87</v>
      </c>
      <c r="E42" s="2">
        <v>136.91</v>
      </c>
      <c r="F42" s="2">
        <v>349</v>
      </c>
    </row>
    <row r="43" spans="1:6" x14ac:dyDescent="0.3">
      <c r="A43" s="2" t="s">
        <v>111</v>
      </c>
      <c r="B43" s="2" t="s">
        <v>929</v>
      </c>
      <c r="C43" s="2" t="s">
        <v>924</v>
      </c>
      <c r="D43" s="2">
        <v>2660.13</v>
      </c>
      <c r="E43" s="2">
        <v>4390.62</v>
      </c>
      <c r="F43" s="2">
        <v>393</v>
      </c>
    </row>
    <row r="44" spans="1:6" x14ac:dyDescent="0.3">
      <c r="A44" s="2" t="s">
        <v>125</v>
      </c>
      <c r="B44" s="2" t="s">
        <v>930</v>
      </c>
      <c r="C44" s="2" t="s">
        <v>931</v>
      </c>
      <c r="D44" s="2">
        <v>1940.84</v>
      </c>
      <c r="E44" s="2">
        <v>2458.91</v>
      </c>
      <c r="F44" s="2">
        <v>222</v>
      </c>
    </row>
    <row r="45" spans="1:6" x14ac:dyDescent="0.3">
      <c r="A45" s="2" t="s">
        <v>33</v>
      </c>
      <c r="B45" s="2" t="s">
        <v>932</v>
      </c>
      <c r="C45" s="2" t="s">
        <v>931</v>
      </c>
      <c r="D45" s="2">
        <v>516.57000000000005</v>
      </c>
      <c r="E45" s="2">
        <v>620.89</v>
      </c>
      <c r="F45" s="2">
        <v>369</v>
      </c>
    </row>
    <row r="46" spans="1:6" x14ac:dyDescent="0.3">
      <c r="A46" s="2" t="s">
        <v>148</v>
      </c>
      <c r="B46" s="2" t="s">
        <v>933</v>
      </c>
      <c r="C46" s="2" t="s">
        <v>931</v>
      </c>
      <c r="D46" s="2">
        <v>2633.77</v>
      </c>
      <c r="E46" s="2">
        <v>3576.75</v>
      </c>
      <c r="F46" s="2">
        <v>256</v>
      </c>
    </row>
    <row r="47" spans="1:6" x14ac:dyDescent="0.3">
      <c r="A47" s="2" t="s">
        <v>85</v>
      </c>
      <c r="B47" s="2" t="s">
        <v>934</v>
      </c>
      <c r="C47" s="2" t="s">
        <v>931</v>
      </c>
      <c r="D47" s="2">
        <v>2297.79</v>
      </c>
      <c r="E47" s="2">
        <v>3457.28</v>
      </c>
      <c r="F47" s="2">
        <v>54</v>
      </c>
    </row>
    <row r="48" spans="1:6" x14ac:dyDescent="0.3">
      <c r="A48" s="2" t="s">
        <v>94</v>
      </c>
      <c r="B48" s="2" t="s">
        <v>935</v>
      </c>
      <c r="C48" s="2" t="s">
        <v>931</v>
      </c>
      <c r="D48" s="2">
        <v>2618.0300000000002</v>
      </c>
      <c r="E48" s="2">
        <v>3610.44</v>
      </c>
      <c r="F48" s="2">
        <v>327</v>
      </c>
    </row>
    <row r="49" spans="1:6" x14ac:dyDescent="0.3">
      <c r="A49" s="2" t="s">
        <v>50</v>
      </c>
      <c r="B49" s="2" t="s">
        <v>936</v>
      </c>
      <c r="C49" s="2" t="s">
        <v>931</v>
      </c>
      <c r="D49" s="2">
        <v>1547.61</v>
      </c>
      <c r="E49" s="2">
        <v>2041.83</v>
      </c>
      <c r="F49" s="2">
        <v>191</v>
      </c>
    </row>
  </sheetData>
  <autoFilter ref="A1:F49"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1"/>
  <sheetViews>
    <sheetView workbookViewId="0">
      <pane ySplit="1" topLeftCell="A35" activePane="bottomLeft" state="frozen"/>
      <selection pane="bottomLeft" activeCell="G44" sqref="G44"/>
    </sheetView>
  </sheetViews>
  <sheetFormatPr defaultRowHeight="14.4" x14ac:dyDescent="0.3"/>
  <cols>
    <col min="1" max="1" width="17" bestFit="1" customWidth="1"/>
    <col min="2" max="2" width="20.77734375" bestFit="1" customWidth="1"/>
    <col min="3" max="3" width="27.44140625" bestFit="1" customWidth="1"/>
    <col min="4" max="4" width="10.6640625" bestFit="1" customWidth="1"/>
    <col min="5" max="5" width="14" bestFit="1" customWidth="1"/>
  </cols>
  <sheetData>
    <row r="1" spans="1:5" x14ac:dyDescent="0.3">
      <c r="A1" s="1" t="s">
        <v>2</v>
      </c>
      <c r="B1" s="1" t="s">
        <v>937</v>
      </c>
      <c r="C1" s="1" t="s">
        <v>938</v>
      </c>
      <c r="D1" s="1" t="s">
        <v>939</v>
      </c>
      <c r="E1" s="1" t="s">
        <v>940</v>
      </c>
    </row>
    <row r="2" spans="1:5" x14ac:dyDescent="0.3">
      <c r="A2" s="2" t="s">
        <v>105</v>
      </c>
      <c r="B2" s="2" t="s">
        <v>941</v>
      </c>
      <c r="C2" s="2" t="s">
        <v>942</v>
      </c>
      <c r="D2" s="2" t="s">
        <v>943</v>
      </c>
      <c r="E2" s="2" t="s">
        <v>179</v>
      </c>
    </row>
    <row r="3" spans="1:5" x14ac:dyDescent="0.3">
      <c r="A3" s="2" t="s">
        <v>152</v>
      </c>
      <c r="B3" s="2" t="s">
        <v>944</v>
      </c>
      <c r="C3" s="2" t="s">
        <v>945</v>
      </c>
      <c r="D3" s="2" t="s">
        <v>946</v>
      </c>
      <c r="E3" s="2" t="s">
        <v>749</v>
      </c>
    </row>
    <row r="4" spans="1:5" x14ac:dyDescent="0.3">
      <c r="A4" s="2" t="s">
        <v>137</v>
      </c>
      <c r="B4" s="2" t="s">
        <v>1114</v>
      </c>
      <c r="C4" s="2" t="s">
        <v>947</v>
      </c>
      <c r="D4" s="2" t="s">
        <v>948</v>
      </c>
      <c r="E4" s="2" t="s">
        <v>949</v>
      </c>
    </row>
    <row r="5" spans="1:5" x14ac:dyDescent="0.3">
      <c r="A5" s="2" t="s">
        <v>607</v>
      </c>
      <c r="B5" s="2" t="s">
        <v>1141</v>
      </c>
      <c r="C5" s="2" t="s">
        <v>950</v>
      </c>
      <c r="D5" s="2" t="s">
        <v>951</v>
      </c>
      <c r="E5" s="2" t="s">
        <v>952</v>
      </c>
    </row>
    <row r="6" spans="1:5" x14ac:dyDescent="0.3">
      <c r="A6" s="2" t="s">
        <v>187</v>
      </c>
      <c r="B6" s="2" t="s">
        <v>1122</v>
      </c>
      <c r="C6" s="2" t="s">
        <v>953</v>
      </c>
      <c r="D6" s="2" t="s">
        <v>954</v>
      </c>
      <c r="E6" s="2" t="s">
        <v>955</v>
      </c>
    </row>
    <row r="7" spans="1:5" x14ac:dyDescent="0.3">
      <c r="A7" s="2" t="s">
        <v>124</v>
      </c>
      <c r="B7" s="2" t="s">
        <v>1112</v>
      </c>
      <c r="C7" s="2" t="s">
        <v>956</v>
      </c>
      <c r="D7" s="2" t="s">
        <v>948</v>
      </c>
      <c r="E7" s="2" t="s">
        <v>957</v>
      </c>
    </row>
    <row r="8" spans="1:5" x14ac:dyDescent="0.3">
      <c r="A8" s="2" t="s">
        <v>144</v>
      </c>
      <c r="B8" s="2" t="s">
        <v>1116</v>
      </c>
      <c r="C8" s="2" t="s">
        <v>958</v>
      </c>
      <c r="D8" s="2" t="s">
        <v>946</v>
      </c>
      <c r="E8" s="2" t="s">
        <v>959</v>
      </c>
    </row>
    <row r="9" spans="1:5" x14ac:dyDescent="0.3">
      <c r="A9" s="2" t="s">
        <v>66</v>
      </c>
      <c r="B9" s="2" t="s">
        <v>1108</v>
      </c>
      <c r="C9" s="2" t="s">
        <v>960</v>
      </c>
      <c r="D9" s="2" t="s">
        <v>954</v>
      </c>
      <c r="E9" s="2" t="s">
        <v>961</v>
      </c>
    </row>
    <row r="10" spans="1:5" x14ac:dyDescent="0.3">
      <c r="A10" s="2" t="s">
        <v>129</v>
      </c>
      <c r="B10" s="2" t="s">
        <v>1113</v>
      </c>
      <c r="C10" s="2" t="s">
        <v>962</v>
      </c>
      <c r="D10" s="2" t="s">
        <v>943</v>
      </c>
      <c r="E10" s="2" t="s">
        <v>963</v>
      </c>
    </row>
    <row r="11" spans="1:5" x14ac:dyDescent="0.3">
      <c r="A11" s="2" t="s">
        <v>403</v>
      </c>
      <c r="B11" s="2" t="s">
        <v>1135</v>
      </c>
      <c r="C11" s="2" t="s">
        <v>964</v>
      </c>
      <c r="D11" s="2" t="s">
        <v>965</v>
      </c>
      <c r="E11" s="2" t="s">
        <v>235</v>
      </c>
    </row>
    <row r="12" spans="1:5" x14ac:dyDescent="0.3">
      <c r="A12" s="2" t="s">
        <v>209</v>
      </c>
      <c r="B12" s="2" t="s">
        <v>966</v>
      </c>
      <c r="C12" s="2" t="s">
        <v>967</v>
      </c>
      <c r="D12" s="2" t="s">
        <v>951</v>
      </c>
      <c r="E12" s="2" t="s">
        <v>968</v>
      </c>
    </row>
    <row r="13" spans="1:5" x14ac:dyDescent="0.3">
      <c r="A13" s="2" t="s">
        <v>356</v>
      </c>
      <c r="B13" s="2" t="s">
        <v>1133</v>
      </c>
      <c r="C13" s="2" t="s">
        <v>969</v>
      </c>
      <c r="D13" s="2" t="s">
        <v>970</v>
      </c>
      <c r="E13" s="2" t="s">
        <v>971</v>
      </c>
    </row>
    <row r="14" spans="1:5" x14ac:dyDescent="0.3">
      <c r="A14" s="2" t="s">
        <v>27</v>
      </c>
      <c r="B14" s="2" t="s">
        <v>1105</v>
      </c>
      <c r="C14" s="2" t="s">
        <v>972</v>
      </c>
      <c r="D14" s="2" t="s">
        <v>970</v>
      </c>
      <c r="E14" s="2" t="s">
        <v>973</v>
      </c>
    </row>
    <row r="15" spans="1:5" x14ac:dyDescent="0.3">
      <c r="A15" s="2" t="s">
        <v>502</v>
      </c>
      <c r="B15" s="2" t="s">
        <v>1138</v>
      </c>
      <c r="C15" s="2" t="s">
        <v>974</v>
      </c>
      <c r="D15" s="2" t="s">
        <v>954</v>
      </c>
      <c r="E15" s="2" t="s">
        <v>975</v>
      </c>
    </row>
    <row r="16" spans="1:5" x14ac:dyDescent="0.3">
      <c r="A16" s="2" t="s">
        <v>245</v>
      </c>
      <c r="B16" s="2" t="s">
        <v>1128</v>
      </c>
      <c r="C16" s="2" t="s">
        <v>976</v>
      </c>
      <c r="D16" s="2" t="s">
        <v>951</v>
      </c>
      <c r="E16" s="2" t="s">
        <v>977</v>
      </c>
    </row>
    <row r="17" spans="1:5" x14ac:dyDescent="0.3">
      <c r="A17" s="2" t="s">
        <v>180</v>
      </c>
      <c r="B17" s="2" t="s">
        <v>1121</v>
      </c>
      <c r="C17" s="2" t="s">
        <v>978</v>
      </c>
      <c r="D17" s="2" t="s">
        <v>979</v>
      </c>
      <c r="E17" s="2" t="s">
        <v>630</v>
      </c>
    </row>
    <row r="18" spans="1:5" x14ac:dyDescent="0.3">
      <c r="A18" s="2" t="s">
        <v>71</v>
      </c>
      <c r="B18" s="2" t="s">
        <v>980</v>
      </c>
      <c r="C18" s="2" t="s">
        <v>981</v>
      </c>
      <c r="D18" s="2" t="s">
        <v>979</v>
      </c>
      <c r="E18" s="2" t="s">
        <v>982</v>
      </c>
    </row>
    <row r="19" spans="1:5" x14ac:dyDescent="0.3">
      <c r="A19" s="2" t="s">
        <v>476</v>
      </c>
      <c r="B19" s="2" t="s">
        <v>983</v>
      </c>
      <c r="C19" s="2" t="s">
        <v>984</v>
      </c>
      <c r="D19" s="2" t="s">
        <v>965</v>
      </c>
      <c r="E19" s="2" t="s">
        <v>985</v>
      </c>
    </row>
    <row r="20" spans="1:5" x14ac:dyDescent="0.3">
      <c r="A20" s="2" t="s">
        <v>550</v>
      </c>
      <c r="B20" s="2" t="s">
        <v>1127</v>
      </c>
      <c r="C20" s="2" t="s">
        <v>986</v>
      </c>
      <c r="D20" s="2" t="s">
        <v>979</v>
      </c>
      <c r="E20" s="2" t="s">
        <v>987</v>
      </c>
    </row>
    <row r="21" spans="1:5" x14ac:dyDescent="0.3">
      <c r="A21" s="2" t="s">
        <v>291</v>
      </c>
      <c r="B21" s="2" t="s">
        <v>1131</v>
      </c>
      <c r="C21" s="2" t="s">
        <v>988</v>
      </c>
      <c r="D21" s="2" t="s">
        <v>951</v>
      </c>
      <c r="E21" s="2" t="s">
        <v>989</v>
      </c>
    </row>
    <row r="22" spans="1:5" x14ac:dyDescent="0.3">
      <c r="A22" s="2" t="s">
        <v>39</v>
      </c>
      <c r="B22" s="2" t="s">
        <v>990</v>
      </c>
      <c r="C22" s="2" t="s">
        <v>991</v>
      </c>
      <c r="D22" s="2" t="s">
        <v>970</v>
      </c>
      <c r="E22" s="2" t="s">
        <v>992</v>
      </c>
    </row>
    <row r="23" spans="1:5" x14ac:dyDescent="0.3">
      <c r="A23" s="2" t="s">
        <v>120</v>
      </c>
      <c r="B23" s="2" t="s">
        <v>993</v>
      </c>
      <c r="C23" s="2" t="s">
        <v>994</v>
      </c>
      <c r="D23" s="2" t="s">
        <v>965</v>
      </c>
      <c r="E23" s="2" t="s">
        <v>501</v>
      </c>
    </row>
    <row r="24" spans="1:5" x14ac:dyDescent="0.3">
      <c r="A24" s="2" t="s">
        <v>141</v>
      </c>
      <c r="B24" s="2" t="s">
        <v>1115</v>
      </c>
      <c r="C24" s="2" t="s">
        <v>995</v>
      </c>
      <c r="D24" s="2" t="s">
        <v>965</v>
      </c>
      <c r="E24" s="2" t="s">
        <v>284</v>
      </c>
    </row>
    <row r="25" spans="1:5" x14ac:dyDescent="0.3">
      <c r="A25" s="2" t="s">
        <v>115</v>
      </c>
      <c r="B25" s="2" t="s">
        <v>996</v>
      </c>
      <c r="C25" s="2" t="s">
        <v>997</v>
      </c>
      <c r="D25" s="2" t="s">
        <v>979</v>
      </c>
      <c r="E25" s="2" t="s">
        <v>998</v>
      </c>
    </row>
    <row r="26" spans="1:5" x14ac:dyDescent="0.3">
      <c r="A26" s="2" t="s">
        <v>460</v>
      </c>
      <c r="B26" s="2" t="s">
        <v>1136</v>
      </c>
      <c r="C26" s="2" t="s">
        <v>999</v>
      </c>
      <c r="D26" s="2" t="s">
        <v>954</v>
      </c>
      <c r="E26" s="2" t="s">
        <v>1000</v>
      </c>
    </row>
    <row r="27" spans="1:5" x14ac:dyDescent="0.3">
      <c r="A27" s="2" t="s">
        <v>160</v>
      </c>
      <c r="B27" s="2" t="s">
        <v>1118</v>
      </c>
      <c r="C27" s="2" t="s">
        <v>1001</v>
      </c>
      <c r="D27" s="2"/>
      <c r="E27" s="2" t="s">
        <v>1002</v>
      </c>
    </row>
    <row r="28" spans="1:5" x14ac:dyDescent="0.3">
      <c r="A28" s="2" t="s">
        <v>218</v>
      </c>
      <c r="B28" s="2" t="s">
        <v>1003</v>
      </c>
      <c r="C28" s="2" t="s">
        <v>1004</v>
      </c>
      <c r="D28" s="2" t="s">
        <v>970</v>
      </c>
      <c r="E28" s="2" t="s">
        <v>1005</v>
      </c>
    </row>
    <row r="29" spans="1:5" x14ac:dyDescent="0.3">
      <c r="A29" s="2" t="s">
        <v>331</v>
      </c>
      <c r="B29" s="2" t="s">
        <v>1006</v>
      </c>
      <c r="C29" s="2" t="s">
        <v>1007</v>
      </c>
      <c r="D29" s="2" t="s">
        <v>948</v>
      </c>
      <c r="E29" s="2" t="s">
        <v>992</v>
      </c>
    </row>
    <row r="30" spans="1:5" x14ac:dyDescent="0.3">
      <c r="A30" s="2" t="s">
        <v>19</v>
      </c>
      <c r="B30" s="2" t="s">
        <v>1104</v>
      </c>
      <c r="C30" s="2" t="s">
        <v>1008</v>
      </c>
      <c r="D30" s="2" t="s">
        <v>970</v>
      </c>
      <c r="E30" s="2" t="s">
        <v>1009</v>
      </c>
    </row>
    <row r="31" spans="1:5" x14ac:dyDescent="0.3">
      <c r="A31" s="2" t="s">
        <v>171</v>
      </c>
      <c r="B31" s="2" t="s">
        <v>1010</v>
      </c>
      <c r="C31" s="2" t="s">
        <v>1011</v>
      </c>
      <c r="D31" s="2" t="s">
        <v>951</v>
      </c>
      <c r="E31" s="2" t="s">
        <v>564</v>
      </c>
    </row>
    <row r="32" spans="1:5" x14ac:dyDescent="0.3">
      <c r="A32" s="2" t="s">
        <v>168</v>
      </c>
      <c r="B32" s="2" t="s">
        <v>1119</v>
      </c>
      <c r="C32" s="2" t="s">
        <v>1012</v>
      </c>
      <c r="D32" s="2" t="s">
        <v>948</v>
      </c>
      <c r="E32" s="2" t="s">
        <v>1013</v>
      </c>
    </row>
    <row r="33" spans="1:5" x14ac:dyDescent="0.3">
      <c r="A33" s="2" t="s">
        <v>58</v>
      </c>
      <c r="B33" s="2" t="s">
        <v>1014</v>
      </c>
      <c r="C33" s="2" t="s">
        <v>1015</v>
      </c>
      <c r="D33" s="2" t="s">
        <v>951</v>
      </c>
      <c r="E33" s="2" t="s">
        <v>1016</v>
      </c>
    </row>
    <row r="34" spans="1:5" x14ac:dyDescent="0.3">
      <c r="A34" s="2" t="s">
        <v>279</v>
      </c>
      <c r="B34" s="2" t="s">
        <v>1130</v>
      </c>
      <c r="C34" s="2" t="s">
        <v>1017</v>
      </c>
      <c r="D34" s="2" t="s">
        <v>965</v>
      </c>
      <c r="E34" s="2" t="s">
        <v>1018</v>
      </c>
    </row>
    <row r="35" spans="1:5" x14ac:dyDescent="0.3">
      <c r="A35" s="2" t="s">
        <v>392</v>
      </c>
      <c r="B35" s="2" t="s">
        <v>1134</v>
      </c>
      <c r="C35" s="2" t="s">
        <v>1019</v>
      </c>
      <c r="D35" s="2" t="s">
        <v>979</v>
      </c>
      <c r="E35" s="2" t="s">
        <v>1020</v>
      </c>
    </row>
    <row r="36" spans="1:5" x14ac:dyDescent="0.3">
      <c r="A36" s="2" t="s">
        <v>199</v>
      </c>
      <c r="B36" s="2" t="s">
        <v>1123</v>
      </c>
      <c r="C36" s="2" t="s">
        <v>1021</v>
      </c>
      <c r="D36" s="2" t="s">
        <v>951</v>
      </c>
      <c r="E36" s="2" t="s">
        <v>1022</v>
      </c>
    </row>
    <row r="37" spans="1:5" x14ac:dyDescent="0.3">
      <c r="A37" s="2" t="s">
        <v>605</v>
      </c>
      <c r="B37" s="2" t="s">
        <v>1023</v>
      </c>
      <c r="C37" s="2" t="s">
        <v>1024</v>
      </c>
      <c r="D37" s="2" t="s">
        <v>970</v>
      </c>
      <c r="E37" s="2" t="s">
        <v>1025</v>
      </c>
    </row>
    <row r="38" spans="1:5" x14ac:dyDescent="0.3">
      <c r="A38" s="2" t="s">
        <v>234</v>
      </c>
      <c r="B38" s="2" t="s">
        <v>1127</v>
      </c>
      <c r="C38" s="2" t="s">
        <v>1026</v>
      </c>
      <c r="D38" s="2" t="s">
        <v>943</v>
      </c>
      <c r="E38" s="2" t="s">
        <v>1027</v>
      </c>
    </row>
    <row r="39" spans="1:5" x14ac:dyDescent="0.3">
      <c r="A39" s="2" t="s">
        <v>102</v>
      </c>
      <c r="B39" s="2" t="s">
        <v>1111</v>
      </c>
      <c r="C39" s="2" t="s">
        <v>1028</v>
      </c>
      <c r="D39" s="2" t="s">
        <v>946</v>
      </c>
      <c r="E39" s="2" t="s">
        <v>1029</v>
      </c>
    </row>
    <row r="40" spans="1:5" x14ac:dyDescent="0.3">
      <c r="A40" s="2" t="s">
        <v>202</v>
      </c>
      <c r="B40" s="2" t="s">
        <v>1124</v>
      </c>
      <c r="C40" s="2" t="s">
        <v>1030</v>
      </c>
      <c r="D40" s="2" t="s">
        <v>970</v>
      </c>
      <c r="E40" s="2" t="s">
        <v>227</v>
      </c>
    </row>
    <row r="41" spans="1:5" x14ac:dyDescent="0.3">
      <c r="A41" s="2" t="s">
        <v>49</v>
      </c>
      <c r="B41" s="2" t="s">
        <v>1107</v>
      </c>
      <c r="C41" s="2" t="s">
        <v>1031</v>
      </c>
      <c r="D41" s="2" t="s">
        <v>951</v>
      </c>
      <c r="E41" s="2" t="s">
        <v>29</v>
      </c>
    </row>
    <row r="42" spans="1:5" x14ac:dyDescent="0.3">
      <c r="A42" s="2" t="s">
        <v>53</v>
      </c>
      <c r="B42" s="2" t="s">
        <v>1047</v>
      </c>
      <c r="C42" s="2" t="s">
        <v>1032</v>
      </c>
      <c r="D42" s="2" t="s">
        <v>951</v>
      </c>
      <c r="E42" s="2" t="s">
        <v>1033</v>
      </c>
    </row>
    <row r="43" spans="1:5" x14ac:dyDescent="0.3">
      <c r="A43" s="2" t="s">
        <v>12</v>
      </c>
      <c r="B43" s="2" t="s">
        <v>1103</v>
      </c>
      <c r="C43" s="2" t="s">
        <v>1034</v>
      </c>
      <c r="D43" s="2" t="s">
        <v>946</v>
      </c>
      <c r="E43" s="2" t="s">
        <v>1035</v>
      </c>
    </row>
    <row r="44" spans="1:5" x14ac:dyDescent="0.3">
      <c r="A44" s="2" t="s">
        <v>98</v>
      </c>
      <c r="B44" s="2" t="s">
        <v>1110</v>
      </c>
      <c r="C44" s="2" t="s">
        <v>1036</v>
      </c>
      <c r="D44" s="2" t="s">
        <v>946</v>
      </c>
      <c r="E44" s="2" t="s">
        <v>1037</v>
      </c>
    </row>
    <row r="45" spans="1:5" x14ac:dyDescent="0.3">
      <c r="A45" s="2" t="s">
        <v>32</v>
      </c>
      <c r="B45" s="2" t="s">
        <v>1106</v>
      </c>
      <c r="C45" s="2" t="s">
        <v>1038</v>
      </c>
      <c r="D45" s="2"/>
      <c r="E45" s="2" t="s">
        <v>662</v>
      </c>
    </row>
    <row r="46" spans="1:5" x14ac:dyDescent="0.3">
      <c r="A46" s="2" t="s">
        <v>176</v>
      </c>
      <c r="B46" s="2" t="s">
        <v>1120</v>
      </c>
      <c r="C46" s="2" t="s">
        <v>1039</v>
      </c>
      <c r="D46" s="2" t="s">
        <v>1040</v>
      </c>
      <c r="E46" s="2" t="s">
        <v>1041</v>
      </c>
    </row>
    <row r="47" spans="1:5" x14ac:dyDescent="0.3">
      <c r="A47" s="2" t="s">
        <v>590</v>
      </c>
      <c r="B47" s="2" t="s">
        <v>1140</v>
      </c>
      <c r="C47" s="2" t="s">
        <v>1042</v>
      </c>
      <c r="D47" s="2" t="s">
        <v>954</v>
      </c>
      <c r="E47" s="2" t="s">
        <v>1043</v>
      </c>
    </row>
    <row r="48" spans="1:5" x14ac:dyDescent="0.3">
      <c r="A48" s="2" t="s">
        <v>253</v>
      </c>
      <c r="B48" s="2" t="s">
        <v>1044</v>
      </c>
      <c r="C48" s="2" t="s">
        <v>1045</v>
      </c>
      <c r="D48" s="2" t="s">
        <v>951</v>
      </c>
      <c r="E48" s="2" t="s">
        <v>1046</v>
      </c>
    </row>
    <row r="49" spans="1:5" x14ac:dyDescent="0.3">
      <c r="A49" s="2" t="s">
        <v>134</v>
      </c>
      <c r="B49" s="2" t="s">
        <v>1047</v>
      </c>
      <c r="C49" s="2" t="s">
        <v>1048</v>
      </c>
      <c r="D49" s="2" t="s">
        <v>943</v>
      </c>
      <c r="E49" s="2" t="s">
        <v>244</v>
      </c>
    </row>
    <row r="50" spans="1:5" x14ac:dyDescent="0.3">
      <c r="A50" s="2" t="s">
        <v>690</v>
      </c>
      <c r="B50" s="2" t="s">
        <v>1142</v>
      </c>
      <c r="C50" s="2" t="s">
        <v>1049</v>
      </c>
      <c r="D50" s="2" t="s">
        <v>1050</v>
      </c>
      <c r="E50" s="2" t="s">
        <v>248</v>
      </c>
    </row>
    <row r="51" spans="1:5" x14ac:dyDescent="0.3">
      <c r="A51" s="2" t="s">
        <v>157</v>
      </c>
      <c r="B51" s="2" t="s">
        <v>1117</v>
      </c>
      <c r="C51" s="2" t="s">
        <v>1051</v>
      </c>
      <c r="D51" s="2" t="s">
        <v>1040</v>
      </c>
      <c r="E51" s="2" t="s">
        <v>617</v>
      </c>
    </row>
    <row r="52" spans="1:5" x14ac:dyDescent="0.3">
      <c r="A52" s="2" t="s">
        <v>80</v>
      </c>
      <c r="B52" s="2" t="s">
        <v>1109</v>
      </c>
      <c r="C52" s="2" t="s">
        <v>1052</v>
      </c>
      <c r="D52" s="2" t="s">
        <v>965</v>
      </c>
      <c r="E52" s="2" t="s">
        <v>86</v>
      </c>
    </row>
    <row r="53" spans="1:5" x14ac:dyDescent="0.3">
      <c r="A53" s="2" t="s">
        <v>229</v>
      </c>
      <c r="B53" s="2" t="s">
        <v>1126</v>
      </c>
      <c r="C53" s="2" t="s">
        <v>1053</v>
      </c>
      <c r="D53" s="2" t="s">
        <v>970</v>
      </c>
      <c r="E53" s="2" t="s">
        <v>112</v>
      </c>
    </row>
    <row r="54" spans="1:5" x14ac:dyDescent="0.3">
      <c r="A54" s="2" t="s">
        <v>214</v>
      </c>
      <c r="B54" s="2" t="s">
        <v>1125</v>
      </c>
      <c r="C54" s="2" t="s">
        <v>1054</v>
      </c>
      <c r="D54" s="2" t="s">
        <v>1050</v>
      </c>
      <c r="E54" s="2" t="s">
        <v>1055</v>
      </c>
    </row>
    <row r="55" spans="1:5" x14ac:dyDescent="0.3">
      <c r="A55" s="2" t="s">
        <v>311</v>
      </c>
      <c r="B55" s="2" t="s">
        <v>1132</v>
      </c>
      <c r="C55" s="2" t="s">
        <v>1056</v>
      </c>
      <c r="D55" s="2"/>
      <c r="E55" s="2" t="s">
        <v>1057</v>
      </c>
    </row>
    <row r="56" spans="1:5" x14ac:dyDescent="0.3">
      <c r="A56" s="2" t="s">
        <v>110</v>
      </c>
      <c r="B56" s="2" t="s">
        <v>983</v>
      </c>
      <c r="C56" s="2" t="s">
        <v>1058</v>
      </c>
      <c r="D56" s="2" t="s">
        <v>965</v>
      </c>
      <c r="E56" s="2" t="s">
        <v>88</v>
      </c>
    </row>
    <row r="57" spans="1:5" x14ac:dyDescent="0.3">
      <c r="A57" s="2" t="s">
        <v>89</v>
      </c>
      <c r="B57" s="2" t="s">
        <v>1059</v>
      </c>
      <c r="C57" s="2" t="s">
        <v>1060</v>
      </c>
      <c r="D57" s="2" t="s">
        <v>1040</v>
      </c>
      <c r="E57" s="2" t="s">
        <v>478</v>
      </c>
    </row>
    <row r="58" spans="1:5" x14ac:dyDescent="0.3">
      <c r="A58" s="2" t="s">
        <v>273</v>
      </c>
      <c r="B58" s="2" t="s">
        <v>1129</v>
      </c>
      <c r="C58" s="2" t="s">
        <v>1061</v>
      </c>
      <c r="D58" s="2" t="s">
        <v>954</v>
      </c>
      <c r="E58" s="2" t="s">
        <v>1062</v>
      </c>
    </row>
    <row r="59" spans="1:5" x14ac:dyDescent="0.3">
      <c r="A59" s="2" t="s">
        <v>547</v>
      </c>
      <c r="B59" s="2" t="s">
        <v>1139</v>
      </c>
      <c r="C59" s="2" t="s">
        <v>1063</v>
      </c>
      <c r="D59" s="2" t="s">
        <v>1040</v>
      </c>
      <c r="E59" s="2" t="s">
        <v>1064</v>
      </c>
    </row>
    <row r="60" spans="1:5" x14ac:dyDescent="0.3">
      <c r="A60" s="2" t="s">
        <v>190</v>
      </c>
      <c r="B60" s="2" t="s">
        <v>1119</v>
      </c>
      <c r="C60" s="2" t="s">
        <v>1065</v>
      </c>
      <c r="D60" s="2" t="s">
        <v>946</v>
      </c>
      <c r="E60" s="2" t="s">
        <v>1066</v>
      </c>
    </row>
    <row r="61" spans="1:5" x14ac:dyDescent="0.3">
      <c r="A61" s="2" t="s">
        <v>462</v>
      </c>
      <c r="B61" s="2" t="s">
        <v>1137</v>
      </c>
      <c r="C61" s="2" t="s">
        <v>1067</v>
      </c>
      <c r="D61" s="2" t="s">
        <v>970</v>
      </c>
      <c r="E61" s="2" t="s">
        <v>1068</v>
      </c>
    </row>
  </sheetData>
  <autoFilter ref="A1:E61"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32E05-6725-4389-A1CC-9561A66A6086}">
  <dimension ref="A1:R13"/>
  <sheetViews>
    <sheetView workbookViewId="0">
      <selection activeCell="D5" sqref="D5"/>
    </sheetView>
  </sheetViews>
  <sheetFormatPr defaultRowHeight="14.4" x14ac:dyDescent="0.3"/>
  <cols>
    <col min="1" max="1" width="9.44140625" customWidth="1"/>
    <col min="2" max="2" width="11.5546875" customWidth="1"/>
    <col min="3" max="3" width="12.77734375" customWidth="1"/>
    <col min="4" max="4" width="16.44140625" customWidth="1"/>
    <col min="5" max="5" width="11.33203125" customWidth="1"/>
    <col min="6" max="6" width="15" customWidth="1"/>
    <col min="7" max="7" width="13" customWidth="1"/>
    <col min="8" max="8" width="16.6640625" customWidth="1"/>
    <col min="9" max="9" width="10.44140625" customWidth="1"/>
    <col min="11" max="11" width="12.88671875" customWidth="1"/>
    <col min="12" max="13" width="10.21875" customWidth="1"/>
    <col min="14" max="14" width="14.21875" customWidth="1"/>
    <col min="15" max="15" width="10.21875" customWidth="1"/>
    <col min="16" max="16" width="10.44140625" customWidth="1"/>
    <col min="17" max="17" width="17.21875" customWidth="1"/>
    <col min="18" max="18" width="11.44140625" customWidth="1"/>
  </cols>
  <sheetData>
    <row r="1" spans="1:18" x14ac:dyDescent="0.3">
      <c r="A1" t="s">
        <v>0</v>
      </c>
      <c r="B1" t="s">
        <v>1</v>
      </c>
      <c r="C1" t="s">
        <v>2</v>
      </c>
      <c r="D1" t="s">
        <v>1101</v>
      </c>
      <c r="E1" t="s">
        <v>3</v>
      </c>
      <c r="F1" t="s">
        <v>1100</v>
      </c>
      <c r="G1" t="s">
        <v>4</v>
      </c>
      <c r="H1" t="s">
        <v>1102</v>
      </c>
      <c r="I1" t="s">
        <v>877</v>
      </c>
      <c r="J1" t="s">
        <v>5</v>
      </c>
      <c r="K1" t="s">
        <v>1143</v>
      </c>
      <c r="L1" t="s">
        <v>6</v>
      </c>
      <c r="M1" t="s">
        <v>7</v>
      </c>
      <c r="N1" t="s">
        <v>1144</v>
      </c>
      <c r="O1" t="s">
        <v>1145</v>
      </c>
      <c r="P1" t="s">
        <v>8</v>
      </c>
      <c r="Q1" t="s">
        <v>9</v>
      </c>
      <c r="R1" t="s">
        <v>1146</v>
      </c>
    </row>
    <row r="2" spans="1:18" x14ac:dyDescent="0.3">
      <c r="A2" t="s">
        <v>10</v>
      </c>
      <c r="B2" s="6">
        <v>45738</v>
      </c>
      <c r="C2" t="s">
        <v>12</v>
      </c>
      <c r="D2" t="s">
        <v>1103</v>
      </c>
      <c r="E2" t="s">
        <v>13</v>
      </c>
      <c r="F2" t="s">
        <v>913</v>
      </c>
      <c r="G2" t="s">
        <v>14</v>
      </c>
      <c r="H2" t="s">
        <v>1080</v>
      </c>
      <c r="I2" t="s">
        <v>910</v>
      </c>
      <c r="J2" t="s">
        <v>15</v>
      </c>
      <c r="K2">
        <v>3493.54</v>
      </c>
      <c r="L2">
        <v>1</v>
      </c>
      <c r="M2">
        <v>0.1</v>
      </c>
      <c r="N2">
        <v>3493.54</v>
      </c>
      <c r="O2">
        <v>3144.1860000000001</v>
      </c>
      <c r="P2" t="s">
        <v>16</v>
      </c>
      <c r="Q2" t="s">
        <v>17</v>
      </c>
      <c r="R2" t="s">
        <v>1150</v>
      </c>
    </row>
    <row r="3" spans="1:18" x14ac:dyDescent="0.3">
      <c r="A3" t="s">
        <v>860</v>
      </c>
      <c r="B3" s="6">
        <v>45431</v>
      </c>
      <c r="C3" t="s">
        <v>273</v>
      </c>
      <c r="D3" t="s">
        <v>1129</v>
      </c>
      <c r="E3" t="s">
        <v>13</v>
      </c>
      <c r="F3" t="s">
        <v>884</v>
      </c>
      <c r="G3" t="s">
        <v>14</v>
      </c>
      <c r="H3" t="s">
        <v>1080</v>
      </c>
      <c r="I3" t="s">
        <v>910</v>
      </c>
      <c r="J3" t="s">
        <v>15</v>
      </c>
      <c r="K3">
        <v>3493.54</v>
      </c>
      <c r="L3">
        <v>5</v>
      </c>
      <c r="M3">
        <v>0</v>
      </c>
      <c r="N3">
        <v>17467.7</v>
      </c>
      <c r="O3">
        <v>17467.7</v>
      </c>
      <c r="P3" t="s">
        <v>367</v>
      </c>
      <c r="Q3" t="s">
        <v>30</v>
      </c>
      <c r="R3" t="s">
        <v>1150</v>
      </c>
    </row>
    <row r="4" spans="1:18" x14ac:dyDescent="0.3">
      <c r="A4" t="s">
        <v>805</v>
      </c>
      <c r="B4" s="6">
        <v>45392</v>
      </c>
      <c r="C4" t="s">
        <v>605</v>
      </c>
      <c r="D4" t="s">
        <v>1023</v>
      </c>
      <c r="E4" t="s">
        <v>13</v>
      </c>
      <c r="F4" t="s">
        <v>918</v>
      </c>
      <c r="G4" t="s">
        <v>21</v>
      </c>
      <c r="H4" t="s">
        <v>1073</v>
      </c>
      <c r="I4" t="s">
        <v>910</v>
      </c>
      <c r="J4" t="s">
        <v>15</v>
      </c>
      <c r="K4">
        <v>3493.54</v>
      </c>
      <c r="L4">
        <v>8</v>
      </c>
      <c r="M4">
        <v>0.2</v>
      </c>
      <c r="N4">
        <v>27948.32</v>
      </c>
      <c r="O4">
        <v>22358.656000000003</v>
      </c>
      <c r="P4" t="s">
        <v>604</v>
      </c>
      <c r="Q4" t="s">
        <v>17</v>
      </c>
      <c r="R4" t="s">
        <v>1150</v>
      </c>
    </row>
    <row r="5" spans="1:18" x14ac:dyDescent="0.3">
      <c r="A5" t="s">
        <v>782</v>
      </c>
      <c r="B5" s="6">
        <v>45326</v>
      </c>
      <c r="C5" t="s">
        <v>245</v>
      </c>
      <c r="D5" t="s">
        <v>1128</v>
      </c>
      <c r="E5" t="s">
        <v>130</v>
      </c>
      <c r="F5" t="s">
        <v>927</v>
      </c>
      <c r="G5" t="s">
        <v>21</v>
      </c>
      <c r="H5" t="s">
        <v>1073</v>
      </c>
      <c r="I5" t="s">
        <v>910</v>
      </c>
      <c r="J5" t="s">
        <v>15</v>
      </c>
      <c r="K5">
        <v>3128.51</v>
      </c>
      <c r="L5">
        <v>8</v>
      </c>
      <c r="M5">
        <v>0.1</v>
      </c>
      <c r="N5">
        <v>25028.080000000002</v>
      </c>
      <c r="O5">
        <v>22525.272000000001</v>
      </c>
      <c r="P5" t="s">
        <v>200</v>
      </c>
      <c r="Q5" t="s">
        <v>24</v>
      </c>
      <c r="R5" t="s">
        <v>1150</v>
      </c>
    </row>
    <row r="6" spans="1:18" x14ac:dyDescent="0.3">
      <c r="A6" t="s">
        <v>756</v>
      </c>
      <c r="B6" s="6">
        <v>45594</v>
      </c>
      <c r="C6" t="s">
        <v>66</v>
      </c>
      <c r="D6" t="s">
        <v>1108</v>
      </c>
      <c r="E6" t="s">
        <v>377</v>
      </c>
      <c r="F6" t="s">
        <v>907</v>
      </c>
      <c r="G6" t="s">
        <v>21</v>
      </c>
      <c r="H6" t="s">
        <v>1073</v>
      </c>
      <c r="I6" t="s">
        <v>910</v>
      </c>
      <c r="J6" t="s">
        <v>15</v>
      </c>
      <c r="K6">
        <v>4703.04</v>
      </c>
      <c r="L6">
        <v>6</v>
      </c>
      <c r="M6">
        <v>0.1</v>
      </c>
      <c r="N6">
        <v>28218.239999999998</v>
      </c>
      <c r="O6">
        <v>25396.415999999997</v>
      </c>
      <c r="P6" t="s">
        <v>36</v>
      </c>
      <c r="Q6" t="s">
        <v>60</v>
      </c>
      <c r="R6" t="s">
        <v>1150</v>
      </c>
    </row>
    <row r="7" spans="1:18" x14ac:dyDescent="0.3">
      <c r="A7" t="s">
        <v>714</v>
      </c>
      <c r="B7" s="6">
        <v>45544</v>
      </c>
      <c r="C7" t="s">
        <v>550</v>
      </c>
      <c r="D7" t="s">
        <v>1127</v>
      </c>
      <c r="E7" t="s">
        <v>130</v>
      </c>
      <c r="F7" t="s">
        <v>927</v>
      </c>
      <c r="G7" t="s">
        <v>45</v>
      </c>
      <c r="H7" t="s">
        <v>1096</v>
      </c>
      <c r="I7" t="s">
        <v>910</v>
      </c>
      <c r="J7" t="s">
        <v>15</v>
      </c>
      <c r="K7">
        <v>3128.51</v>
      </c>
      <c r="L7">
        <v>5</v>
      </c>
      <c r="M7">
        <v>0.1</v>
      </c>
      <c r="N7">
        <v>15642.550000000001</v>
      </c>
      <c r="O7">
        <v>14078.295000000002</v>
      </c>
      <c r="P7" t="s">
        <v>225</v>
      </c>
      <c r="Q7" t="s">
        <v>17</v>
      </c>
      <c r="R7" t="s">
        <v>1150</v>
      </c>
    </row>
    <row r="8" spans="1:18" x14ac:dyDescent="0.3">
      <c r="A8" t="s">
        <v>544</v>
      </c>
      <c r="B8" s="6">
        <v>45436</v>
      </c>
      <c r="C8" t="s">
        <v>331</v>
      </c>
      <c r="D8" t="s">
        <v>1006</v>
      </c>
      <c r="E8" t="s">
        <v>13</v>
      </c>
      <c r="F8" t="s">
        <v>891</v>
      </c>
      <c r="G8" t="s">
        <v>82</v>
      </c>
      <c r="H8" t="s">
        <v>1076</v>
      </c>
      <c r="I8" t="s">
        <v>910</v>
      </c>
      <c r="J8" t="s">
        <v>15</v>
      </c>
      <c r="K8">
        <v>3493.54</v>
      </c>
      <c r="L8">
        <v>6</v>
      </c>
      <c r="M8">
        <v>0</v>
      </c>
      <c r="N8">
        <v>20961.239999999998</v>
      </c>
      <c r="O8">
        <v>20961.239999999998</v>
      </c>
      <c r="P8" t="s">
        <v>373</v>
      </c>
      <c r="Q8" t="s">
        <v>42</v>
      </c>
      <c r="R8" t="s">
        <v>1150</v>
      </c>
    </row>
    <row r="9" spans="1:18" x14ac:dyDescent="0.3">
      <c r="A9" t="s">
        <v>434</v>
      </c>
      <c r="B9" s="6">
        <v>45294</v>
      </c>
      <c r="C9" t="s">
        <v>157</v>
      </c>
      <c r="D9" t="s">
        <v>1117</v>
      </c>
      <c r="E9" t="s">
        <v>377</v>
      </c>
      <c r="F9" t="s">
        <v>887</v>
      </c>
      <c r="G9" t="s">
        <v>45</v>
      </c>
      <c r="H9" t="s">
        <v>1096</v>
      </c>
      <c r="I9" t="s">
        <v>910</v>
      </c>
      <c r="J9" t="s">
        <v>15</v>
      </c>
      <c r="K9">
        <v>4703.04</v>
      </c>
      <c r="L9">
        <v>5</v>
      </c>
      <c r="M9">
        <v>0.2</v>
      </c>
      <c r="N9">
        <v>23515.200000000001</v>
      </c>
      <c r="O9">
        <v>18812.16</v>
      </c>
      <c r="P9" t="s">
        <v>435</v>
      </c>
      <c r="Q9" t="s">
        <v>42</v>
      </c>
      <c r="R9" t="s">
        <v>1150</v>
      </c>
    </row>
    <row r="10" spans="1:18" x14ac:dyDescent="0.3">
      <c r="A10" t="s">
        <v>369</v>
      </c>
      <c r="B10" s="6">
        <v>45471</v>
      </c>
      <c r="C10" t="s">
        <v>273</v>
      </c>
      <c r="D10" t="s">
        <v>1129</v>
      </c>
      <c r="E10" t="s">
        <v>44</v>
      </c>
      <c r="F10" t="s">
        <v>911</v>
      </c>
      <c r="G10" t="s">
        <v>82</v>
      </c>
      <c r="H10" t="s">
        <v>1076</v>
      </c>
      <c r="I10" t="s">
        <v>910</v>
      </c>
      <c r="J10" t="s">
        <v>15</v>
      </c>
      <c r="K10">
        <v>973.21</v>
      </c>
      <c r="L10">
        <v>2</v>
      </c>
      <c r="M10">
        <v>0.1</v>
      </c>
      <c r="N10">
        <v>1946.42</v>
      </c>
      <c r="O10">
        <v>1751.778</v>
      </c>
      <c r="P10" t="s">
        <v>370</v>
      </c>
      <c r="Q10" t="s">
        <v>30</v>
      </c>
      <c r="R10" t="s">
        <v>1150</v>
      </c>
    </row>
    <row r="11" spans="1:18" x14ac:dyDescent="0.3">
      <c r="A11" t="s">
        <v>61</v>
      </c>
      <c r="B11" s="6">
        <v>45495</v>
      </c>
      <c r="C11" t="s">
        <v>27</v>
      </c>
      <c r="D11" t="s">
        <v>1105</v>
      </c>
      <c r="E11" t="s">
        <v>13</v>
      </c>
      <c r="F11" t="s">
        <v>913</v>
      </c>
      <c r="G11" t="s">
        <v>14</v>
      </c>
      <c r="H11" t="s">
        <v>1080</v>
      </c>
      <c r="I11" t="s">
        <v>910</v>
      </c>
      <c r="J11" t="s">
        <v>15</v>
      </c>
      <c r="K11">
        <v>3493.54</v>
      </c>
      <c r="L11">
        <v>3</v>
      </c>
      <c r="M11">
        <v>0</v>
      </c>
      <c r="N11">
        <v>10480.619999999999</v>
      </c>
      <c r="O11">
        <v>10480.619999999999</v>
      </c>
      <c r="P11" t="s">
        <v>63</v>
      </c>
      <c r="Q11" t="s">
        <v>30</v>
      </c>
      <c r="R11" t="s">
        <v>1150</v>
      </c>
    </row>
    <row r="12" spans="1:18" x14ac:dyDescent="0.3">
      <c r="A12" t="s">
        <v>208</v>
      </c>
      <c r="B12" s="6">
        <v>45539</v>
      </c>
      <c r="C12" t="s">
        <v>209</v>
      </c>
      <c r="D12" t="s">
        <v>966</v>
      </c>
      <c r="E12" t="s">
        <v>210</v>
      </c>
      <c r="F12" t="s">
        <v>914</v>
      </c>
      <c r="G12" t="s">
        <v>45</v>
      </c>
      <c r="H12" t="s">
        <v>1096</v>
      </c>
      <c r="I12" t="s">
        <v>910</v>
      </c>
      <c r="J12" t="s">
        <v>15</v>
      </c>
      <c r="K12">
        <v>1187.29</v>
      </c>
      <c r="L12">
        <v>7</v>
      </c>
      <c r="M12">
        <v>0.05</v>
      </c>
      <c r="N12">
        <v>8311.0299999999988</v>
      </c>
      <c r="O12">
        <v>7895.4784999999983</v>
      </c>
      <c r="P12" t="s">
        <v>211</v>
      </c>
      <c r="Q12" t="s">
        <v>30</v>
      </c>
      <c r="R12" t="s">
        <v>1150</v>
      </c>
    </row>
    <row r="13" spans="1:18" x14ac:dyDescent="0.3">
      <c r="A13" t="s">
        <v>185</v>
      </c>
      <c r="B13" s="6">
        <v>45735</v>
      </c>
      <c r="C13" t="s">
        <v>187</v>
      </c>
      <c r="D13" t="s">
        <v>1122</v>
      </c>
      <c r="E13" t="s">
        <v>130</v>
      </c>
      <c r="F13" t="s">
        <v>912</v>
      </c>
      <c r="G13" t="s">
        <v>34</v>
      </c>
      <c r="H13" t="s">
        <v>1078</v>
      </c>
      <c r="I13" t="s">
        <v>910</v>
      </c>
      <c r="J13" t="s">
        <v>15</v>
      </c>
      <c r="K13">
        <v>3128.51</v>
      </c>
      <c r="L13">
        <v>6</v>
      </c>
      <c r="M13">
        <v>0.15</v>
      </c>
      <c r="N13">
        <v>18771.060000000001</v>
      </c>
      <c r="O13">
        <v>15955.401</v>
      </c>
      <c r="P13" t="s">
        <v>188</v>
      </c>
      <c r="Q13" t="s">
        <v>30</v>
      </c>
      <c r="R13" t="s">
        <v>1150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4700-8E85-4573-B58B-0798A8BB26D2}">
  <dimension ref="A1:R405"/>
  <sheetViews>
    <sheetView workbookViewId="0">
      <selection sqref="A1:R405"/>
    </sheetView>
  </sheetViews>
  <sheetFormatPr defaultRowHeight="14.4" x14ac:dyDescent="0.3"/>
  <cols>
    <col min="1" max="1" width="9.44140625" customWidth="1"/>
    <col min="2" max="2" width="11.5546875" customWidth="1"/>
    <col min="3" max="3" width="12.77734375" customWidth="1"/>
    <col min="4" max="4" width="16.44140625" customWidth="1"/>
    <col min="5" max="5" width="11.33203125" customWidth="1"/>
    <col min="6" max="6" width="15" customWidth="1"/>
    <col min="7" max="7" width="13" customWidth="1"/>
    <col min="8" max="8" width="16.6640625" customWidth="1"/>
    <col min="9" max="9" width="10.44140625" customWidth="1"/>
    <col min="11" max="11" width="12.88671875" customWidth="1"/>
    <col min="12" max="13" width="10.21875" customWidth="1"/>
    <col min="14" max="14" width="14.21875" customWidth="1"/>
    <col min="15" max="15" width="10.21875" customWidth="1"/>
    <col min="16" max="16" width="10.44140625" customWidth="1"/>
    <col min="17" max="17" width="17.21875" customWidth="1"/>
    <col min="18" max="18" width="11.44140625" customWidth="1"/>
  </cols>
  <sheetData>
    <row r="1" spans="1:18" x14ac:dyDescent="0.3">
      <c r="A1" t="s">
        <v>0</v>
      </c>
      <c r="B1" t="s">
        <v>1</v>
      </c>
      <c r="C1" t="s">
        <v>2</v>
      </c>
      <c r="D1" t="s">
        <v>1101</v>
      </c>
      <c r="E1" t="s">
        <v>3</v>
      </c>
      <c r="F1" t="s">
        <v>1100</v>
      </c>
      <c r="G1" t="s">
        <v>4</v>
      </c>
      <c r="H1" t="s">
        <v>1102</v>
      </c>
      <c r="I1" t="s">
        <v>877</v>
      </c>
      <c r="J1" t="s">
        <v>5</v>
      </c>
      <c r="K1" t="s">
        <v>1143</v>
      </c>
      <c r="L1" t="s">
        <v>6</v>
      </c>
      <c r="M1" t="s">
        <v>7</v>
      </c>
      <c r="N1" t="s">
        <v>1144</v>
      </c>
      <c r="O1" t="s">
        <v>1145</v>
      </c>
      <c r="P1" t="s">
        <v>8</v>
      </c>
      <c r="Q1" t="s">
        <v>9</v>
      </c>
      <c r="R1" t="s">
        <v>1146</v>
      </c>
    </row>
    <row r="2" spans="1:18" x14ac:dyDescent="0.3">
      <c r="A2" t="s">
        <v>10</v>
      </c>
      <c r="B2" s="6">
        <v>45738</v>
      </c>
      <c r="C2" t="s">
        <v>12</v>
      </c>
      <c r="D2" t="s">
        <v>1103</v>
      </c>
      <c r="E2" t="s">
        <v>13</v>
      </c>
      <c r="F2" t="s">
        <v>913</v>
      </c>
      <c r="G2" t="s">
        <v>14</v>
      </c>
      <c r="H2" t="s">
        <v>1080</v>
      </c>
      <c r="I2" t="s">
        <v>910</v>
      </c>
      <c r="J2" t="s">
        <v>15</v>
      </c>
      <c r="K2">
        <v>3493.54</v>
      </c>
      <c r="L2">
        <v>1</v>
      </c>
      <c r="M2">
        <v>0.1</v>
      </c>
      <c r="N2">
        <v>3493.54</v>
      </c>
      <c r="O2">
        <v>3144.1860000000001</v>
      </c>
      <c r="P2" t="s">
        <v>16</v>
      </c>
      <c r="Q2" t="s">
        <v>17</v>
      </c>
      <c r="R2" t="s">
        <v>1150</v>
      </c>
    </row>
    <row r="3" spans="1:18" x14ac:dyDescent="0.3">
      <c r="A3" t="s">
        <v>18</v>
      </c>
      <c r="B3" s="6">
        <v>45733</v>
      </c>
      <c r="C3" t="s">
        <v>19</v>
      </c>
      <c r="D3" t="s">
        <v>1104</v>
      </c>
      <c r="E3" t="s">
        <v>20</v>
      </c>
      <c r="F3" t="s">
        <v>899</v>
      </c>
      <c r="G3" t="s">
        <v>21</v>
      </c>
      <c r="H3" t="s">
        <v>1073</v>
      </c>
      <c r="I3" t="s">
        <v>896</v>
      </c>
      <c r="J3" t="s">
        <v>22</v>
      </c>
      <c r="K3">
        <v>3772.12</v>
      </c>
      <c r="L3">
        <v>2</v>
      </c>
      <c r="M3">
        <v>0.15</v>
      </c>
      <c r="N3">
        <v>7544.24</v>
      </c>
      <c r="O3">
        <v>6412.6039999999994</v>
      </c>
      <c r="P3" t="s">
        <v>23</v>
      </c>
      <c r="Q3" t="s">
        <v>24</v>
      </c>
      <c r="R3" t="s">
        <v>1150</v>
      </c>
    </row>
    <row r="4" spans="1:18" x14ac:dyDescent="0.3">
      <c r="A4" t="s">
        <v>25</v>
      </c>
      <c r="B4" s="6">
        <v>45599</v>
      </c>
      <c r="C4" t="s">
        <v>27</v>
      </c>
      <c r="D4" t="s">
        <v>1105</v>
      </c>
      <c r="E4" t="s">
        <v>28</v>
      </c>
      <c r="F4" t="s">
        <v>897</v>
      </c>
      <c r="G4" t="s">
        <v>14</v>
      </c>
      <c r="H4" t="s">
        <v>1080</v>
      </c>
      <c r="I4" t="s">
        <v>896</v>
      </c>
      <c r="J4" t="s">
        <v>22</v>
      </c>
      <c r="K4">
        <v>733.33</v>
      </c>
      <c r="L4">
        <v>9</v>
      </c>
      <c r="M4">
        <v>0</v>
      </c>
      <c r="N4">
        <v>6599.97</v>
      </c>
      <c r="O4">
        <v>6599.97</v>
      </c>
      <c r="P4" t="s">
        <v>29</v>
      </c>
      <c r="Q4" t="s">
        <v>30</v>
      </c>
      <c r="R4" t="s">
        <v>1150</v>
      </c>
    </row>
    <row r="5" spans="1:18" x14ac:dyDescent="0.3">
      <c r="A5" t="s">
        <v>31</v>
      </c>
      <c r="B5" s="6">
        <v>45594</v>
      </c>
      <c r="C5" t="s">
        <v>32</v>
      </c>
      <c r="D5" t="s">
        <v>1106</v>
      </c>
      <c r="E5" t="s">
        <v>33</v>
      </c>
      <c r="F5" t="s">
        <v>932</v>
      </c>
      <c r="G5" t="s">
        <v>34</v>
      </c>
      <c r="H5" t="s">
        <v>1078</v>
      </c>
      <c r="I5" t="s">
        <v>931</v>
      </c>
      <c r="J5" t="s">
        <v>35</v>
      </c>
      <c r="K5">
        <v>620.89</v>
      </c>
      <c r="L5">
        <v>9</v>
      </c>
      <c r="M5">
        <v>0</v>
      </c>
      <c r="N5">
        <v>5588.01</v>
      </c>
      <c r="O5">
        <v>5588.01</v>
      </c>
      <c r="P5" t="s">
        <v>36</v>
      </c>
      <c r="Q5" t="s">
        <v>30</v>
      </c>
      <c r="R5" t="s">
        <v>1150</v>
      </c>
    </row>
    <row r="6" spans="1:18" x14ac:dyDescent="0.3">
      <c r="A6" t="s">
        <v>37</v>
      </c>
      <c r="B6" s="6">
        <v>45470</v>
      </c>
      <c r="C6" t="s">
        <v>39</v>
      </c>
      <c r="D6" t="s">
        <v>990</v>
      </c>
      <c r="E6" t="s">
        <v>40</v>
      </c>
      <c r="F6" t="s">
        <v>928</v>
      </c>
      <c r="G6" t="s">
        <v>34</v>
      </c>
      <c r="H6" t="s">
        <v>1078</v>
      </c>
      <c r="I6" t="s">
        <v>924</v>
      </c>
      <c r="J6" t="s">
        <v>35</v>
      </c>
      <c r="K6">
        <v>136.91</v>
      </c>
      <c r="L6">
        <v>10</v>
      </c>
      <c r="M6">
        <v>0.1</v>
      </c>
      <c r="N6">
        <v>1369.1</v>
      </c>
      <c r="O6">
        <v>1232.19</v>
      </c>
      <c r="P6" t="s">
        <v>41</v>
      </c>
      <c r="Q6" t="s">
        <v>42</v>
      </c>
      <c r="R6" t="s">
        <v>1150</v>
      </c>
    </row>
    <row r="7" spans="1:18" x14ac:dyDescent="0.3">
      <c r="A7" t="s">
        <v>43</v>
      </c>
      <c r="B7" s="6">
        <v>45292</v>
      </c>
      <c r="C7" t="s">
        <v>39</v>
      </c>
      <c r="D7" t="s">
        <v>990</v>
      </c>
      <c r="E7" t="s">
        <v>44</v>
      </c>
      <c r="F7" t="s">
        <v>911</v>
      </c>
      <c r="G7" t="s">
        <v>45</v>
      </c>
      <c r="H7" t="s">
        <v>1096</v>
      </c>
      <c r="I7" t="s">
        <v>910</v>
      </c>
      <c r="J7" t="s">
        <v>35</v>
      </c>
      <c r="K7">
        <v>973.21</v>
      </c>
      <c r="L7">
        <v>5</v>
      </c>
      <c r="M7">
        <v>0</v>
      </c>
      <c r="N7">
        <v>4866.05</v>
      </c>
      <c r="O7">
        <v>4866.05</v>
      </c>
      <c r="P7" t="s">
        <v>46</v>
      </c>
      <c r="Q7" t="s">
        <v>42</v>
      </c>
      <c r="R7" t="s">
        <v>1150</v>
      </c>
    </row>
    <row r="8" spans="1:18" x14ac:dyDescent="0.3">
      <c r="A8" t="s">
        <v>47</v>
      </c>
      <c r="B8" s="6">
        <v>45621</v>
      </c>
      <c r="C8" t="s">
        <v>49</v>
      </c>
      <c r="D8" t="s">
        <v>1107</v>
      </c>
      <c r="E8" t="s">
        <v>50</v>
      </c>
      <c r="F8" t="s">
        <v>936</v>
      </c>
      <c r="G8" t="s">
        <v>14</v>
      </c>
      <c r="H8" t="s">
        <v>1080</v>
      </c>
      <c r="I8" t="s">
        <v>931</v>
      </c>
      <c r="J8" t="s">
        <v>15</v>
      </c>
      <c r="K8">
        <v>2041.83</v>
      </c>
      <c r="L8">
        <v>8</v>
      </c>
      <c r="M8">
        <v>0.05</v>
      </c>
      <c r="N8">
        <v>16334.64</v>
      </c>
      <c r="O8">
        <v>15517.907999999999</v>
      </c>
      <c r="P8" t="s">
        <v>51</v>
      </c>
      <c r="Q8" t="s">
        <v>42</v>
      </c>
      <c r="R8" t="s">
        <v>1150</v>
      </c>
    </row>
    <row r="9" spans="1:18" x14ac:dyDescent="0.3">
      <c r="A9" t="s">
        <v>52</v>
      </c>
      <c r="B9" s="6">
        <v>45776</v>
      </c>
      <c r="C9" t="s">
        <v>53</v>
      </c>
      <c r="D9" t="s">
        <v>1047</v>
      </c>
      <c r="E9" t="s">
        <v>54</v>
      </c>
      <c r="F9" t="s">
        <v>891</v>
      </c>
      <c r="G9" t="s">
        <v>34</v>
      </c>
      <c r="H9" t="s">
        <v>1078</v>
      </c>
      <c r="I9" t="s">
        <v>889</v>
      </c>
      <c r="J9" t="s">
        <v>22</v>
      </c>
      <c r="K9">
        <v>3929.31</v>
      </c>
      <c r="L9">
        <v>3</v>
      </c>
      <c r="M9">
        <v>0.15</v>
      </c>
      <c r="N9">
        <v>11787.93</v>
      </c>
      <c r="O9">
        <v>10019.7405</v>
      </c>
      <c r="P9" t="s">
        <v>55</v>
      </c>
      <c r="Q9" t="s">
        <v>42</v>
      </c>
      <c r="R9" t="s">
        <v>1150</v>
      </c>
    </row>
    <row r="10" spans="1:18" x14ac:dyDescent="0.3">
      <c r="A10" t="s">
        <v>56</v>
      </c>
      <c r="B10" s="6">
        <v>45635</v>
      </c>
      <c r="C10" t="s">
        <v>58</v>
      </c>
      <c r="D10" t="s">
        <v>1014</v>
      </c>
      <c r="E10" t="s">
        <v>20</v>
      </c>
      <c r="F10" t="s">
        <v>899</v>
      </c>
      <c r="G10" t="s">
        <v>14</v>
      </c>
      <c r="H10" t="s">
        <v>1080</v>
      </c>
      <c r="I10" t="s">
        <v>896</v>
      </c>
      <c r="J10" t="s">
        <v>22</v>
      </c>
      <c r="K10">
        <v>3772.12</v>
      </c>
      <c r="L10">
        <v>2</v>
      </c>
      <c r="M10">
        <v>0.2</v>
      </c>
      <c r="N10">
        <v>7544.24</v>
      </c>
      <c r="O10">
        <v>6035.3919999999998</v>
      </c>
      <c r="P10" t="s">
        <v>59</v>
      </c>
      <c r="Q10" t="s">
        <v>60</v>
      </c>
      <c r="R10" t="s">
        <v>1150</v>
      </c>
    </row>
    <row r="11" spans="1:18" x14ac:dyDescent="0.3">
      <c r="A11" t="s">
        <v>61</v>
      </c>
      <c r="B11" s="6">
        <v>45495</v>
      </c>
      <c r="C11" t="s">
        <v>27</v>
      </c>
      <c r="D11" t="s">
        <v>1105</v>
      </c>
      <c r="E11" t="s">
        <v>13</v>
      </c>
      <c r="F11" t="s">
        <v>913</v>
      </c>
      <c r="G11" t="s">
        <v>14</v>
      </c>
      <c r="H11" t="s">
        <v>1080</v>
      </c>
      <c r="I11" t="s">
        <v>910</v>
      </c>
      <c r="J11" t="s">
        <v>15</v>
      </c>
      <c r="K11">
        <v>3493.54</v>
      </c>
      <c r="L11">
        <v>3</v>
      </c>
      <c r="M11">
        <v>0</v>
      </c>
      <c r="N11">
        <v>10480.619999999999</v>
      </c>
      <c r="O11">
        <v>10480.619999999999</v>
      </c>
      <c r="P11" t="s">
        <v>63</v>
      </c>
      <c r="Q11" t="s">
        <v>30</v>
      </c>
      <c r="R11" t="s">
        <v>1150</v>
      </c>
    </row>
    <row r="12" spans="1:18" x14ac:dyDescent="0.3">
      <c r="A12" t="s">
        <v>64</v>
      </c>
      <c r="B12" s="6">
        <v>45366</v>
      </c>
      <c r="C12" t="s">
        <v>66</v>
      </c>
      <c r="D12" t="s">
        <v>1108</v>
      </c>
      <c r="E12" t="s">
        <v>67</v>
      </c>
      <c r="F12" t="s">
        <v>925</v>
      </c>
      <c r="G12" t="s">
        <v>14</v>
      </c>
      <c r="H12" t="s">
        <v>1080</v>
      </c>
      <c r="I12" t="s">
        <v>924</v>
      </c>
      <c r="J12" t="s">
        <v>15</v>
      </c>
      <c r="K12">
        <v>3205.14</v>
      </c>
      <c r="L12">
        <v>8</v>
      </c>
      <c r="M12">
        <v>0.05</v>
      </c>
      <c r="N12">
        <v>25641.119999999999</v>
      </c>
      <c r="O12">
        <v>24359.063999999998</v>
      </c>
      <c r="P12" t="s">
        <v>68</v>
      </c>
      <c r="Q12" t="s">
        <v>30</v>
      </c>
      <c r="R12" t="s">
        <v>1150</v>
      </c>
    </row>
    <row r="13" spans="1:18" x14ac:dyDescent="0.3">
      <c r="A13" t="s">
        <v>69</v>
      </c>
      <c r="B13" s="6">
        <v>45798</v>
      </c>
      <c r="C13" t="s">
        <v>71</v>
      </c>
      <c r="D13" t="s">
        <v>980</v>
      </c>
      <c r="E13" t="s">
        <v>72</v>
      </c>
      <c r="F13" t="s">
        <v>919</v>
      </c>
      <c r="G13" t="s">
        <v>14</v>
      </c>
      <c r="H13" t="s">
        <v>1080</v>
      </c>
      <c r="I13" t="s">
        <v>917</v>
      </c>
      <c r="J13" t="s">
        <v>73</v>
      </c>
      <c r="K13">
        <v>2316.1999999999998</v>
      </c>
      <c r="L13">
        <v>7</v>
      </c>
      <c r="M13">
        <v>0</v>
      </c>
      <c r="N13">
        <v>16213.399999999998</v>
      </c>
      <c r="O13">
        <v>16213.399999999998</v>
      </c>
      <c r="P13" t="s">
        <v>74</v>
      </c>
      <c r="Q13" t="s">
        <v>24</v>
      </c>
      <c r="R13" t="s">
        <v>1150</v>
      </c>
    </row>
    <row r="14" spans="1:18" x14ac:dyDescent="0.3">
      <c r="A14" t="s">
        <v>75</v>
      </c>
      <c r="B14" s="6">
        <v>45727</v>
      </c>
      <c r="C14" t="s">
        <v>27</v>
      </c>
      <c r="D14" t="s">
        <v>1105</v>
      </c>
      <c r="E14" t="s">
        <v>77</v>
      </c>
      <c r="F14" t="s">
        <v>884</v>
      </c>
      <c r="G14" t="s">
        <v>21</v>
      </c>
      <c r="H14" t="s">
        <v>1073</v>
      </c>
      <c r="I14" t="s">
        <v>882</v>
      </c>
      <c r="J14" t="s">
        <v>35</v>
      </c>
      <c r="K14">
        <v>3550.89</v>
      </c>
      <c r="L14">
        <v>4</v>
      </c>
      <c r="M14">
        <v>0</v>
      </c>
      <c r="N14">
        <v>14203.56</v>
      </c>
      <c r="O14">
        <v>14203.56</v>
      </c>
      <c r="P14" t="s">
        <v>78</v>
      </c>
      <c r="Q14" t="s">
        <v>24</v>
      </c>
      <c r="R14" t="s">
        <v>1150</v>
      </c>
    </row>
    <row r="15" spans="1:18" x14ac:dyDescent="0.3">
      <c r="A15" t="s">
        <v>79</v>
      </c>
      <c r="B15" s="6">
        <v>45547</v>
      </c>
      <c r="C15" t="s">
        <v>80</v>
      </c>
      <c r="D15" t="s">
        <v>1109</v>
      </c>
      <c r="E15" t="s">
        <v>81</v>
      </c>
      <c r="F15" t="s">
        <v>886</v>
      </c>
      <c r="G15" t="s">
        <v>82</v>
      </c>
      <c r="H15" t="s">
        <v>1076</v>
      </c>
      <c r="I15" t="s">
        <v>882</v>
      </c>
      <c r="J15" t="s">
        <v>35</v>
      </c>
      <c r="K15">
        <v>1044.7</v>
      </c>
      <c r="L15">
        <v>2</v>
      </c>
      <c r="M15">
        <v>0.05</v>
      </c>
      <c r="N15">
        <v>2089.4</v>
      </c>
      <c r="O15">
        <v>1984.93</v>
      </c>
      <c r="P15" t="s">
        <v>83</v>
      </c>
      <c r="Q15" t="s">
        <v>42</v>
      </c>
      <c r="R15" t="s">
        <v>1150</v>
      </c>
    </row>
    <row r="16" spans="1:18" x14ac:dyDescent="0.3">
      <c r="A16" t="s">
        <v>84</v>
      </c>
      <c r="B16" s="6">
        <v>45616</v>
      </c>
      <c r="C16" t="s">
        <v>39</v>
      </c>
      <c r="D16" t="s">
        <v>990</v>
      </c>
      <c r="E16" t="s">
        <v>85</v>
      </c>
      <c r="F16" t="s">
        <v>934</v>
      </c>
      <c r="G16" t="s">
        <v>82</v>
      </c>
      <c r="H16" t="s">
        <v>1076</v>
      </c>
      <c r="I16" t="s">
        <v>931</v>
      </c>
      <c r="J16" t="s">
        <v>35</v>
      </c>
      <c r="K16">
        <v>3457.28</v>
      </c>
      <c r="L16">
        <v>8</v>
      </c>
      <c r="M16">
        <v>0.1</v>
      </c>
      <c r="N16">
        <v>27658.240000000002</v>
      </c>
      <c r="O16">
        <v>24892.416000000001</v>
      </c>
      <c r="P16" t="s">
        <v>86</v>
      </c>
      <c r="Q16" t="s">
        <v>42</v>
      </c>
      <c r="R16" t="s">
        <v>1150</v>
      </c>
    </row>
    <row r="17" spans="1:18" x14ac:dyDescent="0.3">
      <c r="A17" t="s">
        <v>87</v>
      </c>
      <c r="B17" s="6">
        <v>45748</v>
      </c>
      <c r="C17" t="s">
        <v>89</v>
      </c>
      <c r="D17" t="s">
        <v>1059</v>
      </c>
      <c r="E17" t="s">
        <v>90</v>
      </c>
      <c r="F17" t="s">
        <v>902</v>
      </c>
      <c r="G17" t="s">
        <v>82</v>
      </c>
      <c r="H17" t="s">
        <v>1076</v>
      </c>
      <c r="I17" t="s">
        <v>903</v>
      </c>
      <c r="J17" t="s">
        <v>35</v>
      </c>
      <c r="K17">
        <v>928.72</v>
      </c>
      <c r="L17">
        <v>3</v>
      </c>
      <c r="M17">
        <v>0.15</v>
      </c>
      <c r="N17">
        <v>2786.16</v>
      </c>
      <c r="O17">
        <v>2368.2359999999999</v>
      </c>
      <c r="P17" t="s">
        <v>91</v>
      </c>
      <c r="Q17" t="s">
        <v>17</v>
      </c>
      <c r="R17" t="s">
        <v>1150</v>
      </c>
    </row>
    <row r="18" spans="1:18" x14ac:dyDescent="0.3">
      <c r="A18" t="s">
        <v>92</v>
      </c>
      <c r="B18" s="6">
        <v>45545</v>
      </c>
      <c r="C18" t="s">
        <v>19</v>
      </c>
      <c r="D18" t="s">
        <v>1104</v>
      </c>
      <c r="E18" t="s">
        <v>94</v>
      </c>
      <c r="F18" t="s">
        <v>935</v>
      </c>
      <c r="G18" t="s">
        <v>14</v>
      </c>
      <c r="H18" t="s">
        <v>1080</v>
      </c>
      <c r="I18" t="s">
        <v>931</v>
      </c>
      <c r="J18" t="s">
        <v>35</v>
      </c>
      <c r="K18">
        <v>3610.44</v>
      </c>
      <c r="L18">
        <v>5</v>
      </c>
      <c r="M18">
        <v>0.2</v>
      </c>
      <c r="N18">
        <v>18052.2</v>
      </c>
      <c r="O18">
        <v>14441.760000000002</v>
      </c>
      <c r="P18" t="s">
        <v>95</v>
      </c>
      <c r="Q18" t="s">
        <v>60</v>
      </c>
      <c r="R18" t="s">
        <v>1150</v>
      </c>
    </row>
    <row r="19" spans="1:18" x14ac:dyDescent="0.3">
      <c r="A19" t="s">
        <v>96</v>
      </c>
      <c r="B19" s="6">
        <v>45573</v>
      </c>
      <c r="C19" t="s">
        <v>98</v>
      </c>
      <c r="D19" t="s">
        <v>1110</v>
      </c>
      <c r="E19" t="s">
        <v>99</v>
      </c>
      <c r="F19" t="s">
        <v>881</v>
      </c>
      <c r="G19" t="s">
        <v>45</v>
      </c>
      <c r="H19" t="s">
        <v>1096</v>
      </c>
      <c r="I19" t="s">
        <v>882</v>
      </c>
      <c r="J19" t="s">
        <v>15</v>
      </c>
      <c r="K19">
        <v>2352.63</v>
      </c>
      <c r="L19">
        <v>8</v>
      </c>
      <c r="M19">
        <v>0</v>
      </c>
      <c r="N19">
        <v>18821.04</v>
      </c>
      <c r="O19">
        <v>18821.04</v>
      </c>
      <c r="P19" t="s">
        <v>100</v>
      </c>
      <c r="Q19" t="s">
        <v>17</v>
      </c>
      <c r="R19" t="s">
        <v>1150</v>
      </c>
    </row>
    <row r="20" spans="1:18" x14ac:dyDescent="0.3">
      <c r="A20" t="s">
        <v>101</v>
      </c>
      <c r="B20" s="6">
        <v>45635</v>
      </c>
      <c r="C20" t="s">
        <v>102</v>
      </c>
      <c r="D20" t="s">
        <v>1111</v>
      </c>
      <c r="E20" t="s">
        <v>33</v>
      </c>
      <c r="F20" t="s">
        <v>932</v>
      </c>
      <c r="G20" t="s">
        <v>14</v>
      </c>
      <c r="H20" t="s">
        <v>1080</v>
      </c>
      <c r="I20" t="s">
        <v>931</v>
      </c>
      <c r="J20" t="s">
        <v>15</v>
      </c>
      <c r="K20">
        <v>620.89</v>
      </c>
      <c r="L20">
        <v>6</v>
      </c>
      <c r="M20">
        <v>0.1</v>
      </c>
      <c r="N20">
        <v>3725.34</v>
      </c>
      <c r="O20">
        <v>3352.806</v>
      </c>
      <c r="P20" t="s">
        <v>103</v>
      </c>
      <c r="Q20" t="s">
        <v>60</v>
      </c>
      <c r="R20" t="s">
        <v>1150</v>
      </c>
    </row>
    <row r="21" spans="1:18" x14ac:dyDescent="0.3">
      <c r="A21" t="s">
        <v>104</v>
      </c>
      <c r="B21" s="6">
        <v>45528</v>
      </c>
      <c r="C21" t="s">
        <v>105</v>
      </c>
      <c r="D21" t="s">
        <v>941</v>
      </c>
      <c r="E21" t="s">
        <v>106</v>
      </c>
      <c r="F21" t="s">
        <v>894</v>
      </c>
      <c r="G21" t="s">
        <v>34</v>
      </c>
      <c r="H21" t="s">
        <v>1078</v>
      </c>
      <c r="I21" t="s">
        <v>889</v>
      </c>
      <c r="J21" t="s">
        <v>15</v>
      </c>
      <c r="K21">
        <v>1559.65</v>
      </c>
      <c r="L21">
        <v>7</v>
      </c>
      <c r="M21">
        <v>0.15</v>
      </c>
      <c r="N21">
        <v>10917.550000000001</v>
      </c>
      <c r="O21">
        <v>9279.9175000000014</v>
      </c>
      <c r="P21" t="s">
        <v>107</v>
      </c>
      <c r="Q21" t="s">
        <v>24</v>
      </c>
      <c r="R21" t="s">
        <v>1150</v>
      </c>
    </row>
    <row r="22" spans="1:18" x14ac:dyDescent="0.3">
      <c r="A22" t="s">
        <v>108</v>
      </c>
      <c r="B22" s="6">
        <v>45716</v>
      </c>
      <c r="C22" t="s">
        <v>110</v>
      </c>
      <c r="D22" t="s">
        <v>983</v>
      </c>
      <c r="E22" t="s">
        <v>111</v>
      </c>
      <c r="F22" t="s">
        <v>929</v>
      </c>
      <c r="G22" t="s">
        <v>45</v>
      </c>
      <c r="H22" t="s">
        <v>1096</v>
      </c>
      <c r="I22" t="s">
        <v>924</v>
      </c>
      <c r="J22" t="s">
        <v>35</v>
      </c>
      <c r="K22">
        <v>4390.62</v>
      </c>
      <c r="L22">
        <v>7</v>
      </c>
      <c r="M22">
        <v>0</v>
      </c>
      <c r="N22">
        <v>30734.34</v>
      </c>
      <c r="O22">
        <v>30734.34</v>
      </c>
      <c r="P22" t="s">
        <v>112</v>
      </c>
      <c r="Q22" t="s">
        <v>30</v>
      </c>
      <c r="R22" t="s">
        <v>1150</v>
      </c>
    </row>
    <row r="23" spans="1:18" x14ac:dyDescent="0.3">
      <c r="A23" t="s">
        <v>113</v>
      </c>
      <c r="B23" s="6">
        <v>45355</v>
      </c>
      <c r="C23" t="s">
        <v>115</v>
      </c>
      <c r="D23" t="s">
        <v>996</v>
      </c>
      <c r="E23" t="s">
        <v>116</v>
      </c>
      <c r="F23" t="s">
        <v>892</v>
      </c>
      <c r="G23" t="s">
        <v>45</v>
      </c>
      <c r="H23" t="s">
        <v>1096</v>
      </c>
      <c r="I23" t="s">
        <v>889</v>
      </c>
      <c r="J23" t="s">
        <v>35</v>
      </c>
      <c r="K23">
        <v>1156.02</v>
      </c>
      <c r="L23">
        <v>4</v>
      </c>
      <c r="M23">
        <v>0.2</v>
      </c>
      <c r="N23">
        <v>4624.08</v>
      </c>
      <c r="O23">
        <v>3699.2640000000001</v>
      </c>
      <c r="P23" t="s">
        <v>117</v>
      </c>
      <c r="Q23" t="s">
        <v>42</v>
      </c>
      <c r="R23" t="s">
        <v>1150</v>
      </c>
    </row>
    <row r="24" spans="1:18" x14ac:dyDescent="0.3">
      <c r="A24" t="s">
        <v>118</v>
      </c>
      <c r="B24" s="6">
        <v>45312</v>
      </c>
      <c r="C24" t="s">
        <v>120</v>
      </c>
      <c r="D24" t="s">
        <v>993</v>
      </c>
      <c r="E24" t="s">
        <v>121</v>
      </c>
      <c r="F24" t="s">
        <v>906</v>
      </c>
      <c r="G24" t="s">
        <v>14</v>
      </c>
      <c r="H24" t="s">
        <v>1080</v>
      </c>
      <c r="I24" t="s">
        <v>903</v>
      </c>
      <c r="J24" t="s">
        <v>73</v>
      </c>
      <c r="K24">
        <v>3414.07</v>
      </c>
      <c r="L24">
        <v>10</v>
      </c>
      <c r="M24">
        <v>0.05</v>
      </c>
      <c r="N24">
        <v>34140.700000000004</v>
      </c>
      <c r="O24">
        <v>32433.665000000001</v>
      </c>
      <c r="P24" t="s">
        <v>122</v>
      </c>
      <c r="Q24" t="s">
        <v>17</v>
      </c>
      <c r="R24" t="s">
        <v>1150</v>
      </c>
    </row>
    <row r="25" spans="1:18" x14ac:dyDescent="0.3">
      <c r="A25" t="s">
        <v>123</v>
      </c>
      <c r="B25" s="6">
        <v>45597</v>
      </c>
      <c r="C25" t="s">
        <v>124</v>
      </c>
      <c r="D25" t="s">
        <v>1112</v>
      </c>
      <c r="E25" t="s">
        <v>125</v>
      </c>
      <c r="F25" t="s">
        <v>930</v>
      </c>
      <c r="G25" t="s">
        <v>82</v>
      </c>
      <c r="H25" t="s">
        <v>1076</v>
      </c>
      <c r="I25" t="s">
        <v>931</v>
      </c>
      <c r="J25" t="s">
        <v>15</v>
      </c>
      <c r="K25">
        <v>2458.91</v>
      </c>
      <c r="L25">
        <v>7</v>
      </c>
      <c r="M25">
        <v>0.2</v>
      </c>
      <c r="N25">
        <v>17212.37</v>
      </c>
      <c r="O25">
        <v>13769.896000000001</v>
      </c>
      <c r="P25" t="s">
        <v>126</v>
      </c>
      <c r="Q25" t="s">
        <v>30</v>
      </c>
      <c r="R25" t="s">
        <v>1150</v>
      </c>
    </row>
    <row r="26" spans="1:18" x14ac:dyDescent="0.3">
      <c r="A26" t="s">
        <v>127</v>
      </c>
      <c r="B26" s="6">
        <v>45516</v>
      </c>
      <c r="C26" t="s">
        <v>129</v>
      </c>
      <c r="D26" t="s">
        <v>1113</v>
      </c>
      <c r="E26" t="s">
        <v>130</v>
      </c>
      <c r="F26" t="s">
        <v>912</v>
      </c>
      <c r="G26" t="s">
        <v>21</v>
      </c>
      <c r="H26" t="s">
        <v>1073</v>
      </c>
      <c r="I26" t="s">
        <v>910</v>
      </c>
      <c r="J26" t="s">
        <v>73</v>
      </c>
      <c r="K26">
        <v>3128.51</v>
      </c>
      <c r="L26">
        <v>5</v>
      </c>
      <c r="M26">
        <v>0.05</v>
      </c>
      <c r="N26">
        <v>15642.550000000001</v>
      </c>
      <c r="O26">
        <v>14860.422500000001</v>
      </c>
      <c r="P26" t="s">
        <v>131</v>
      </c>
      <c r="Q26" t="s">
        <v>30</v>
      </c>
      <c r="R26" t="s">
        <v>1150</v>
      </c>
    </row>
    <row r="27" spans="1:18" x14ac:dyDescent="0.3">
      <c r="A27" t="s">
        <v>132</v>
      </c>
      <c r="B27" s="6">
        <v>45636</v>
      </c>
      <c r="C27" t="s">
        <v>134</v>
      </c>
      <c r="D27" t="s">
        <v>1047</v>
      </c>
      <c r="E27" t="s">
        <v>13</v>
      </c>
      <c r="F27" t="s">
        <v>913</v>
      </c>
      <c r="G27" t="s">
        <v>45</v>
      </c>
      <c r="H27" t="s">
        <v>1096</v>
      </c>
      <c r="I27" t="s">
        <v>910</v>
      </c>
      <c r="J27" t="s">
        <v>35</v>
      </c>
      <c r="K27">
        <v>3493.54</v>
      </c>
      <c r="L27">
        <v>7</v>
      </c>
      <c r="M27">
        <v>0.15</v>
      </c>
      <c r="N27">
        <v>24454.78</v>
      </c>
      <c r="O27">
        <v>20786.562999999998</v>
      </c>
      <c r="P27" t="s">
        <v>59</v>
      </c>
      <c r="Q27" t="s">
        <v>60</v>
      </c>
      <c r="R27" t="s">
        <v>1150</v>
      </c>
    </row>
    <row r="28" spans="1:18" x14ac:dyDescent="0.3">
      <c r="A28" t="s">
        <v>135</v>
      </c>
      <c r="B28" s="6">
        <v>45319</v>
      </c>
      <c r="C28" t="s">
        <v>137</v>
      </c>
      <c r="D28" t="s">
        <v>1114</v>
      </c>
      <c r="E28" t="s">
        <v>106</v>
      </c>
      <c r="F28" t="s">
        <v>894</v>
      </c>
      <c r="G28" t="s">
        <v>34</v>
      </c>
      <c r="H28" t="s">
        <v>1078</v>
      </c>
      <c r="I28" t="s">
        <v>889</v>
      </c>
      <c r="J28" t="s">
        <v>73</v>
      </c>
      <c r="K28">
        <v>1559.65</v>
      </c>
      <c r="L28">
        <v>7</v>
      </c>
      <c r="M28">
        <v>0.1</v>
      </c>
      <c r="N28">
        <v>10917.550000000001</v>
      </c>
      <c r="O28">
        <v>9825.7950000000019</v>
      </c>
      <c r="P28" t="s">
        <v>138</v>
      </c>
      <c r="Q28" t="s">
        <v>24</v>
      </c>
      <c r="R28" t="s">
        <v>1150</v>
      </c>
    </row>
    <row r="29" spans="1:18" x14ac:dyDescent="0.3">
      <c r="A29" t="s">
        <v>139</v>
      </c>
      <c r="B29" s="6">
        <v>45730</v>
      </c>
      <c r="C29" t="s">
        <v>141</v>
      </c>
      <c r="D29" t="s">
        <v>1115</v>
      </c>
      <c r="E29" t="s">
        <v>33</v>
      </c>
      <c r="F29" t="s">
        <v>932</v>
      </c>
      <c r="G29" t="s">
        <v>45</v>
      </c>
      <c r="H29" t="s">
        <v>1096</v>
      </c>
      <c r="I29" t="s">
        <v>931</v>
      </c>
      <c r="J29" t="s">
        <v>15</v>
      </c>
      <c r="K29">
        <v>620.89</v>
      </c>
      <c r="L29">
        <v>3</v>
      </c>
      <c r="M29">
        <v>0.2</v>
      </c>
      <c r="N29">
        <v>1862.67</v>
      </c>
      <c r="O29">
        <v>1490.1360000000002</v>
      </c>
      <c r="P29" t="s">
        <v>11</v>
      </c>
      <c r="Q29" t="s">
        <v>24</v>
      </c>
      <c r="R29" t="s">
        <v>1150</v>
      </c>
    </row>
    <row r="30" spans="1:18" x14ac:dyDescent="0.3">
      <c r="A30" t="s">
        <v>142</v>
      </c>
      <c r="B30" s="6">
        <v>45558</v>
      </c>
      <c r="C30" t="s">
        <v>144</v>
      </c>
      <c r="D30" t="s">
        <v>1116</v>
      </c>
      <c r="E30" t="s">
        <v>145</v>
      </c>
      <c r="F30" t="s">
        <v>900</v>
      </c>
      <c r="G30" t="s">
        <v>45</v>
      </c>
      <c r="H30" t="s">
        <v>1096</v>
      </c>
      <c r="I30" t="s">
        <v>896</v>
      </c>
      <c r="J30" t="s">
        <v>35</v>
      </c>
      <c r="K30">
        <v>2612.71</v>
      </c>
      <c r="L30">
        <v>7</v>
      </c>
      <c r="M30">
        <v>0</v>
      </c>
      <c r="N30">
        <v>18288.97</v>
      </c>
      <c r="O30">
        <v>18288.97</v>
      </c>
      <c r="P30" t="s">
        <v>146</v>
      </c>
      <c r="Q30" t="s">
        <v>17</v>
      </c>
      <c r="R30" t="s">
        <v>1150</v>
      </c>
    </row>
    <row r="31" spans="1:18" x14ac:dyDescent="0.3">
      <c r="A31" t="s">
        <v>147</v>
      </c>
      <c r="B31" s="6">
        <v>45637</v>
      </c>
      <c r="C31" t="s">
        <v>124</v>
      </c>
      <c r="D31" t="s">
        <v>1112</v>
      </c>
      <c r="E31" t="s">
        <v>148</v>
      </c>
      <c r="F31" t="s">
        <v>933</v>
      </c>
      <c r="G31" t="s">
        <v>82</v>
      </c>
      <c r="H31" t="s">
        <v>1076</v>
      </c>
      <c r="I31" t="s">
        <v>931</v>
      </c>
      <c r="J31" t="s">
        <v>22</v>
      </c>
      <c r="K31">
        <v>3576.75</v>
      </c>
      <c r="L31">
        <v>7</v>
      </c>
      <c r="M31">
        <v>0</v>
      </c>
      <c r="N31">
        <v>25037.25</v>
      </c>
      <c r="O31">
        <v>25037.25</v>
      </c>
      <c r="P31" t="s">
        <v>149</v>
      </c>
      <c r="Q31" t="s">
        <v>24</v>
      </c>
      <c r="R31" t="s">
        <v>1150</v>
      </c>
    </row>
    <row r="32" spans="1:18" x14ac:dyDescent="0.3">
      <c r="A32" t="s">
        <v>150</v>
      </c>
      <c r="B32" s="6">
        <v>45773</v>
      </c>
      <c r="C32" t="s">
        <v>152</v>
      </c>
      <c r="D32" t="s">
        <v>944</v>
      </c>
      <c r="E32" t="s">
        <v>153</v>
      </c>
      <c r="F32" t="s">
        <v>916</v>
      </c>
      <c r="G32" t="s">
        <v>21</v>
      </c>
      <c r="H32" t="s">
        <v>1073</v>
      </c>
      <c r="I32" t="s">
        <v>917</v>
      </c>
      <c r="J32" t="s">
        <v>73</v>
      </c>
      <c r="K32">
        <v>2128.4</v>
      </c>
      <c r="L32">
        <v>1</v>
      </c>
      <c r="M32">
        <v>0.15</v>
      </c>
      <c r="N32">
        <v>2128.4</v>
      </c>
      <c r="O32">
        <v>1809.14</v>
      </c>
      <c r="P32" t="s">
        <v>154</v>
      </c>
      <c r="Q32" t="s">
        <v>17</v>
      </c>
      <c r="R32" t="s">
        <v>1150</v>
      </c>
    </row>
    <row r="33" spans="1:18" x14ac:dyDescent="0.3">
      <c r="A33" t="s">
        <v>155</v>
      </c>
      <c r="B33" s="6">
        <v>45521</v>
      </c>
      <c r="C33" t="s">
        <v>157</v>
      </c>
      <c r="D33" t="s">
        <v>1117</v>
      </c>
      <c r="E33" t="s">
        <v>40</v>
      </c>
      <c r="F33" t="s">
        <v>928</v>
      </c>
      <c r="G33" t="s">
        <v>14</v>
      </c>
      <c r="H33" t="s">
        <v>1080</v>
      </c>
      <c r="I33" t="s">
        <v>924</v>
      </c>
      <c r="J33" t="s">
        <v>73</v>
      </c>
      <c r="K33">
        <v>136.91</v>
      </c>
      <c r="L33">
        <v>2</v>
      </c>
      <c r="M33">
        <v>0.2</v>
      </c>
      <c r="N33">
        <v>273.82</v>
      </c>
      <c r="O33">
        <v>219.05600000000001</v>
      </c>
      <c r="P33" t="s">
        <v>158</v>
      </c>
      <c r="Q33" t="s">
        <v>60</v>
      </c>
      <c r="R33" t="s">
        <v>1150</v>
      </c>
    </row>
    <row r="34" spans="1:18" x14ac:dyDescent="0.3">
      <c r="A34" t="s">
        <v>159</v>
      </c>
      <c r="B34" s="6">
        <v>45496</v>
      </c>
      <c r="C34" t="s">
        <v>160</v>
      </c>
      <c r="D34" t="s">
        <v>1118</v>
      </c>
      <c r="E34" t="s">
        <v>161</v>
      </c>
      <c r="F34" t="s">
        <v>905</v>
      </c>
      <c r="G34" t="s">
        <v>34</v>
      </c>
      <c r="H34" t="s">
        <v>1078</v>
      </c>
      <c r="I34" t="s">
        <v>903</v>
      </c>
      <c r="J34" t="s">
        <v>15</v>
      </c>
      <c r="K34">
        <v>1513.99</v>
      </c>
      <c r="L34">
        <v>1</v>
      </c>
      <c r="M34">
        <v>0.1</v>
      </c>
      <c r="N34">
        <v>1513.99</v>
      </c>
      <c r="O34">
        <v>1362.5910000000001</v>
      </c>
      <c r="P34" t="s">
        <v>162</v>
      </c>
      <c r="Q34" t="s">
        <v>60</v>
      </c>
      <c r="R34" t="s">
        <v>1150</v>
      </c>
    </row>
    <row r="35" spans="1:18" x14ac:dyDescent="0.3">
      <c r="A35" t="s">
        <v>163</v>
      </c>
      <c r="B35" s="6">
        <v>45776</v>
      </c>
      <c r="C35" t="s">
        <v>134</v>
      </c>
      <c r="D35" t="s">
        <v>1047</v>
      </c>
      <c r="E35" t="s">
        <v>164</v>
      </c>
      <c r="F35" t="s">
        <v>922</v>
      </c>
      <c r="G35" t="s">
        <v>14</v>
      </c>
      <c r="H35" t="s">
        <v>1080</v>
      </c>
      <c r="I35" t="s">
        <v>917</v>
      </c>
      <c r="J35" t="s">
        <v>35</v>
      </c>
      <c r="K35">
        <v>2489.91</v>
      </c>
      <c r="L35">
        <v>2</v>
      </c>
      <c r="M35">
        <v>0.1</v>
      </c>
      <c r="N35">
        <v>4979.82</v>
      </c>
      <c r="O35">
        <v>4481.8379999999997</v>
      </c>
      <c r="P35" t="s">
        <v>165</v>
      </c>
      <c r="Q35" t="s">
        <v>17</v>
      </c>
      <c r="R35" t="s">
        <v>1150</v>
      </c>
    </row>
    <row r="36" spans="1:18" x14ac:dyDescent="0.3">
      <c r="A36" t="s">
        <v>166</v>
      </c>
      <c r="B36" s="6">
        <v>45669</v>
      </c>
      <c r="C36" t="s">
        <v>168</v>
      </c>
      <c r="D36" t="s">
        <v>1119</v>
      </c>
      <c r="E36" t="s">
        <v>77</v>
      </c>
      <c r="F36" t="s">
        <v>884</v>
      </c>
      <c r="G36" t="s">
        <v>21</v>
      </c>
      <c r="H36" t="s">
        <v>1073</v>
      </c>
      <c r="I36" t="s">
        <v>882</v>
      </c>
      <c r="J36" t="s">
        <v>73</v>
      </c>
      <c r="K36">
        <v>3550.89</v>
      </c>
      <c r="L36">
        <v>3</v>
      </c>
      <c r="M36">
        <v>0.1</v>
      </c>
      <c r="N36">
        <v>10652.67</v>
      </c>
      <c r="O36">
        <v>9587.4030000000002</v>
      </c>
      <c r="P36" t="s">
        <v>169</v>
      </c>
      <c r="Q36" t="s">
        <v>60</v>
      </c>
      <c r="R36" t="s">
        <v>1150</v>
      </c>
    </row>
    <row r="37" spans="1:18" x14ac:dyDescent="0.3">
      <c r="A37" t="s">
        <v>170</v>
      </c>
      <c r="B37" s="6">
        <v>45610</v>
      </c>
      <c r="C37" t="s">
        <v>171</v>
      </c>
      <c r="D37" t="s">
        <v>1010</v>
      </c>
      <c r="E37" t="s">
        <v>172</v>
      </c>
      <c r="F37" t="s">
        <v>898</v>
      </c>
      <c r="G37" t="s">
        <v>45</v>
      </c>
      <c r="H37" t="s">
        <v>1096</v>
      </c>
      <c r="I37" t="s">
        <v>896</v>
      </c>
      <c r="J37" t="s">
        <v>22</v>
      </c>
      <c r="K37">
        <v>2849.53</v>
      </c>
      <c r="L37">
        <v>2</v>
      </c>
      <c r="M37">
        <v>0.1</v>
      </c>
      <c r="N37">
        <v>5699.06</v>
      </c>
      <c r="O37">
        <v>5129.1540000000005</v>
      </c>
      <c r="P37" t="s">
        <v>173</v>
      </c>
      <c r="Q37" t="s">
        <v>42</v>
      </c>
      <c r="R37" t="s">
        <v>1150</v>
      </c>
    </row>
    <row r="38" spans="1:18" x14ac:dyDescent="0.3">
      <c r="A38" t="s">
        <v>174</v>
      </c>
      <c r="B38" s="6">
        <v>45676</v>
      </c>
      <c r="C38" t="s">
        <v>176</v>
      </c>
      <c r="D38" t="s">
        <v>1120</v>
      </c>
      <c r="E38" t="s">
        <v>161</v>
      </c>
      <c r="F38" t="s">
        <v>905</v>
      </c>
      <c r="G38" t="s">
        <v>82</v>
      </c>
      <c r="H38" t="s">
        <v>1076</v>
      </c>
      <c r="I38" t="s">
        <v>903</v>
      </c>
      <c r="J38" t="s">
        <v>73</v>
      </c>
      <c r="K38">
        <v>1513.99</v>
      </c>
      <c r="L38">
        <v>7</v>
      </c>
      <c r="M38">
        <v>0.15</v>
      </c>
      <c r="N38">
        <v>10597.93</v>
      </c>
      <c r="O38">
        <v>9008.2404999999999</v>
      </c>
      <c r="P38" t="s">
        <v>177</v>
      </c>
      <c r="Q38" t="s">
        <v>42</v>
      </c>
      <c r="R38" t="s">
        <v>1150</v>
      </c>
    </row>
    <row r="39" spans="1:18" x14ac:dyDescent="0.3">
      <c r="A39" t="s">
        <v>178</v>
      </c>
      <c r="B39" s="6">
        <v>45540</v>
      </c>
      <c r="C39" t="s">
        <v>180</v>
      </c>
      <c r="D39" t="s">
        <v>1121</v>
      </c>
      <c r="E39" t="s">
        <v>148</v>
      </c>
      <c r="F39" t="s">
        <v>933</v>
      </c>
      <c r="G39" t="s">
        <v>82</v>
      </c>
      <c r="H39" t="s">
        <v>1076</v>
      </c>
      <c r="I39" t="s">
        <v>931</v>
      </c>
      <c r="J39" t="s">
        <v>73</v>
      </c>
      <c r="K39">
        <v>3576.75</v>
      </c>
      <c r="L39">
        <v>2</v>
      </c>
      <c r="M39">
        <v>0.15</v>
      </c>
      <c r="N39">
        <v>7153.5</v>
      </c>
      <c r="O39">
        <v>6080.4749999999995</v>
      </c>
      <c r="P39" t="s">
        <v>93</v>
      </c>
      <c r="Q39" t="s">
        <v>42</v>
      </c>
      <c r="R39" t="s">
        <v>1150</v>
      </c>
    </row>
    <row r="40" spans="1:18" x14ac:dyDescent="0.3">
      <c r="A40" t="s">
        <v>181</v>
      </c>
      <c r="B40" s="6">
        <v>45334</v>
      </c>
      <c r="C40" t="s">
        <v>160</v>
      </c>
      <c r="D40" t="s">
        <v>1118</v>
      </c>
      <c r="E40" t="s">
        <v>164</v>
      </c>
      <c r="F40" t="s">
        <v>922</v>
      </c>
      <c r="G40" t="s">
        <v>21</v>
      </c>
      <c r="H40" t="s">
        <v>1073</v>
      </c>
      <c r="I40" t="s">
        <v>917</v>
      </c>
      <c r="J40" t="s">
        <v>22</v>
      </c>
      <c r="K40">
        <v>2489.91</v>
      </c>
      <c r="L40">
        <v>6</v>
      </c>
      <c r="M40">
        <v>0.1</v>
      </c>
      <c r="N40">
        <v>14939.46</v>
      </c>
      <c r="O40">
        <v>13445.513999999999</v>
      </c>
      <c r="P40" t="s">
        <v>182</v>
      </c>
      <c r="Q40" t="s">
        <v>24</v>
      </c>
      <c r="R40" t="s">
        <v>1150</v>
      </c>
    </row>
    <row r="41" spans="1:18" x14ac:dyDescent="0.3">
      <c r="A41" t="s">
        <v>183</v>
      </c>
      <c r="B41" s="6">
        <v>45810</v>
      </c>
      <c r="C41" t="s">
        <v>39</v>
      </c>
      <c r="D41" t="s">
        <v>990</v>
      </c>
      <c r="E41" t="s">
        <v>33</v>
      </c>
      <c r="F41" t="s">
        <v>932</v>
      </c>
      <c r="G41" t="s">
        <v>14</v>
      </c>
      <c r="H41" t="s">
        <v>1080</v>
      </c>
      <c r="I41" t="s">
        <v>931</v>
      </c>
      <c r="J41" t="s">
        <v>35</v>
      </c>
      <c r="K41">
        <v>620.89</v>
      </c>
      <c r="L41">
        <v>6</v>
      </c>
      <c r="M41">
        <v>0</v>
      </c>
      <c r="N41">
        <v>3725.34</v>
      </c>
      <c r="O41">
        <v>3725.34</v>
      </c>
      <c r="P41" t="s">
        <v>184</v>
      </c>
      <c r="Q41" t="s">
        <v>24</v>
      </c>
      <c r="R41" t="s">
        <v>1150</v>
      </c>
    </row>
    <row r="42" spans="1:18" x14ac:dyDescent="0.3">
      <c r="A42" t="s">
        <v>185</v>
      </c>
      <c r="B42" s="6">
        <v>45735</v>
      </c>
      <c r="C42" t="s">
        <v>187</v>
      </c>
      <c r="D42" t="s">
        <v>1122</v>
      </c>
      <c r="E42" t="s">
        <v>130</v>
      </c>
      <c r="F42" t="s">
        <v>912</v>
      </c>
      <c r="G42" t="s">
        <v>34</v>
      </c>
      <c r="H42" t="s">
        <v>1078</v>
      </c>
      <c r="I42" t="s">
        <v>910</v>
      </c>
      <c r="J42" t="s">
        <v>15</v>
      </c>
      <c r="K42">
        <v>3128.51</v>
      </c>
      <c r="L42">
        <v>6</v>
      </c>
      <c r="M42">
        <v>0.15</v>
      </c>
      <c r="N42">
        <v>18771.060000000001</v>
      </c>
      <c r="O42">
        <v>15955.401</v>
      </c>
      <c r="P42" t="s">
        <v>188</v>
      </c>
      <c r="Q42" t="s">
        <v>30</v>
      </c>
      <c r="R42" t="s">
        <v>1150</v>
      </c>
    </row>
    <row r="43" spans="1:18" x14ac:dyDescent="0.3">
      <c r="A43" t="s">
        <v>189</v>
      </c>
      <c r="B43" s="6">
        <v>45472</v>
      </c>
      <c r="C43" t="s">
        <v>190</v>
      </c>
      <c r="D43" t="s">
        <v>1119</v>
      </c>
      <c r="E43" t="s">
        <v>164</v>
      </c>
      <c r="F43" t="s">
        <v>922</v>
      </c>
      <c r="G43" t="s">
        <v>14</v>
      </c>
      <c r="H43" t="s">
        <v>1080</v>
      </c>
      <c r="I43" t="s">
        <v>917</v>
      </c>
      <c r="J43" t="s">
        <v>35</v>
      </c>
      <c r="K43">
        <v>2489.91</v>
      </c>
      <c r="L43">
        <v>9</v>
      </c>
      <c r="M43">
        <v>0.15</v>
      </c>
      <c r="N43">
        <v>22409.19</v>
      </c>
      <c r="O43">
        <v>19047.8115</v>
      </c>
      <c r="P43" t="s">
        <v>191</v>
      </c>
      <c r="Q43" t="s">
        <v>30</v>
      </c>
      <c r="R43" t="s">
        <v>1150</v>
      </c>
    </row>
    <row r="44" spans="1:18" x14ac:dyDescent="0.3">
      <c r="A44" t="s">
        <v>192</v>
      </c>
      <c r="B44" s="6">
        <v>45738</v>
      </c>
      <c r="C44" t="s">
        <v>187</v>
      </c>
      <c r="D44" t="s">
        <v>1122</v>
      </c>
      <c r="E44" t="s">
        <v>172</v>
      </c>
      <c r="F44" t="s">
        <v>898</v>
      </c>
      <c r="G44" t="s">
        <v>34</v>
      </c>
      <c r="H44" t="s">
        <v>1078</v>
      </c>
      <c r="I44" t="s">
        <v>896</v>
      </c>
      <c r="J44" t="s">
        <v>15</v>
      </c>
      <c r="K44">
        <v>2849.53</v>
      </c>
      <c r="L44">
        <v>10</v>
      </c>
      <c r="M44">
        <v>0</v>
      </c>
      <c r="N44">
        <v>28495.300000000003</v>
      </c>
      <c r="O44">
        <v>28495.300000000003</v>
      </c>
      <c r="P44" t="s">
        <v>193</v>
      </c>
      <c r="Q44" t="s">
        <v>24</v>
      </c>
      <c r="R44" t="s">
        <v>1150</v>
      </c>
    </row>
    <row r="45" spans="1:18" x14ac:dyDescent="0.3">
      <c r="A45" t="s">
        <v>194</v>
      </c>
      <c r="B45" s="6">
        <v>45577</v>
      </c>
      <c r="C45" t="s">
        <v>144</v>
      </c>
      <c r="D45" t="s">
        <v>1116</v>
      </c>
      <c r="E45" t="s">
        <v>196</v>
      </c>
      <c r="F45" t="s">
        <v>885</v>
      </c>
      <c r="G45" t="s">
        <v>82</v>
      </c>
      <c r="H45" t="s">
        <v>1076</v>
      </c>
      <c r="I45" t="s">
        <v>882</v>
      </c>
      <c r="J45" t="s">
        <v>35</v>
      </c>
      <c r="K45">
        <v>2184.5100000000002</v>
      </c>
      <c r="L45">
        <v>8</v>
      </c>
      <c r="M45">
        <v>0</v>
      </c>
      <c r="N45">
        <v>17476.080000000002</v>
      </c>
      <c r="O45">
        <v>17476.080000000002</v>
      </c>
      <c r="P45" t="s">
        <v>197</v>
      </c>
      <c r="Q45" t="s">
        <v>17</v>
      </c>
      <c r="R45" t="s">
        <v>1150</v>
      </c>
    </row>
    <row r="46" spans="1:18" x14ac:dyDescent="0.3">
      <c r="A46" t="s">
        <v>198</v>
      </c>
      <c r="B46" s="6">
        <v>45321</v>
      </c>
      <c r="C46" t="s">
        <v>199</v>
      </c>
      <c r="D46" t="s">
        <v>1123</v>
      </c>
      <c r="E46" t="s">
        <v>81</v>
      </c>
      <c r="F46" t="s">
        <v>886</v>
      </c>
      <c r="G46" t="s">
        <v>45</v>
      </c>
      <c r="H46" t="s">
        <v>1096</v>
      </c>
      <c r="I46" t="s">
        <v>882</v>
      </c>
      <c r="J46" t="s">
        <v>15</v>
      </c>
      <c r="K46">
        <v>1044.7</v>
      </c>
      <c r="L46">
        <v>8</v>
      </c>
      <c r="M46">
        <v>0.2</v>
      </c>
      <c r="N46">
        <v>8357.6</v>
      </c>
      <c r="O46">
        <v>6686.0800000000008</v>
      </c>
      <c r="P46" t="s">
        <v>200</v>
      </c>
      <c r="Q46" t="s">
        <v>30</v>
      </c>
      <c r="R46" t="s">
        <v>1150</v>
      </c>
    </row>
    <row r="47" spans="1:18" x14ac:dyDescent="0.3">
      <c r="A47" t="s">
        <v>201</v>
      </c>
      <c r="B47" s="6">
        <v>45509</v>
      </c>
      <c r="C47" t="s">
        <v>202</v>
      </c>
      <c r="D47" t="s">
        <v>1124</v>
      </c>
      <c r="E47" t="s">
        <v>67</v>
      </c>
      <c r="F47" t="s">
        <v>925</v>
      </c>
      <c r="G47" t="s">
        <v>34</v>
      </c>
      <c r="H47" t="s">
        <v>1078</v>
      </c>
      <c r="I47" t="s">
        <v>924</v>
      </c>
      <c r="J47" t="s">
        <v>22</v>
      </c>
      <c r="K47">
        <v>3205.14</v>
      </c>
      <c r="L47">
        <v>6</v>
      </c>
      <c r="M47">
        <v>0.2</v>
      </c>
      <c r="N47">
        <v>19230.84</v>
      </c>
      <c r="O47">
        <v>15384.672</v>
      </c>
      <c r="P47" t="s">
        <v>203</v>
      </c>
      <c r="Q47" t="s">
        <v>17</v>
      </c>
      <c r="R47" t="s">
        <v>1150</v>
      </c>
    </row>
    <row r="48" spans="1:18" x14ac:dyDescent="0.3">
      <c r="A48" t="s">
        <v>204</v>
      </c>
      <c r="B48" s="6">
        <v>45574</v>
      </c>
      <c r="C48" t="s">
        <v>134</v>
      </c>
      <c r="D48" t="s">
        <v>1047</v>
      </c>
      <c r="E48" t="s">
        <v>206</v>
      </c>
      <c r="F48" t="s">
        <v>887</v>
      </c>
      <c r="G48" t="s">
        <v>34</v>
      </c>
      <c r="H48" t="s">
        <v>1078</v>
      </c>
      <c r="I48" t="s">
        <v>882</v>
      </c>
      <c r="J48" t="s">
        <v>15</v>
      </c>
      <c r="K48">
        <v>2779.58</v>
      </c>
      <c r="L48">
        <v>9</v>
      </c>
      <c r="M48">
        <v>0</v>
      </c>
      <c r="N48">
        <v>25016.22</v>
      </c>
      <c r="O48">
        <v>25016.22</v>
      </c>
      <c r="P48" t="s">
        <v>207</v>
      </c>
      <c r="Q48" t="s">
        <v>24</v>
      </c>
      <c r="R48" t="s">
        <v>1150</v>
      </c>
    </row>
    <row r="49" spans="1:18" x14ac:dyDescent="0.3">
      <c r="A49" t="s">
        <v>208</v>
      </c>
      <c r="B49" s="6">
        <v>45539</v>
      </c>
      <c r="C49" t="s">
        <v>209</v>
      </c>
      <c r="D49" t="s">
        <v>966</v>
      </c>
      <c r="E49" t="s">
        <v>210</v>
      </c>
      <c r="F49" t="s">
        <v>914</v>
      </c>
      <c r="G49" t="s">
        <v>45</v>
      </c>
      <c r="H49" t="s">
        <v>1096</v>
      </c>
      <c r="I49" t="s">
        <v>910</v>
      </c>
      <c r="J49" t="s">
        <v>15</v>
      </c>
      <c r="K49">
        <v>1187.29</v>
      </c>
      <c r="L49">
        <v>7</v>
      </c>
      <c r="M49">
        <v>0.05</v>
      </c>
      <c r="N49">
        <v>8311.0299999999988</v>
      </c>
      <c r="O49">
        <v>7895.4784999999983</v>
      </c>
      <c r="P49" t="s">
        <v>211</v>
      </c>
      <c r="Q49" t="s">
        <v>30</v>
      </c>
      <c r="R49" t="s">
        <v>1150</v>
      </c>
    </row>
    <row r="50" spans="1:18" x14ac:dyDescent="0.3">
      <c r="A50" t="s">
        <v>212</v>
      </c>
      <c r="B50" s="6">
        <v>45794</v>
      </c>
      <c r="C50" t="s">
        <v>214</v>
      </c>
      <c r="D50" t="s">
        <v>1125</v>
      </c>
      <c r="E50" t="s">
        <v>40</v>
      </c>
      <c r="F50" t="s">
        <v>928</v>
      </c>
      <c r="G50" t="s">
        <v>14</v>
      </c>
      <c r="H50" t="s">
        <v>1080</v>
      </c>
      <c r="I50" t="s">
        <v>924</v>
      </c>
      <c r="J50" t="s">
        <v>73</v>
      </c>
      <c r="K50">
        <v>136.91</v>
      </c>
      <c r="L50">
        <v>8</v>
      </c>
      <c r="M50">
        <v>0.2</v>
      </c>
      <c r="N50">
        <v>1095.28</v>
      </c>
      <c r="O50">
        <v>876.22400000000005</v>
      </c>
      <c r="P50" t="s">
        <v>215</v>
      </c>
      <c r="Q50" t="s">
        <v>17</v>
      </c>
      <c r="R50" t="s">
        <v>1150</v>
      </c>
    </row>
    <row r="51" spans="1:18" x14ac:dyDescent="0.3">
      <c r="A51" t="s">
        <v>216</v>
      </c>
      <c r="B51" s="6">
        <v>45518</v>
      </c>
      <c r="C51" t="s">
        <v>218</v>
      </c>
      <c r="D51" t="s">
        <v>1003</v>
      </c>
      <c r="E51" t="s">
        <v>94</v>
      </c>
      <c r="F51" t="s">
        <v>935</v>
      </c>
      <c r="G51" t="s">
        <v>82</v>
      </c>
      <c r="H51" t="s">
        <v>1076</v>
      </c>
      <c r="I51" t="s">
        <v>931</v>
      </c>
      <c r="J51" t="s">
        <v>22</v>
      </c>
      <c r="K51">
        <v>3610.44</v>
      </c>
      <c r="L51">
        <v>7</v>
      </c>
      <c r="M51">
        <v>0.15</v>
      </c>
      <c r="N51">
        <v>25273.08</v>
      </c>
      <c r="O51">
        <v>21482.118000000002</v>
      </c>
      <c r="P51" t="s">
        <v>158</v>
      </c>
      <c r="Q51" t="s">
        <v>42</v>
      </c>
      <c r="R51" t="s">
        <v>1150</v>
      </c>
    </row>
    <row r="52" spans="1:18" x14ac:dyDescent="0.3">
      <c r="A52" t="s">
        <v>219</v>
      </c>
      <c r="B52" s="6">
        <v>45669</v>
      </c>
      <c r="C52" t="s">
        <v>39</v>
      </c>
      <c r="D52" t="s">
        <v>990</v>
      </c>
      <c r="E52" t="s">
        <v>196</v>
      </c>
      <c r="F52" t="s">
        <v>885</v>
      </c>
      <c r="G52" t="s">
        <v>14</v>
      </c>
      <c r="H52" t="s">
        <v>1080</v>
      </c>
      <c r="I52" t="s">
        <v>882</v>
      </c>
      <c r="J52" t="s">
        <v>22</v>
      </c>
      <c r="K52">
        <v>2184.5100000000002</v>
      </c>
      <c r="L52">
        <v>8</v>
      </c>
      <c r="M52">
        <v>0.1</v>
      </c>
      <c r="N52">
        <v>17476.080000000002</v>
      </c>
      <c r="O52">
        <v>15728.472000000002</v>
      </c>
      <c r="P52" t="s">
        <v>220</v>
      </c>
      <c r="Q52" t="s">
        <v>30</v>
      </c>
      <c r="R52" t="s">
        <v>1150</v>
      </c>
    </row>
    <row r="53" spans="1:18" x14ac:dyDescent="0.3">
      <c r="A53" t="s">
        <v>221</v>
      </c>
      <c r="B53" s="6">
        <v>45630</v>
      </c>
      <c r="C53" t="s">
        <v>160</v>
      </c>
      <c r="D53" t="s">
        <v>1118</v>
      </c>
      <c r="E53" t="s">
        <v>99</v>
      </c>
      <c r="F53" t="s">
        <v>881</v>
      </c>
      <c r="G53" t="s">
        <v>21</v>
      </c>
      <c r="H53" t="s">
        <v>1073</v>
      </c>
      <c r="I53" t="s">
        <v>882</v>
      </c>
      <c r="J53" t="s">
        <v>22</v>
      </c>
      <c r="K53">
        <v>2352.63</v>
      </c>
      <c r="L53">
        <v>6</v>
      </c>
      <c r="M53">
        <v>0.15</v>
      </c>
      <c r="N53">
        <v>14115.78</v>
      </c>
      <c r="O53">
        <v>11998.413</v>
      </c>
      <c r="P53" t="s">
        <v>223</v>
      </c>
      <c r="Q53" t="s">
        <v>17</v>
      </c>
      <c r="R53" t="s">
        <v>1150</v>
      </c>
    </row>
    <row r="54" spans="1:18" x14ac:dyDescent="0.3">
      <c r="A54" t="s">
        <v>224</v>
      </c>
      <c r="B54" s="6">
        <v>45549</v>
      </c>
      <c r="C54" t="s">
        <v>129</v>
      </c>
      <c r="D54" t="s">
        <v>1113</v>
      </c>
      <c r="E54" t="s">
        <v>226</v>
      </c>
      <c r="F54" t="s">
        <v>904</v>
      </c>
      <c r="G54" t="s">
        <v>21</v>
      </c>
      <c r="H54" t="s">
        <v>1073</v>
      </c>
      <c r="I54" t="s">
        <v>903</v>
      </c>
      <c r="J54" t="s">
        <v>22</v>
      </c>
      <c r="K54">
        <v>2359.5</v>
      </c>
      <c r="L54">
        <v>4</v>
      </c>
      <c r="M54">
        <v>0</v>
      </c>
      <c r="N54">
        <v>9438</v>
      </c>
      <c r="O54">
        <v>9438</v>
      </c>
      <c r="P54" t="s">
        <v>227</v>
      </c>
      <c r="Q54" t="s">
        <v>24</v>
      </c>
      <c r="R54" t="s">
        <v>1150</v>
      </c>
    </row>
    <row r="55" spans="1:18" x14ac:dyDescent="0.3">
      <c r="A55" t="s">
        <v>228</v>
      </c>
      <c r="B55" s="6">
        <v>45481</v>
      </c>
      <c r="C55" t="s">
        <v>229</v>
      </c>
      <c r="D55" t="s">
        <v>1126</v>
      </c>
      <c r="E55" t="s">
        <v>111</v>
      </c>
      <c r="F55" t="s">
        <v>929</v>
      </c>
      <c r="G55" t="s">
        <v>14</v>
      </c>
      <c r="H55" t="s">
        <v>1080</v>
      </c>
      <c r="I55" t="s">
        <v>924</v>
      </c>
      <c r="J55" t="s">
        <v>22</v>
      </c>
      <c r="K55">
        <v>4390.62</v>
      </c>
      <c r="L55">
        <v>4</v>
      </c>
      <c r="M55">
        <v>0</v>
      </c>
      <c r="N55">
        <v>17562.48</v>
      </c>
      <c r="O55">
        <v>17562.48</v>
      </c>
      <c r="P55" t="s">
        <v>230</v>
      </c>
      <c r="Q55" t="s">
        <v>42</v>
      </c>
      <c r="R55" t="s">
        <v>1150</v>
      </c>
    </row>
    <row r="56" spans="1:18" x14ac:dyDescent="0.3">
      <c r="A56" t="s">
        <v>231</v>
      </c>
      <c r="B56" s="6">
        <v>45829</v>
      </c>
      <c r="C56" t="s">
        <v>115</v>
      </c>
      <c r="D56" t="s">
        <v>996</v>
      </c>
      <c r="E56" t="s">
        <v>77</v>
      </c>
      <c r="F56" t="s">
        <v>884</v>
      </c>
      <c r="G56" t="s">
        <v>82</v>
      </c>
      <c r="H56" t="s">
        <v>1076</v>
      </c>
      <c r="I56" t="s">
        <v>882</v>
      </c>
      <c r="J56" t="s">
        <v>15</v>
      </c>
      <c r="K56">
        <v>3550.89</v>
      </c>
      <c r="L56">
        <v>10</v>
      </c>
      <c r="M56">
        <v>0</v>
      </c>
      <c r="N56">
        <v>35508.9</v>
      </c>
      <c r="O56">
        <v>35508.9</v>
      </c>
      <c r="P56" t="s">
        <v>232</v>
      </c>
      <c r="Q56" t="s">
        <v>17</v>
      </c>
      <c r="R56" t="s">
        <v>1150</v>
      </c>
    </row>
    <row r="57" spans="1:18" x14ac:dyDescent="0.3">
      <c r="A57" t="s">
        <v>233</v>
      </c>
      <c r="B57" s="6">
        <v>45524</v>
      </c>
      <c r="C57" t="s">
        <v>234</v>
      </c>
      <c r="D57" t="s">
        <v>1127</v>
      </c>
      <c r="E57" t="s">
        <v>121</v>
      </c>
      <c r="F57" t="s">
        <v>906</v>
      </c>
      <c r="G57" t="s">
        <v>82</v>
      </c>
      <c r="H57" t="s">
        <v>1076</v>
      </c>
      <c r="I57" t="s">
        <v>903</v>
      </c>
      <c r="J57" t="s">
        <v>73</v>
      </c>
      <c r="K57">
        <v>3414.07</v>
      </c>
      <c r="L57">
        <v>6</v>
      </c>
      <c r="M57">
        <v>0</v>
      </c>
      <c r="N57">
        <v>20484.420000000002</v>
      </c>
      <c r="O57">
        <v>20484.420000000002</v>
      </c>
      <c r="P57" t="s">
        <v>235</v>
      </c>
      <c r="Q57" t="s">
        <v>42</v>
      </c>
      <c r="R57" t="s">
        <v>1150</v>
      </c>
    </row>
    <row r="58" spans="1:18" x14ac:dyDescent="0.3">
      <c r="A58" t="s">
        <v>236</v>
      </c>
      <c r="B58" s="6">
        <v>45421</v>
      </c>
      <c r="C58" t="s">
        <v>120</v>
      </c>
      <c r="D58" t="s">
        <v>993</v>
      </c>
      <c r="E58" t="s">
        <v>106</v>
      </c>
      <c r="F58" t="s">
        <v>894</v>
      </c>
      <c r="G58" t="s">
        <v>14</v>
      </c>
      <c r="H58" t="s">
        <v>1080</v>
      </c>
      <c r="I58" t="s">
        <v>889</v>
      </c>
      <c r="J58" t="s">
        <v>22</v>
      </c>
      <c r="K58">
        <v>1559.65</v>
      </c>
      <c r="L58">
        <v>5</v>
      </c>
      <c r="M58">
        <v>0</v>
      </c>
      <c r="N58">
        <v>7798.25</v>
      </c>
      <c r="O58">
        <v>7798.25</v>
      </c>
      <c r="P58" t="s">
        <v>238</v>
      </c>
      <c r="Q58" t="s">
        <v>60</v>
      </c>
      <c r="R58" t="s">
        <v>1150</v>
      </c>
    </row>
    <row r="59" spans="1:18" x14ac:dyDescent="0.3">
      <c r="A59" t="s">
        <v>239</v>
      </c>
      <c r="B59" s="6">
        <v>45794</v>
      </c>
      <c r="C59" t="s">
        <v>102</v>
      </c>
      <c r="D59" t="s">
        <v>1111</v>
      </c>
      <c r="E59" t="s">
        <v>240</v>
      </c>
      <c r="F59" t="s">
        <v>920</v>
      </c>
      <c r="G59" t="s">
        <v>21</v>
      </c>
      <c r="H59" t="s">
        <v>1073</v>
      </c>
      <c r="I59" t="s">
        <v>917</v>
      </c>
      <c r="J59" t="s">
        <v>22</v>
      </c>
      <c r="K59">
        <v>2036.67</v>
      </c>
      <c r="L59">
        <v>2</v>
      </c>
      <c r="M59">
        <v>0.2</v>
      </c>
      <c r="N59">
        <v>4073.34</v>
      </c>
      <c r="O59">
        <v>3258.6720000000005</v>
      </c>
      <c r="P59" t="s">
        <v>215</v>
      </c>
      <c r="Q59" t="s">
        <v>30</v>
      </c>
      <c r="R59" t="s">
        <v>1150</v>
      </c>
    </row>
    <row r="60" spans="1:18" x14ac:dyDescent="0.3">
      <c r="A60" t="s">
        <v>241</v>
      </c>
      <c r="B60" s="6">
        <v>45782</v>
      </c>
      <c r="C60" t="s">
        <v>98</v>
      </c>
      <c r="D60" t="s">
        <v>1110</v>
      </c>
      <c r="E60" t="s">
        <v>40</v>
      </c>
      <c r="F60" t="s">
        <v>928</v>
      </c>
      <c r="G60" t="s">
        <v>14</v>
      </c>
      <c r="H60" t="s">
        <v>1080</v>
      </c>
      <c r="I60" t="s">
        <v>924</v>
      </c>
      <c r="J60" t="s">
        <v>73</v>
      </c>
      <c r="K60">
        <v>136.91</v>
      </c>
      <c r="L60">
        <v>8</v>
      </c>
      <c r="M60">
        <v>0</v>
      </c>
      <c r="N60">
        <v>1095.28</v>
      </c>
      <c r="O60">
        <v>1095.28</v>
      </c>
      <c r="P60" t="s">
        <v>242</v>
      </c>
      <c r="Q60" t="s">
        <v>17</v>
      </c>
      <c r="R60" t="s">
        <v>1150</v>
      </c>
    </row>
    <row r="61" spans="1:18" x14ac:dyDescent="0.3">
      <c r="A61" t="s">
        <v>243</v>
      </c>
      <c r="B61" s="6">
        <v>45781</v>
      </c>
      <c r="C61" t="s">
        <v>245</v>
      </c>
      <c r="D61" t="s">
        <v>1128</v>
      </c>
      <c r="E61" t="s">
        <v>13</v>
      </c>
      <c r="F61" t="s">
        <v>913</v>
      </c>
      <c r="G61" t="s">
        <v>82</v>
      </c>
      <c r="H61" t="s">
        <v>1076</v>
      </c>
      <c r="I61" t="s">
        <v>910</v>
      </c>
      <c r="J61" t="s">
        <v>35</v>
      </c>
      <c r="K61">
        <v>3493.54</v>
      </c>
      <c r="L61">
        <v>2</v>
      </c>
      <c r="M61">
        <v>0.2</v>
      </c>
      <c r="N61">
        <v>6987.08</v>
      </c>
      <c r="O61">
        <v>5589.6640000000007</v>
      </c>
      <c r="P61" t="s">
        <v>246</v>
      </c>
      <c r="Q61" t="s">
        <v>30</v>
      </c>
      <c r="R61" t="s">
        <v>1150</v>
      </c>
    </row>
    <row r="62" spans="1:18" x14ac:dyDescent="0.3">
      <c r="A62" t="s">
        <v>247</v>
      </c>
      <c r="B62" s="6">
        <v>45367</v>
      </c>
      <c r="C62" t="s">
        <v>58</v>
      </c>
      <c r="D62" t="s">
        <v>1014</v>
      </c>
      <c r="E62" t="s">
        <v>249</v>
      </c>
      <c r="F62" t="s">
        <v>893</v>
      </c>
      <c r="G62" t="s">
        <v>21</v>
      </c>
      <c r="H62" t="s">
        <v>1073</v>
      </c>
      <c r="I62" t="s">
        <v>889</v>
      </c>
      <c r="J62" t="s">
        <v>15</v>
      </c>
      <c r="K62">
        <v>1309.58</v>
      </c>
      <c r="L62">
        <v>10</v>
      </c>
      <c r="M62">
        <v>0.15</v>
      </c>
      <c r="N62">
        <v>13095.8</v>
      </c>
      <c r="O62">
        <v>11131.429999999998</v>
      </c>
      <c r="P62" t="s">
        <v>250</v>
      </c>
      <c r="Q62" t="s">
        <v>60</v>
      </c>
      <c r="R62" t="s">
        <v>1150</v>
      </c>
    </row>
    <row r="63" spans="1:18" x14ac:dyDescent="0.3">
      <c r="A63" t="s">
        <v>251</v>
      </c>
      <c r="B63" s="6">
        <v>45603</v>
      </c>
      <c r="C63" t="s">
        <v>253</v>
      </c>
      <c r="D63" t="s">
        <v>1044</v>
      </c>
      <c r="E63" t="s">
        <v>254</v>
      </c>
      <c r="F63" t="s">
        <v>918</v>
      </c>
      <c r="G63" t="s">
        <v>21</v>
      </c>
      <c r="H63" t="s">
        <v>1073</v>
      </c>
      <c r="I63" t="s">
        <v>917</v>
      </c>
      <c r="J63" t="s">
        <v>35</v>
      </c>
      <c r="K63">
        <v>605.26</v>
      </c>
      <c r="L63">
        <v>2</v>
      </c>
      <c r="M63">
        <v>0</v>
      </c>
      <c r="N63">
        <v>1210.52</v>
      </c>
      <c r="O63">
        <v>1210.52</v>
      </c>
      <c r="P63" t="s">
        <v>255</v>
      </c>
      <c r="Q63" t="s">
        <v>42</v>
      </c>
      <c r="R63" t="s">
        <v>1150</v>
      </c>
    </row>
    <row r="64" spans="1:18" x14ac:dyDescent="0.3">
      <c r="A64" t="s">
        <v>256</v>
      </c>
      <c r="B64" s="6">
        <v>45523</v>
      </c>
      <c r="C64" t="s">
        <v>245</v>
      </c>
      <c r="D64" t="s">
        <v>1128</v>
      </c>
      <c r="E64" t="s">
        <v>116</v>
      </c>
      <c r="F64" t="s">
        <v>892</v>
      </c>
      <c r="G64" t="s">
        <v>21</v>
      </c>
      <c r="H64" t="s">
        <v>1073</v>
      </c>
      <c r="I64" t="s">
        <v>889</v>
      </c>
      <c r="J64" t="s">
        <v>35</v>
      </c>
      <c r="K64">
        <v>1156.02</v>
      </c>
      <c r="L64">
        <v>9</v>
      </c>
      <c r="M64">
        <v>0.05</v>
      </c>
      <c r="N64">
        <v>10404.18</v>
      </c>
      <c r="O64">
        <v>9883.9709999999995</v>
      </c>
      <c r="P64" t="s">
        <v>107</v>
      </c>
      <c r="Q64" t="s">
        <v>17</v>
      </c>
      <c r="R64" t="s">
        <v>1150</v>
      </c>
    </row>
    <row r="65" spans="1:18" x14ac:dyDescent="0.3">
      <c r="A65" t="s">
        <v>258</v>
      </c>
      <c r="B65" s="6">
        <v>45731</v>
      </c>
      <c r="C65" t="s">
        <v>115</v>
      </c>
      <c r="D65" t="s">
        <v>996</v>
      </c>
      <c r="E65" t="s">
        <v>260</v>
      </c>
      <c r="F65" t="s">
        <v>895</v>
      </c>
      <c r="G65" t="s">
        <v>45</v>
      </c>
      <c r="H65" t="s">
        <v>1096</v>
      </c>
      <c r="I65" t="s">
        <v>896</v>
      </c>
      <c r="J65" t="s">
        <v>73</v>
      </c>
      <c r="K65">
        <v>3981.64</v>
      </c>
      <c r="L65">
        <v>5</v>
      </c>
      <c r="M65">
        <v>0.1</v>
      </c>
      <c r="N65">
        <v>19908.2</v>
      </c>
      <c r="O65">
        <v>17917.38</v>
      </c>
      <c r="P65" t="s">
        <v>261</v>
      </c>
      <c r="Q65" t="s">
        <v>42</v>
      </c>
      <c r="R65" t="s">
        <v>1150</v>
      </c>
    </row>
    <row r="66" spans="1:18" x14ac:dyDescent="0.3">
      <c r="A66" t="s">
        <v>262</v>
      </c>
      <c r="B66" s="6">
        <v>45393</v>
      </c>
      <c r="C66" t="s">
        <v>32</v>
      </c>
      <c r="D66" t="s">
        <v>1106</v>
      </c>
      <c r="E66" t="s">
        <v>121</v>
      </c>
      <c r="F66" t="s">
        <v>906</v>
      </c>
      <c r="G66" t="s">
        <v>14</v>
      </c>
      <c r="H66" t="s">
        <v>1080</v>
      </c>
      <c r="I66" t="s">
        <v>903</v>
      </c>
      <c r="J66" t="s">
        <v>22</v>
      </c>
      <c r="K66">
        <v>3414.07</v>
      </c>
      <c r="L66">
        <v>4</v>
      </c>
      <c r="M66">
        <v>0.15</v>
      </c>
      <c r="N66">
        <v>13656.28</v>
      </c>
      <c r="O66">
        <v>11607.838</v>
      </c>
      <c r="P66" t="s">
        <v>264</v>
      </c>
      <c r="Q66" t="s">
        <v>24</v>
      </c>
      <c r="R66" t="s">
        <v>1150</v>
      </c>
    </row>
    <row r="67" spans="1:18" x14ac:dyDescent="0.3">
      <c r="A67" t="s">
        <v>265</v>
      </c>
      <c r="B67" s="6">
        <v>45452</v>
      </c>
      <c r="C67" t="s">
        <v>176</v>
      </c>
      <c r="D67" t="s">
        <v>1120</v>
      </c>
      <c r="E67" t="s">
        <v>267</v>
      </c>
      <c r="F67" t="s">
        <v>915</v>
      </c>
      <c r="G67" t="s">
        <v>45</v>
      </c>
      <c r="H67" t="s">
        <v>1096</v>
      </c>
      <c r="I67" t="s">
        <v>910</v>
      </c>
      <c r="J67" t="s">
        <v>73</v>
      </c>
      <c r="K67">
        <v>2877.99</v>
      </c>
      <c r="L67">
        <v>4</v>
      </c>
      <c r="M67">
        <v>0</v>
      </c>
      <c r="N67">
        <v>11511.96</v>
      </c>
      <c r="O67">
        <v>11511.96</v>
      </c>
      <c r="P67" t="s">
        <v>268</v>
      </c>
      <c r="Q67" t="s">
        <v>60</v>
      </c>
      <c r="R67" t="s">
        <v>1150</v>
      </c>
    </row>
    <row r="68" spans="1:18" x14ac:dyDescent="0.3">
      <c r="A68" t="s">
        <v>269</v>
      </c>
      <c r="B68" s="6">
        <v>45294</v>
      </c>
      <c r="C68" t="s">
        <v>176</v>
      </c>
      <c r="D68" t="s">
        <v>1120</v>
      </c>
      <c r="E68" t="s">
        <v>13</v>
      </c>
      <c r="F68" t="s">
        <v>913</v>
      </c>
      <c r="G68" t="s">
        <v>82</v>
      </c>
      <c r="H68" t="s">
        <v>1076</v>
      </c>
      <c r="I68" t="s">
        <v>910</v>
      </c>
      <c r="J68" t="s">
        <v>35</v>
      </c>
      <c r="K68">
        <v>3493.54</v>
      </c>
      <c r="L68">
        <v>7</v>
      </c>
      <c r="M68">
        <v>0.05</v>
      </c>
      <c r="N68">
        <v>24454.78</v>
      </c>
      <c r="O68">
        <v>23232.040999999997</v>
      </c>
      <c r="P68" t="s">
        <v>270</v>
      </c>
      <c r="Q68" t="s">
        <v>17</v>
      </c>
      <c r="R68" t="s">
        <v>1150</v>
      </c>
    </row>
    <row r="69" spans="1:18" x14ac:dyDescent="0.3">
      <c r="A69" t="s">
        <v>271</v>
      </c>
      <c r="B69" s="6">
        <v>45325</v>
      </c>
      <c r="C69" t="s">
        <v>273</v>
      </c>
      <c r="D69" t="s">
        <v>1129</v>
      </c>
      <c r="E69" t="s">
        <v>125</v>
      </c>
      <c r="F69" t="s">
        <v>930</v>
      </c>
      <c r="G69" t="s">
        <v>21</v>
      </c>
      <c r="H69" t="s">
        <v>1073</v>
      </c>
      <c r="I69" t="s">
        <v>931</v>
      </c>
      <c r="J69" t="s">
        <v>35</v>
      </c>
      <c r="K69">
        <v>2458.91</v>
      </c>
      <c r="L69">
        <v>4</v>
      </c>
      <c r="M69">
        <v>0</v>
      </c>
      <c r="N69">
        <v>9835.64</v>
      </c>
      <c r="O69">
        <v>9835.64</v>
      </c>
      <c r="P69" t="s">
        <v>274</v>
      </c>
      <c r="Q69" t="s">
        <v>24</v>
      </c>
      <c r="R69" t="s">
        <v>1150</v>
      </c>
    </row>
    <row r="70" spans="1:18" x14ac:dyDescent="0.3">
      <c r="A70" t="s">
        <v>275</v>
      </c>
      <c r="B70" s="6">
        <v>45531</v>
      </c>
      <c r="C70" t="s">
        <v>160</v>
      </c>
      <c r="D70" t="s">
        <v>1118</v>
      </c>
      <c r="E70" t="s">
        <v>77</v>
      </c>
      <c r="F70" t="s">
        <v>884</v>
      </c>
      <c r="G70" t="s">
        <v>21</v>
      </c>
      <c r="H70" t="s">
        <v>1073</v>
      </c>
      <c r="I70" t="s">
        <v>882</v>
      </c>
      <c r="J70" t="s">
        <v>15</v>
      </c>
      <c r="K70">
        <v>3550.89</v>
      </c>
      <c r="L70">
        <v>5</v>
      </c>
      <c r="M70">
        <v>0.2</v>
      </c>
      <c r="N70">
        <v>17754.45</v>
      </c>
      <c r="O70">
        <v>14203.560000000001</v>
      </c>
      <c r="P70" t="s">
        <v>276</v>
      </c>
      <c r="Q70" t="s">
        <v>30</v>
      </c>
      <c r="R70" t="s">
        <v>1150</v>
      </c>
    </row>
    <row r="71" spans="1:18" x14ac:dyDescent="0.3">
      <c r="A71" t="s">
        <v>277</v>
      </c>
      <c r="B71" s="6">
        <v>45409</v>
      </c>
      <c r="C71" t="s">
        <v>279</v>
      </c>
      <c r="D71" t="s">
        <v>1130</v>
      </c>
      <c r="E71" t="s">
        <v>148</v>
      </c>
      <c r="F71" t="s">
        <v>933</v>
      </c>
      <c r="G71" t="s">
        <v>14</v>
      </c>
      <c r="H71" t="s">
        <v>1080</v>
      </c>
      <c r="I71" t="s">
        <v>931</v>
      </c>
      <c r="J71" t="s">
        <v>22</v>
      </c>
      <c r="K71">
        <v>3576.75</v>
      </c>
      <c r="L71">
        <v>9</v>
      </c>
      <c r="M71">
        <v>0</v>
      </c>
      <c r="N71">
        <v>32190.75</v>
      </c>
      <c r="O71">
        <v>32190.75</v>
      </c>
      <c r="P71" t="s">
        <v>280</v>
      </c>
      <c r="Q71" t="s">
        <v>60</v>
      </c>
      <c r="R71" t="s">
        <v>1150</v>
      </c>
    </row>
    <row r="72" spans="1:18" x14ac:dyDescent="0.3">
      <c r="A72" t="s">
        <v>281</v>
      </c>
      <c r="B72" s="6">
        <v>45365</v>
      </c>
      <c r="C72" t="s">
        <v>53</v>
      </c>
      <c r="D72" t="s">
        <v>1047</v>
      </c>
      <c r="E72" t="s">
        <v>196</v>
      </c>
      <c r="F72" t="s">
        <v>885</v>
      </c>
      <c r="G72" t="s">
        <v>82</v>
      </c>
      <c r="H72" t="s">
        <v>1076</v>
      </c>
      <c r="I72" t="s">
        <v>882</v>
      </c>
      <c r="J72" t="s">
        <v>22</v>
      </c>
      <c r="K72">
        <v>2184.5100000000002</v>
      </c>
      <c r="L72">
        <v>1</v>
      </c>
      <c r="M72">
        <v>0</v>
      </c>
      <c r="N72">
        <v>2184.5100000000002</v>
      </c>
      <c r="O72">
        <v>2184.5100000000002</v>
      </c>
      <c r="P72" t="s">
        <v>282</v>
      </c>
      <c r="Q72" t="s">
        <v>30</v>
      </c>
      <c r="R72" t="s">
        <v>1150</v>
      </c>
    </row>
    <row r="73" spans="1:18" x14ac:dyDescent="0.3">
      <c r="A73" t="s">
        <v>283</v>
      </c>
      <c r="B73" s="6">
        <v>45419</v>
      </c>
      <c r="C73" t="s">
        <v>12</v>
      </c>
      <c r="D73" t="s">
        <v>1103</v>
      </c>
      <c r="E73" t="s">
        <v>81</v>
      </c>
      <c r="F73" t="s">
        <v>886</v>
      </c>
      <c r="G73" t="s">
        <v>82</v>
      </c>
      <c r="H73" t="s">
        <v>1076</v>
      </c>
      <c r="I73" t="s">
        <v>882</v>
      </c>
      <c r="J73" t="s">
        <v>35</v>
      </c>
      <c r="K73">
        <v>1044.7</v>
      </c>
      <c r="L73">
        <v>8</v>
      </c>
      <c r="M73">
        <v>0.15</v>
      </c>
      <c r="N73">
        <v>8357.6</v>
      </c>
      <c r="O73">
        <v>7103.96</v>
      </c>
      <c r="P73" t="s">
        <v>285</v>
      </c>
      <c r="Q73" t="s">
        <v>17</v>
      </c>
      <c r="R73" t="s">
        <v>1150</v>
      </c>
    </row>
    <row r="74" spans="1:18" x14ac:dyDescent="0.3">
      <c r="A74" t="s">
        <v>286</v>
      </c>
      <c r="B74" s="6">
        <v>45804</v>
      </c>
      <c r="C74" t="s">
        <v>89</v>
      </c>
      <c r="D74" t="s">
        <v>1059</v>
      </c>
      <c r="E74" t="s">
        <v>72</v>
      </c>
      <c r="F74" t="s">
        <v>919</v>
      </c>
      <c r="G74" t="s">
        <v>21</v>
      </c>
      <c r="H74" t="s">
        <v>1073</v>
      </c>
      <c r="I74" t="s">
        <v>917</v>
      </c>
      <c r="J74" t="s">
        <v>73</v>
      </c>
      <c r="K74">
        <v>2316.1999999999998</v>
      </c>
      <c r="L74">
        <v>9</v>
      </c>
      <c r="M74">
        <v>0.05</v>
      </c>
      <c r="N74">
        <v>20845.8</v>
      </c>
      <c r="O74">
        <v>19803.509999999998</v>
      </c>
      <c r="P74" t="s">
        <v>288</v>
      </c>
      <c r="Q74" t="s">
        <v>42</v>
      </c>
      <c r="R74" t="s">
        <v>1150</v>
      </c>
    </row>
    <row r="75" spans="1:18" x14ac:dyDescent="0.3">
      <c r="A75" t="s">
        <v>289</v>
      </c>
      <c r="B75" s="6">
        <v>45332</v>
      </c>
      <c r="C75" t="s">
        <v>291</v>
      </c>
      <c r="D75" t="s">
        <v>1131</v>
      </c>
      <c r="E75" t="s">
        <v>254</v>
      </c>
      <c r="F75" t="s">
        <v>918</v>
      </c>
      <c r="G75" t="s">
        <v>34</v>
      </c>
      <c r="H75" t="s">
        <v>1078</v>
      </c>
      <c r="I75" t="s">
        <v>917</v>
      </c>
      <c r="J75" t="s">
        <v>22</v>
      </c>
      <c r="K75">
        <v>605.26</v>
      </c>
      <c r="L75">
        <v>7</v>
      </c>
      <c r="M75">
        <v>0.15</v>
      </c>
      <c r="N75">
        <v>4236.82</v>
      </c>
      <c r="O75">
        <v>3601.2969999999996</v>
      </c>
      <c r="P75" t="s">
        <v>292</v>
      </c>
      <c r="Q75" t="s">
        <v>24</v>
      </c>
      <c r="R75" t="s">
        <v>1150</v>
      </c>
    </row>
    <row r="76" spans="1:18" x14ac:dyDescent="0.3">
      <c r="A76" t="s">
        <v>293</v>
      </c>
      <c r="B76" s="6">
        <v>45385</v>
      </c>
      <c r="C76" t="s">
        <v>137</v>
      </c>
      <c r="D76" t="s">
        <v>1114</v>
      </c>
      <c r="E76" t="s">
        <v>210</v>
      </c>
      <c r="F76" t="s">
        <v>914</v>
      </c>
      <c r="G76" t="s">
        <v>45</v>
      </c>
      <c r="H76" t="s">
        <v>1096</v>
      </c>
      <c r="I76" t="s">
        <v>910</v>
      </c>
      <c r="J76" t="s">
        <v>73</v>
      </c>
      <c r="K76">
        <v>1187.29</v>
      </c>
      <c r="L76">
        <v>4</v>
      </c>
      <c r="M76">
        <v>0.15</v>
      </c>
      <c r="N76">
        <v>4749.16</v>
      </c>
      <c r="O76">
        <v>4036.7859999999996</v>
      </c>
      <c r="P76" t="s">
        <v>295</v>
      </c>
      <c r="Q76" t="s">
        <v>17</v>
      </c>
      <c r="R76" t="s">
        <v>1150</v>
      </c>
    </row>
    <row r="77" spans="1:18" x14ac:dyDescent="0.3">
      <c r="A77" t="s">
        <v>296</v>
      </c>
      <c r="B77" s="6">
        <v>45333</v>
      </c>
      <c r="C77" t="s">
        <v>102</v>
      </c>
      <c r="D77" t="s">
        <v>1111</v>
      </c>
      <c r="E77" t="s">
        <v>81</v>
      </c>
      <c r="F77" t="s">
        <v>886</v>
      </c>
      <c r="G77" t="s">
        <v>34</v>
      </c>
      <c r="H77" t="s">
        <v>1078</v>
      </c>
      <c r="I77" t="s">
        <v>882</v>
      </c>
      <c r="J77" t="s">
        <v>35</v>
      </c>
      <c r="K77">
        <v>1044.7</v>
      </c>
      <c r="L77">
        <v>3</v>
      </c>
      <c r="M77">
        <v>0.05</v>
      </c>
      <c r="N77">
        <v>3134.1000000000004</v>
      </c>
      <c r="O77">
        <v>2977.395</v>
      </c>
      <c r="P77" t="s">
        <v>298</v>
      </c>
      <c r="Q77" t="s">
        <v>17</v>
      </c>
      <c r="R77" t="s">
        <v>1150</v>
      </c>
    </row>
    <row r="78" spans="1:18" x14ac:dyDescent="0.3">
      <c r="A78" t="s">
        <v>299</v>
      </c>
      <c r="B78" s="6">
        <v>45477</v>
      </c>
      <c r="C78" t="s">
        <v>120</v>
      </c>
      <c r="D78" t="s">
        <v>993</v>
      </c>
      <c r="E78" t="s">
        <v>300</v>
      </c>
      <c r="F78" t="s">
        <v>901</v>
      </c>
      <c r="G78" t="s">
        <v>34</v>
      </c>
      <c r="H78" t="s">
        <v>1078</v>
      </c>
      <c r="I78" t="s">
        <v>896</v>
      </c>
      <c r="J78" t="s">
        <v>73</v>
      </c>
      <c r="K78">
        <v>4174.32</v>
      </c>
      <c r="L78">
        <v>10</v>
      </c>
      <c r="M78">
        <v>0.05</v>
      </c>
      <c r="N78">
        <v>41743.199999999997</v>
      </c>
      <c r="O78">
        <v>39656.039999999994</v>
      </c>
      <c r="P78" t="s">
        <v>301</v>
      </c>
      <c r="Q78" t="s">
        <v>30</v>
      </c>
      <c r="R78" t="s">
        <v>1150</v>
      </c>
    </row>
    <row r="79" spans="1:18" x14ac:dyDescent="0.3">
      <c r="A79" t="s">
        <v>302</v>
      </c>
      <c r="B79" s="6">
        <v>45648</v>
      </c>
      <c r="C79" t="s">
        <v>152</v>
      </c>
      <c r="D79" t="s">
        <v>944</v>
      </c>
      <c r="E79" t="s">
        <v>304</v>
      </c>
      <c r="F79" t="s">
        <v>890</v>
      </c>
      <c r="G79" t="s">
        <v>45</v>
      </c>
      <c r="H79" t="s">
        <v>1096</v>
      </c>
      <c r="I79" t="s">
        <v>889</v>
      </c>
      <c r="J79" t="s">
        <v>73</v>
      </c>
      <c r="K79">
        <v>1498.91</v>
      </c>
      <c r="L79">
        <v>7</v>
      </c>
      <c r="M79">
        <v>0</v>
      </c>
      <c r="N79">
        <v>10492.37</v>
      </c>
      <c r="O79">
        <v>10492.37</v>
      </c>
      <c r="P79" t="s">
        <v>305</v>
      </c>
      <c r="Q79" t="s">
        <v>60</v>
      </c>
      <c r="R79" t="s">
        <v>1150</v>
      </c>
    </row>
    <row r="80" spans="1:18" x14ac:dyDescent="0.3">
      <c r="A80" t="s">
        <v>306</v>
      </c>
      <c r="B80" s="6">
        <v>45629</v>
      </c>
      <c r="C80" t="s">
        <v>39</v>
      </c>
      <c r="D80" t="s">
        <v>990</v>
      </c>
      <c r="E80" t="s">
        <v>249</v>
      </c>
      <c r="F80" t="s">
        <v>893</v>
      </c>
      <c r="G80" t="s">
        <v>14</v>
      </c>
      <c r="H80" t="s">
        <v>1080</v>
      </c>
      <c r="I80" t="s">
        <v>889</v>
      </c>
      <c r="J80" t="s">
        <v>22</v>
      </c>
      <c r="K80">
        <v>1309.58</v>
      </c>
      <c r="L80">
        <v>7</v>
      </c>
      <c r="M80">
        <v>0.15</v>
      </c>
      <c r="N80">
        <v>9167.06</v>
      </c>
      <c r="O80">
        <v>7792.0009999999993</v>
      </c>
      <c r="P80" t="s">
        <v>103</v>
      </c>
      <c r="Q80" t="s">
        <v>30</v>
      </c>
      <c r="R80" t="s">
        <v>1150</v>
      </c>
    </row>
    <row r="81" spans="1:18" x14ac:dyDescent="0.3">
      <c r="A81" t="s">
        <v>307</v>
      </c>
      <c r="B81" s="6">
        <v>45329</v>
      </c>
      <c r="C81" t="s">
        <v>141</v>
      </c>
      <c r="D81" t="s">
        <v>1115</v>
      </c>
      <c r="E81" t="s">
        <v>20</v>
      </c>
      <c r="F81" t="s">
        <v>899</v>
      </c>
      <c r="G81" t="s">
        <v>14</v>
      </c>
      <c r="H81" t="s">
        <v>1080</v>
      </c>
      <c r="I81" t="s">
        <v>896</v>
      </c>
      <c r="J81" t="s">
        <v>22</v>
      </c>
      <c r="K81">
        <v>3772.12</v>
      </c>
      <c r="L81">
        <v>8</v>
      </c>
      <c r="M81">
        <v>0</v>
      </c>
      <c r="N81">
        <v>30176.959999999999</v>
      </c>
      <c r="O81">
        <v>30176.959999999999</v>
      </c>
      <c r="P81" t="s">
        <v>308</v>
      </c>
      <c r="Q81" t="s">
        <v>17</v>
      </c>
      <c r="R81" t="s">
        <v>1150</v>
      </c>
    </row>
    <row r="82" spans="1:18" x14ac:dyDescent="0.3">
      <c r="A82" t="s">
        <v>309</v>
      </c>
      <c r="B82" s="6">
        <v>45410</v>
      </c>
      <c r="C82" t="s">
        <v>311</v>
      </c>
      <c r="D82" t="s">
        <v>1132</v>
      </c>
      <c r="E82" t="s">
        <v>106</v>
      </c>
      <c r="F82" t="s">
        <v>894</v>
      </c>
      <c r="G82" t="s">
        <v>45</v>
      </c>
      <c r="H82" t="s">
        <v>1096</v>
      </c>
      <c r="I82" t="s">
        <v>889</v>
      </c>
      <c r="J82" t="s">
        <v>73</v>
      </c>
      <c r="K82">
        <v>1559.65</v>
      </c>
      <c r="L82">
        <v>7</v>
      </c>
      <c r="M82">
        <v>0.2</v>
      </c>
      <c r="N82">
        <v>10917.550000000001</v>
      </c>
      <c r="O82">
        <v>8734.0400000000009</v>
      </c>
      <c r="P82" t="s">
        <v>284</v>
      </c>
      <c r="Q82" t="s">
        <v>42</v>
      </c>
      <c r="R82" t="s">
        <v>1150</v>
      </c>
    </row>
    <row r="83" spans="1:18" x14ac:dyDescent="0.3">
      <c r="A83" t="s">
        <v>312</v>
      </c>
      <c r="B83" s="6">
        <v>45765</v>
      </c>
      <c r="C83" t="s">
        <v>144</v>
      </c>
      <c r="D83" t="s">
        <v>1116</v>
      </c>
      <c r="E83" t="s">
        <v>40</v>
      </c>
      <c r="F83" t="s">
        <v>928</v>
      </c>
      <c r="G83" t="s">
        <v>45</v>
      </c>
      <c r="H83" t="s">
        <v>1096</v>
      </c>
      <c r="I83" t="s">
        <v>924</v>
      </c>
      <c r="J83" t="s">
        <v>22</v>
      </c>
      <c r="K83">
        <v>136.91</v>
      </c>
      <c r="L83">
        <v>7</v>
      </c>
      <c r="M83">
        <v>0</v>
      </c>
      <c r="N83">
        <v>958.37</v>
      </c>
      <c r="O83">
        <v>958.37</v>
      </c>
      <c r="P83" t="s">
        <v>314</v>
      </c>
      <c r="Q83" t="s">
        <v>42</v>
      </c>
      <c r="R83" t="s">
        <v>1150</v>
      </c>
    </row>
    <row r="84" spans="1:18" x14ac:dyDescent="0.3">
      <c r="A84" t="s">
        <v>315</v>
      </c>
      <c r="B84" s="6">
        <v>45802</v>
      </c>
      <c r="C84" t="s">
        <v>199</v>
      </c>
      <c r="D84" t="s">
        <v>1123</v>
      </c>
      <c r="E84" t="s">
        <v>316</v>
      </c>
      <c r="F84" t="s">
        <v>907</v>
      </c>
      <c r="G84" t="s">
        <v>82</v>
      </c>
      <c r="H84" t="s">
        <v>1076</v>
      </c>
      <c r="I84" t="s">
        <v>903</v>
      </c>
      <c r="J84" t="s">
        <v>15</v>
      </c>
      <c r="K84">
        <v>2405.98</v>
      </c>
      <c r="L84">
        <v>8</v>
      </c>
      <c r="M84">
        <v>0.2</v>
      </c>
      <c r="N84">
        <v>19247.84</v>
      </c>
      <c r="O84">
        <v>15398.272000000001</v>
      </c>
      <c r="P84" t="s">
        <v>317</v>
      </c>
      <c r="Q84" t="s">
        <v>17</v>
      </c>
      <c r="R84" t="s">
        <v>1150</v>
      </c>
    </row>
    <row r="85" spans="1:18" x14ac:dyDescent="0.3">
      <c r="A85" t="s">
        <v>318</v>
      </c>
      <c r="B85" s="6">
        <v>45426</v>
      </c>
      <c r="C85" t="s">
        <v>32</v>
      </c>
      <c r="D85" t="s">
        <v>1106</v>
      </c>
      <c r="E85" t="s">
        <v>40</v>
      </c>
      <c r="F85" t="s">
        <v>928</v>
      </c>
      <c r="G85" t="s">
        <v>45</v>
      </c>
      <c r="H85" t="s">
        <v>1096</v>
      </c>
      <c r="I85" t="s">
        <v>924</v>
      </c>
      <c r="J85" t="s">
        <v>73</v>
      </c>
      <c r="K85">
        <v>136.91</v>
      </c>
      <c r="L85">
        <v>5</v>
      </c>
      <c r="M85">
        <v>0.05</v>
      </c>
      <c r="N85">
        <v>684.55</v>
      </c>
      <c r="O85">
        <v>650.32249999999988</v>
      </c>
      <c r="P85" t="s">
        <v>320</v>
      </c>
      <c r="Q85" t="s">
        <v>24</v>
      </c>
      <c r="R85" t="s">
        <v>1150</v>
      </c>
    </row>
    <row r="86" spans="1:18" x14ac:dyDescent="0.3">
      <c r="A86" t="s">
        <v>321</v>
      </c>
      <c r="B86" s="6">
        <v>45537</v>
      </c>
      <c r="C86" t="s">
        <v>80</v>
      </c>
      <c r="D86" t="s">
        <v>1109</v>
      </c>
      <c r="E86" t="s">
        <v>50</v>
      </c>
      <c r="F86" t="s">
        <v>936</v>
      </c>
      <c r="G86" t="s">
        <v>21</v>
      </c>
      <c r="H86" t="s">
        <v>1073</v>
      </c>
      <c r="I86" t="s">
        <v>931</v>
      </c>
      <c r="J86" t="s">
        <v>73</v>
      </c>
      <c r="K86">
        <v>2041.83</v>
      </c>
      <c r="L86">
        <v>3</v>
      </c>
      <c r="M86">
        <v>0</v>
      </c>
      <c r="N86">
        <v>6125.49</v>
      </c>
      <c r="O86">
        <v>6125.49</v>
      </c>
      <c r="P86" t="s">
        <v>323</v>
      </c>
      <c r="Q86" t="s">
        <v>42</v>
      </c>
      <c r="R86" t="s">
        <v>1150</v>
      </c>
    </row>
    <row r="87" spans="1:18" x14ac:dyDescent="0.3">
      <c r="A87" t="s">
        <v>324</v>
      </c>
      <c r="B87" s="6">
        <v>45709</v>
      </c>
      <c r="C87" t="s">
        <v>98</v>
      </c>
      <c r="D87" t="s">
        <v>1110</v>
      </c>
      <c r="E87" t="s">
        <v>111</v>
      </c>
      <c r="F87" t="s">
        <v>929</v>
      </c>
      <c r="G87" t="s">
        <v>45</v>
      </c>
      <c r="H87" t="s">
        <v>1096</v>
      </c>
      <c r="I87" t="s">
        <v>924</v>
      </c>
      <c r="J87" t="s">
        <v>35</v>
      </c>
      <c r="K87">
        <v>4390.62</v>
      </c>
      <c r="L87">
        <v>2</v>
      </c>
      <c r="M87">
        <v>0</v>
      </c>
      <c r="N87">
        <v>8781.24</v>
      </c>
      <c r="O87">
        <v>8781.24</v>
      </c>
      <c r="P87" t="s">
        <v>325</v>
      </c>
      <c r="Q87" t="s">
        <v>24</v>
      </c>
      <c r="R87" t="s">
        <v>1150</v>
      </c>
    </row>
    <row r="88" spans="1:18" x14ac:dyDescent="0.3">
      <c r="A88" t="s">
        <v>326</v>
      </c>
      <c r="B88" s="6">
        <v>45449</v>
      </c>
      <c r="C88" t="s">
        <v>98</v>
      </c>
      <c r="D88" t="s">
        <v>1110</v>
      </c>
      <c r="E88" t="s">
        <v>206</v>
      </c>
      <c r="F88" t="s">
        <v>887</v>
      </c>
      <c r="G88" t="s">
        <v>14</v>
      </c>
      <c r="H88" t="s">
        <v>1080</v>
      </c>
      <c r="I88" t="s">
        <v>882</v>
      </c>
      <c r="J88" t="s">
        <v>22</v>
      </c>
      <c r="K88">
        <v>2779.58</v>
      </c>
      <c r="L88">
        <v>8</v>
      </c>
      <c r="M88">
        <v>0.15</v>
      </c>
      <c r="N88">
        <v>22236.639999999999</v>
      </c>
      <c r="O88">
        <v>18901.144</v>
      </c>
      <c r="P88" t="s">
        <v>327</v>
      </c>
      <c r="Q88" t="s">
        <v>30</v>
      </c>
      <c r="R88" t="s">
        <v>1150</v>
      </c>
    </row>
    <row r="89" spans="1:18" x14ac:dyDescent="0.3">
      <c r="A89" t="s">
        <v>328</v>
      </c>
      <c r="B89" s="6">
        <v>45786</v>
      </c>
      <c r="C89" t="s">
        <v>311</v>
      </c>
      <c r="D89" t="s">
        <v>1132</v>
      </c>
      <c r="E89" t="s">
        <v>240</v>
      </c>
      <c r="F89" t="s">
        <v>920</v>
      </c>
      <c r="G89" t="s">
        <v>14</v>
      </c>
      <c r="H89" t="s">
        <v>1080</v>
      </c>
      <c r="I89" t="s">
        <v>917</v>
      </c>
      <c r="J89" t="s">
        <v>15</v>
      </c>
      <c r="K89">
        <v>2036.67</v>
      </c>
      <c r="L89">
        <v>8</v>
      </c>
      <c r="M89">
        <v>0</v>
      </c>
      <c r="N89">
        <v>16293.36</v>
      </c>
      <c r="O89">
        <v>16293.36</v>
      </c>
      <c r="P89" t="s">
        <v>213</v>
      </c>
      <c r="Q89" t="s">
        <v>30</v>
      </c>
      <c r="R89" t="s">
        <v>1150</v>
      </c>
    </row>
    <row r="90" spans="1:18" x14ac:dyDescent="0.3">
      <c r="A90" t="s">
        <v>329</v>
      </c>
      <c r="B90" s="6">
        <v>45487</v>
      </c>
      <c r="C90" t="s">
        <v>331</v>
      </c>
      <c r="D90" t="s">
        <v>1006</v>
      </c>
      <c r="E90" t="s">
        <v>20</v>
      </c>
      <c r="F90" t="s">
        <v>899</v>
      </c>
      <c r="G90" t="s">
        <v>34</v>
      </c>
      <c r="H90" t="s">
        <v>1078</v>
      </c>
      <c r="I90" t="s">
        <v>896</v>
      </c>
      <c r="J90" t="s">
        <v>73</v>
      </c>
      <c r="K90">
        <v>3772.12</v>
      </c>
      <c r="L90">
        <v>10</v>
      </c>
      <c r="M90">
        <v>0.1</v>
      </c>
      <c r="N90">
        <v>37721.199999999997</v>
      </c>
      <c r="O90">
        <v>33949.08</v>
      </c>
      <c r="P90" t="s">
        <v>332</v>
      </c>
      <c r="Q90" t="s">
        <v>17</v>
      </c>
      <c r="R90" t="s">
        <v>1150</v>
      </c>
    </row>
    <row r="91" spans="1:18" x14ac:dyDescent="0.3">
      <c r="A91" t="s">
        <v>333</v>
      </c>
      <c r="B91" s="6">
        <v>45716</v>
      </c>
      <c r="C91" t="s">
        <v>229</v>
      </c>
      <c r="D91" t="s">
        <v>1126</v>
      </c>
      <c r="E91" t="s">
        <v>161</v>
      </c>
      <c r="F91" t="s">
        <v>905</v>
      </c>
      <c r="G91" t="s">
        <v>82</v>
      </c>
      <c r="H91" t="s">
        <v>1076</v>
      </c>
      <c r="I91" t="s">
        <v>903</v>
      </c>
      <c r="J91" t="s">
        <v>22</v>
      </c>
      <c r="K91">
        <v>1513.99</v>
      </c>
      <c r="L91">
        <v>6</v>
      </c>
      <c r="M91">
        <v>0.2</v>
      </c>
      <c r="N91">
        <v>9083.94</v>
      </c>
      <c r="O91">
        <v>7267.152000000001</v>
      </c>
      <c r="P91" t="s">
        <v>112</v>
      </c>
      <c r="Q91" t="s">
        <v>24</v>
      </c>
      <c r="R91" t="s">
        <v>1150</v>
      </c>
    </row>
    <row r="92" spans="1:18" x14ac:dyDescent="0.3">
      <c r="A92" t="s">
        <v>334</v>
      </c>
      <c r="B92" s="6">
        <v>45581</v>
      </c>
      <c r="C92" t="s">
        <v>273</v>
      </c>
      <c r="D92" t="s">
        <v>1129</v>
      </c>
      <c r="E92" t="s">
        <v>94</v>
      </c>
      <c r="F92" t="s">
        <v>935</v>
      </c>
      <c r="G92" t="s">
        <v>82</v>
      </c>
      <c r="H92" t="s">
        <v>1076</v>
      </c>
      <c r="I92" t="s">
        <v>931</v>
      </c>
      <c r="J92" t="s">
        <v>35</v>
      </c>
      <c r="K92">
        <v>3610.44</v>
      </c>
      <c r="L92">
        <v>5</v>
      </c>
      <c r="M92">
        <v>0.2</v>
      </c>
      <c r="N92">
        <v>18052.2</v>
      </c>
      <c r="O92">
        <v>14441.760000000002</v>
      </c>
      <c r="P92" t="s">
        <v>335</v>
      </c>
      <c r="Q92" t="s">
        <v>60</v>
      </c>
      <c r="R92" t="s">
        <v>1150</v>
      </c>
    </row>
    <row r="93" spans="1:18" x14ac:dyDescent="0.3">
      <c r="A93" t="s">
        <v>336</v>
      </c>
      <c r="B93" s="6">
        <v>45749</v>
      </c>
      <c r="C93" t="s">
        <v>229</v>
      </c>
      <c r="D93" t="s">
        <v>1126</v>
      </c>
      <c r="E93" t="s">
        <v>40</v>
      </c>
      <c r="F93" t="s">
        <v>928</v>
      </c>
      <c r="G93" t="s">
        <v>82</v>
      </c>
      <c r="H93" t="s">
        <v>1076</v>
      </c>
      <c r="I93" t="s">
        <v>924</v>
      </c>
      <c r="J93" t="s">
        <v>22</v>
      </c>
      <c r="K93">
        <v>136.91</v>
      </c>
      <c r="L93">
        <v>9</v>
      </c>
      <c r="M93">
        <v>0.05</v>
      </c>
      <c r="N93">
        <v>1232.19</v>
      </c>
      <c r="O93">
        <v>1170.5805</v>
      </c>
      <c r="P93" t="s">
        <v>338</v>
      </c>
      <c r="Q93" t="s">
        <v>42</v>
      </c>
      <c r="R93" t="s">
        <v>1150</v>
      </c>
    </row>
    <row r="94" spans="1:18" x14ac:dyDescent="0.3">
      <c r="A94" t="s">
        <v>339</v>
      </c>
      <c r="B94" s="6">
        <v>45678</v>
      </c>
      <c r="C94" t="s">
        <v>202</v>
      </c>
      <c r="D94" t="s">
        <v>1124</v>
      </c>
      <c r="E94" t="s">
        <v>161</v>
      </c>
      <c r="F94" t="s">
        <v>905</v>
      </c>
      <c r="G94" t="s">
        <v>82</v>
      </c>
      <c r="H94" t="s">
        <v>1076</v>
      </c>
      <c r="I94" t="s">
        <v>903</v>
      </c>
      <c r="J94" t="s">
        <v>15</v>
      </c>
      <c r="K94">
        <v>1513.99</v>
      </c>
      <c r="L94">
        <v>8</v>
      </c>
      <c r="M94">
        <v>0</v>
      </c>
      <c r="N94">
        <v>12111.92</v>
      </c>
      <c r="O94">
        <v>12111.92</v>
      </c>
      <c r="P94" t="s">
        <v>340</v>
      </c>
      <c r="Q94" t="s">
        <v>42</v>
      </c>
      <c r="R94" t="s">
        <v>1150</v>
      </c>
    </row>
    <row r="95" spans="1:18" x14ac:dyDescent="0.3">
      <c r="A95" t="s">
        <v>341</v>
      </c>
      <c r="B95" s="6">
        <v>45684</v>
      </c>
      <c r="C95" t="s">
        <v>98</v>
      </c>
      <c r="D95" t="s">
        <v>1110</v>
      </c>
      <c r="E95" t="s">
        <v>50</v>
      </c>
      <c r="F95" t="s">
        <v>936</v>
      </c>
      <c r="G95" t="s">
        <v>34</v>
      </c>
      <c r="H95" t="s">
        <v>1078</v>
      </c>
      <c r="I95" t="s">
        <v>931</v>
      </c>
      <c r="J95" t="s">
        <v>73</v>
      </c>
      <c r="K95">
        <v>2041.83</v>
      </c>
      <c r="L95">
        <v>4</v>
      </c>
      <c r="M95">
        <v>0.2</v>
      </c>
      <c r="N95">
        <v>8167.32</v>
      </c>
      <c r="O95">
        <v>6533.8559999999998</v>
      </c>
      <c r="P95" t="s">
        <v>343</v>
      </c>
      <c r="Q95" t="s">
        <v>17</v>
      </c>
      <c r="R95" t="s">
        <v>1150</v>
      </c>
    </row>
    <row r="96" spans="1:18" x14ac:dyDescent="0.3">
      <c r="A96" t="s">
        <v>344</v>
      </c>
      <c r="B96" s="6">
        <v>45776</v>
      </c>
      <c r="C96" t="s">
        <v>176</v>
      </c>
      <c r="D96" t="s">
        <v>1120</v>
      </c>
      <c r="E96" t="s">
        <v>345</v>
      </c>
      <c r="F96" t="s">
        <v>927</v>
      </c>
      <c r="G96" t="s">
        <v>45</v>
      </c>
      <c r="H96" t="s">
        <v>1096</v>
      </c>
      <c r="I96" t="s">
        <v>924</v>
      </c>
      <c r="J96" t="s">
        <v>35</v>
      </c>
      <c r="K96">
        <v>1212.79</v>
      </c>
      <c r="L96">
        <v>7</v>
      </c>
      <c r="M96">
        <v>0.05</v>
      </c>
      <c r="N96">
        <v>8489.5299999999988</v>
      </c>
      <c r="O96">
        <v>8065.0534999999982</v>
      </c>
      <c r="P96" t="s">
        <v>346</v>
      </c>
      <c r="Q96" t="s">
        <v>24</v>
      </c>
      <c r="R96" t="s">
        <v>1150</v>
      </c>
    </row>
    <row r="97" spans="1:18" x14ac:dyDescent="0.3">
      <c r="A97" t="s">
        <v>347</v>
      </c>
      <c r="B97" s="6">
        <v>45421</v>
      </c>
      <c r="C97" t="s">
        <v>39</v>
      </c>
      <c r="D97" t="s">
        <v>990</v>
      </c>
      <c r="E97" t="s">
        <v>81</v>
      </c>
      <c r="F97" t="s">
        <v>886</v>
      </c>
      <c r="G97" t="s">
        <v>82</v>
      </c>
      <c r="H97" t="s">
        <v>1076</v>
      </c>
      <c r="I97" t="s">
        <v>882</v>
      </c>
      <c r="J97" t="s">
        <v>73</v>
      </c>
      <c r="K97">
        <v>1044.7</v>
      </c>
      <c r="L97">
        <v>9</v>
      </c>
      <c r="M97">
        <v>0.1</v>
      </c>
      <c r="N97">
        <v>9402.3000000000011</v>
      </c>
      <c r="O97">
        <v>8462.0700000000015</v>
      </c>
      <c r="P97" t="s">
        <v>348</v>
      </c>
      <c r="Q97" t="s">
        <v>30</v>
      </c>
      <c r="R97" t="s">
        <v>1150</v>
      </c>
    </row>
    <row r="98" spans="1:18" x14ac:dyDescent="0.3">
      <c r="A98" t="s">
        <v>349</v>
      </c>
      <c r="B98" s="6">
        <v>45394</v>
      </c>
      <c r="C98" t="s">
        <v>291</v>
      </c>
      <c r="D98" t="s">
        <v>1131</v>
      </c>
      <c r="E98" t="s">
        <v>260</v>
      </c>
      <c r="F98" t="s">
        <v>895</v>
      </c>
      <c r="G98" t="s">
        <v>34</v>
      </c>
      <c r="H98" t="s">
        <v>1078</v>
      </c>
      <c r="I98" t="s">
        <v>896</v>
      </c>
      <c r="J98" t="s">
        <v>15</v>
      </c>
      <c r="K98">
        <v>3981.64</v>
      </c>
      <c r="L98">
        <v>9</v>
      </c>
      <c r="M98">
        <v>0.05</v>
      </c>
      <c r="N98">
        <v>35834.76</v>
      </c>
      <c r="O98">
        <v>34043.021999999997</v>
      </c>
      <c r="P98" t="s">
        <v>295</v>
      </c>
      <c r="Q98" t="s">
        <v>30</v>
      </c>
      <c r="R98" t="s">
        <v>1150</v>
      </c>
    </row>
    <row r="99" spans="1:18" x14ac:dyDescent="0.3">
      <c r="A99" t="s">
        <v>351</v>
      </c>
      <c r="B99" s="6">
        <v>45450</v>
      </c>
      <c r="C99" t="s">
        <v>202</v>
      </c>
      <c r="D99" t="s">
        <v>1124</v>
      </c>
      <c r="E99" t="s">
        <v>304</v>
      </c>
      <c r="F99" t="s">
        <v>890</v>
      </c>
      <c r="G99" t="s">
        <v>14</v>
      </c>
      <c r="H99" t="s">
        <v>1080</v>
      </c>
      <c r="I99" t="s">
        <v>889</v>
      </c>
      <c r="J99" t="s">
        <v>22</v>
      </c>
      <c r="K99">
        <v>1498.91</v>
      </c>
      <c r="L99">
        <v>2</v>
      </c>
      <c r="M99">
        <v>0.05</v>
      </c>
      <c r="N99">
        <v>2997.82</v>
      </c>
      <c r="O99">
        <v>2847.9290000000001</v>
      </c>
      <c r="P99" t="s">
        <v>353</v>
      </c>
      <c r="Q99" t="s">
        <v>42</v>
      </c>
      <c r="R99" t="s">
        <v>1150</v>
      </c>
    </row>
    <row r="100" spans="1:18" x14ac:dyDescent="0.3">
      <c r="A100" t="s">
        <v>354</v>
      </c>
      <c r="B100" s="6">
        <v>45699</v>
      </c>
      <c r="C100" t="s">
        <v>356</v>
      </c>
      <c r="D100" t="s">
        <v>1133</v>
      </c>
      <c r="E100" t="s">
        <v>304</v>
      </c>
      <c r="F100" t="s">
        <v>890</v>
      </c>
      <c r="G100" t="s">
        <v>45</v>
      </c>
      <c r="H100" t="s">
        <v>1096</v>
      </c>
      <c r="I100" t="s">
        <v>889</v>
      </c>
      <c r="J100" t="s">
        <v>35</v>
      </c>
      <c r="K100">
        <v>1498.91</v>
      </c>
      <c r="L100">
        <v>2</v>
      </c>
      <c r="M100">
        <v>0.2</v>
      </c>
      <c r="N100">
        <v>2997.82</v>
      </c>
      <c r="O100">
        <v>2398.2560000000003</v>
      </c>
      <c r="P100" t="s">
        <v>357</v>
      </c>
      <c r="Q100" t="s">
        <v>17</v>
      </c>
      <c r="R100" t="s">
        <v>1150</v>
      </c>
    </row>
    <row r="101" spans="1:18" x14ac:dyDescent="0.3">
      <c r="A101" t="s">
        <v>358</v>
      </c>
      <c r="B101" s="6">
        <v>45791</v>
      </c>
      <c r="C101" t="s">
        <v>124</v>
      </c>
      <c r="D101" t="s">
        <v>1112</v>
      </c>
      <c r="E101" t="s">
        <v>316</v>
      </c>
      <c r="F101" t="s">
        <v>907</v>
      </c>
      <c r="G101" t="s">
        <v>14</v>
      </c>
      <c r="H101" t="s">
        <v>1080</v>
      </c>
      <c r="I101" t="s">
        <v>903</v>
      </c>
      <c r="J101" t="s">
        <v>73</v>
      </c>
      <c r="K101">
        <v>2405.98</v>
      </c>
      <c r="L101">
        <v>9</v>
      </c>
      <c r="M101">
        <v>0</v>
      </c>
      <c r="N101">
        <v>21653.82</v>
      </c>
      <c r="O101">
        <v>21653.82</v>
      </c>
      <c r="P101" t="s">
        <v>74</v>
      </c>
      <c r="Q101" t="s">
        <v>60</v>
      </c>
      <c r="R101" t="s">
        <v>1150</v>
      </c>
    </row>
    <row r="102" spans="1:18" x14ac:dyDescent="0.3">
      <c r="A102" t="s">
        <v>360</v>
      </c>
      <c r="B102" s="6">
        <v>45586</v>
      </c>
      <c r="C102" t="s">
        <v>190</v>
      </c>
      <c r="D102" t="s">
        <v>1119</v>
      </c>
      <c r="E102" t="s">
        <v>164</v>
      </c>
      <c r="F102" t="s">
        <v>922</v>
      </c>
      <c r="G102" t="s">
        <v>45</v>
      </c>
      <c r="H102" t="s">
        <v>1096</v>
      </c>
      <c r="I102" t="s">
        <v>917</v>
      </c>
      <c r="J102" t="s">
        <v>35</v>
      </c>
      <c r="K102">
        <v>2489.91</v>
      </c>
      <c r="L102">
        <v>4</v>
      </c>
      <c r="M102">
        <v>0.15</v>
      </c>
      <c r="N102">
        <v>9959.64</v>
      </c>
      <c r="O102">
        <v>8465.6939999999995</v>
      </c>
      <c r="P102" t="s">
        <v>361</v>
      </c>
      <c r="Q102" t="s">
        <v>24</v>
      </c>
      <c r="R102" t="s">
        <v>1150</v>
      </c>
    </row>
    <row r="103" spans="1:18" x14ac:dyDescent="0.3">
      <c r="A103" t="s">
        <v>362</v>
      </c>
      <c r="B103" s="6">
        <v>45394</v>
      </c>
      <c r="C103" t="s">
        <v>214</v>
      </c>
      <c r="D103" t="s">
        <v>1125</v>
      </c>
      <c r="E103" t="s">
        <v>161</v>
      </c>
      <c r="F103" t="s">
        <v>905</v>
      </c>
      <c r="G103" t="s">
        <v>21</v>
      </c>
      <c r="H103" t="s">
        <v>1073</v>
      </c>
      <c r="I103" t="s">
        <v>903</v>
      </c>
      <c r="J103" t="s">
        <v>73</v>
      </c>
      <c r="K103">
        <v>1513.99</v>
      </c>
      <c r="L103">
        <v>8</v>
      </c>
      <c r="M103">
        <v>0</v>
      </c>
      <c r="N103">
        <v>12111.92</v>
      </c>
      <c r="O103">
        <v>12111.92</v>
      </c>
      <c r="P103" t="s">
        <v>363</v>
      </c>
      <c r="Q103" t="s">
        <v>24</v>
      </c>
      <c r="R103" t="s">
        <v>1150</v>
      </c>
    </row>
    <row r="104" spans="1:18" x14ac:dyDescent="0.3">
      <c r="A104" t="s">
        <v>364</v>
      </c>
      <c r="B104" s="6">
        <v>45624</v>
      </c>
      <c r="C104" t="s">
        <v>32</v>
      </c>
      <c r="D104" t="s">
        <v>1106</v>
      </c>
      <c r="E104" t="s">
        <v>316</v>
      </c>
      <c r="F104" t="s">
        <v>907</v>
      </c>
      <c r="G104" t="s">
        <v>34</v>
      </c>
      <c r="H104" t="s">
        <v>1078</v>
      </c>
      <c r="I104" t="s">
        <v>903</v>
      </c>
      <c r="J104" t="s">
        <v>22</v>
      </c>
      <c r="K104">
        <v>2405.98</v>
      </c>
      <c r="L104">
        <v>1</v>
      </c>
      <c r="M104">
        <v>0</v>
      </c>
      <c r="N104">
        <v>2405.98</v>
      </c>
      <c r="O104">
        <v>2405.98</v>
      </c>
      <c r="P104" t="s">
        <v>222</v>
      </c>
      <c r="Q104" t="s">
        <v>30</v>
      </c>
      <c r="R104" t="s">
        <v>1150</v>
      </c>
    </row>
    <row r="105" spans="1:18" x14ac:dyDescent="0.3">
      <c r="A105" t="s">
        <v>366</v>
      </c>
      <c r="B105" s="6">
        <v>45441</v>
      </c>
      <c r="C105" t="s">
        <v>245</v>
      </c>
      <c r="D105" t="s">
        <v>1128</v>
      </c>
      <c r="E105" t="s">
        <v>161</v>
      </c>
      <c r="F105" t="s">
        <v>905</v>
      </c>
      <c r="G105" t="s">
        <v>14</v>
      </c>
      <c r="H105" t="s">
        <v>1080</v>
      </c>
      <c r="I105" t="s">
        <v>903</v>
      </c>
      <c r="J105" t="s">
        <v>15</v>
      </c>
      <c r="K105">
        <v>1513.99</v>
      </c>
      <c r="L105">
        <v>4</v>
      </c>
      <c r="M105">
        <v>0.1</v>
      </c>
      <c r="N105">
        <v>6055.96</v>
      </c>
      <c r="O105">
        <v>5450.3640000000005</v>
      </c>
      <c r="P105" t="s">
        <v>368</v>
      </c>
      <c r="Q105" t="s">
        <v>60</v>
      </c>
      <c r="R105" t="s">
        <v>1150</v>
      </c>
    </row>
    <row r="106" spans="1:18" x14ac:dyDescent="0.3">
      <c r="A106" t="s">
        <v>369</v>
      </c>
      <c r="B106" s="6">
        <v>45471</v>
      </c>
      <c r="C106" t="s">
        <v>273</v>
      </c>
      <c r="D106" t="s">
        <v>1129</v>
      </c>
      <c r="E106" t="s">
        <v>44</v>
      </c>
      <c r="F106" t="s">
        <v>911</v>
      </c>
      <c r="G106" t="s">
        <v>82</v>
      </c>
      <c r="H106" t="s">
        <v>1076</v>
      </c>
      <c r="I106" t="s">
        <v>910</v>
      </c>
      <c r="J106" t="s">
        <v>15</v>
      </c>
      <c r="K106">
        <v>973.21</v>
      </c>
      <c r="L106">
        <v>2</v>
      </c>
      <c r="M106">
        <v>0.1</v>
      </c>
      <c r="N106">
        <v>1946.42</v>
      </c>
      <c r="O106">
        <v>1751.778</v>
      </c>
      <c r="P106" t="s">
        <v>370</v>
      </c>
      <c r="Q106" t="s">
        <v>30</v>
      </c>
      <c r="R106" t="s">
        <v>1150</v>
      </c>
    </row>
    <row r="107" spans="1:18" x14ac:dyDescent="0.3">
      <c r="A107" t="s">
        <v>371</v>
      </c>
      <c r="B107" s="6">
        <v>45438</v>
      </c>
      <c r="C107" t="s">
        <v>273</v>
      </c>
      <c r="D107" t="s">
        <v>1129</v>
      </c>
      <c r="E107" t="s">
        <v>116</v>
      </c>
      <c r="F107" t="s">
        <v>892</v>
      </c>
      <c r="G107" t="s">
        <v>45</v>
      </c>
      <c r="H107" t="s">
        <v>1096</v>
      </c>
      <c r="I107" t="s">
        <v>889</v>
      </c>
      <c r="J107" t="s">
        <v>35</v>
      </c>
      <c r="K107">
        <v>1156.02</v>
      </c>
      <c r="L107">
        <v>4</v>
      </c>
      <c r="M107">
        <v>0.05</v>
      </c>
      <c r="N107">
        <v>4624.08</v>
      </c>
      <c r="O107">
        <v>4392.8759999999993</v>
      </c>
      <c r="P107" t="s">
        <v>373</v>
      </c>
      <c r="Q107" t="s">
        <v>17</v>
      </c>
      <c r="R107" t="s">
        <v>1150</v>
      </c>
    </row>
    <row r="108" spans="1:18" x14ac:dyDescent="0.3">
      <c r="A108" t="s">
        <v>374</v>
      </c>
      <c r="B108" s="6">
        <v>45301</v>
      </c>
      <c r="C108" t="s">
        <v>273</v>
      </c>
      <c r="D108" t="s">
        <v>1129</v>
      </c>
      <c r="E108" t="s">
        <v>111</v>
      </c>
      <c r="F108" t="s">
        <v>929</v>
      </c>
      <c r="G108" t="s">
        <v>34</v>
      </c>
      <c r="H108" t="s">
        <v>1078</v>
      </c>
      <c r="I108" t="s">
        <v>924</v>
      </c>
      <c r="J108" t="s">
        <v>15</v>
      </c>
      <c r="K108">
        <v>4390.62</v>
      </c>
      <c r="L108">
        <v>8</v>
      </c>
      <c r="M108">
        <v>0</v>
      </c>
      <c r="N108">
        <v>35124.959999999999</v>
      </c>
      <c r="O108">
        <v>35124.959999999999</v>
      </c>
      <c r="P108" t="s">
        <v>375</v>
      </c>
      <c r="Q108" t="s">
        <v>24</v>
      </c>
      <c r="R108" t="s">
        <v>1150</v>
      </c>
    </row>
    <row r="109" spans="1:18" x14ac:dyDescent="0.3">
      <c r="A109" t="s">
        <v>376</v>
      </c>
      <c r="B109" s="6">
        <v>45744</v>
      </c>
      <c r="C109" t="s">
        <v>134</v>
      </c>
      <c r="D109" t="s">
        <v>1047</v>
      </c>
      <c r="E109" t="s">
        <v>377</v>
      </c>
      <c r="F109" t="s">
        <v>909</v>
      </c>
      <c r="G109" t="s">
        <v>34</v>
      </c>
      <c r="H109" t="s">
        <v>1078</v>
      </c>
      <c r="I109" t="s">
        <v>910</v>
      </c>
      <c r="J109" t="s">
        <v>35</v>
      </c>
      <c r="K109">
        <v>4703.04</v>
      </c>
      <c r="L109">
        <v>6</v>
      </c>
      <c r="M109">
        <v>0.1</v>
      </c>
      <c r="N109">
        <v>28218.239999999998</v>
      </c>
      <c r="O109">
        <v>25396.415999999997</v>
      </c>
      <c r="P109" t="s">
        <v>337</v>
      </c>
      <c r="Q109" t="s">
        <v>17</v>
      </c>
      <c r="R109" t="s">
        <v>1150</v>
      </c>
    </row>
    <row r="110" spans="1:18" x14ac:dyDescent="0.3">
      <c r="A110" t="s">
        <v>378</v>
      </c>
      <c r="B110" s="6">
        <v>45759</v>
      </c>
      <c r="C110" t="s">
        <v>129</v>
      </c>
      <c r="D110" t="s">
        <v>1113</v>
      </c>
      <c r="E110" t="s">
        <v>153</v>
      </c>
      <c r="F110" t="s">
        <v>916</v>
      </c>
      <c r="G110" t="s">
        <v>34</v>
      </c>
      <c r="H110" t="s">
        <v>1078</v>
      </c>
      <c r="I110" t="s">
        <v>917</v>
      </c>
      <c r="J110" t="s">
        <v>35</v>
      </c>
      <c r="K110">
        <v>2128.4</v>
      </c>
      <c r="L110">
        <v>5</v>
      </c>
      <c r="M110">
        <v>0</v>
      </c>
      <c r="N110">
        <v>10642</v>
      </c>
      <c r="O110">
        <v>10642</v>
      </c>
      <c r="P110" t="s">
        <v>380</v>
      </c>
      <c r="Q110" t="s">
        <v>24</v>
      </c>
      <c r="R110" t="s">
        <v>1150</v>
      </c>
    </row>
    <row r="111" spans="1:18" x14ac:dyDescent="0.3">
      <c r="A111" t="s">
        <v>381</v>
      </c>
      <c r="B111" s="6">
        <v>45534</v>
      </c>
      <c r="C111" t="s">
        <v>137</v>
      </c>
      <c r="D111" t="s">
        <v>1114</v>
      </c>
      <c r="E111" t="s">
        <v>28</v>
      </c>
      <c r="F111" t="s">
        <v>897</v>
      </c>
      <c r="G111" t="s">
        <v>45</v>
      </c>
      <c r="H111" t="s">
        <v>1096</v>
      </c>
      <c r="I111" t="s">
        <v>896</v>
      </c>
      <c r="J111" t="s">
        <v>22</v>
      </c>
      <c r="K111">
        <v>733.33</v>
      </c>
      <c r="L111">
        <v>7</v>
      </c>
      <c r="M111">
        <v>0.1</v>
      </c>
      <c r="N111">
        <v>5133.3100000000004</v>
      </c>
      <c r="O111">
        <v>4619.9790000000003</v>
      </c>
      <c r="P111" t="s">
        <v>179</v>
      </c>
      <c r="Q111" t="s">
        <v>17</v>
      </c>
      <c r="R111" t="s">
        <v>1150</v>
      </c>
    </row>
    <row r="112" spans="1:18" x14ac:dyDescent="0.3">
      <c r="A112" t="s">
        <v>382</v>
      </c>
      <c r="B112" s="6">
        <v>45314</v>
      </c>
      <c r="C112" t="s">
        <v>102</v>
      </c>
      <c r="D112" t="s">
        <v>1111</v>
      </c>
      <c r="E112" t="s">
        <v>240</v>
      </c>
      <c r="F112" t="s">
        <v>920</v>
      </c>
      <c r="G112" t="s">
        <v>21</v>
      </c>
      <c r="H112" t="s">
        <v>1073</v>
      </c>
      <c r="I112" t="s">
        <v>917</v>
      </c>
      <c r="J112" t="s">
        <v>73</v>
      </c>
      <c r="K112">
        <v>2036.67</v>
      </c>
      <c r="L112">
        <v>7</v>
      </c>
      <c r="M112">
        <v>0</v>
      </c>
      <c r="N112">
        <v>14256.69</v>
      </c>
      <c r="O112">
        <v>14256.69</v>
      </c>
      <c r="P112" t="s">
        <v>384</v>
      </c>
      <c r="Q112" t="s">
        <v>42</v>
      </c>
      <c r="R112" t="s">
        <v>1150</v>
      </c>
    </row>
    <row r="113" spans="1:18" x14ac:dyDescent="0.3">
      <c r="A113" t="s">
        <v>385</v>
      </c>
      <c r="B113" s="6">
        <v>45800</v>
      </c>
      <c r="C113" t="s">
        <v>273</v>
      </c>
      <c r="D113" t="s">
        <v>1129</v>
      </c>
      <c r="E113" t="s">
        <v>77</v>
      </c>
      <c r="F113" t="s">
        <v>884</v>
      </c>
      <c r="G113" t="s">
        <v>34</v>
      </c>
      <c r="H113" t="s">
        <v>1078</v>
      </c>
      <c r="I113" t="s">
        <v>882</v>
      </c>
      <c r="J113" t="s">
        <v>22</v>
      </c>
      <c r="K113">
        <v>3550.89</v>
      </c>
      <c r="L113">
        <v>5</v>
      </c>
      <c r="M113">
        <v>0.2</v>
      </c>
      <c r="N113">
        <v>17754.45</v>
      </c>
      <c r="O113">
        <v>14203.560000000001</v>
      </c>
      <c r="P113" t="s">
        <v>287</v>
      </c>
      <c r="Q113" t="s">
        <v>60</v>
      </c>
      <c r="R113" t="s">
        <v>1150</v>
      </c>
    </row>
    <row r="114" spans="1:18" x14ac:dyDescent="0.3">
      <c r="A114" t="s">
        <v>387</v>
      </c>
      <c r="B114" s="6">
        <v>45486</v>
      </c>
      <c r="C114" t="s">
        <v>129</v>
      </c>
      <c r="D114" t="s">
        <v>1113</v>
      </c>
      <c r="E114" t="s">
        <v>389</v>
      </c>
      <c r="F114" t="s">
        <v>883</v>
      </c>
      <c r="G114" t="s">
        <v>82</v>
      </c>
      <c r="H114" t="s">
        <v>1076</v>
      </c>
      <c r="I114" t="s">
        <v>882</v>
      </c>
      <c r="J114" t="s">
        <v>73</v>
      </c>
      <c r="K114">
        <v>991.59</v>
      </c>
      <c r="L114">
        <v>10</v>
      </c>
      <c r="M114">
        <v>0</v>
      </c>
      <c r="N114">
        <v>9915.9</v>
      </c>
      <c r="O114">
        <v>9915.9</v>
      </c>
      <c r="P114" t="s">
        <v>230</v>
      </c>
      <c r="Q114" t="s">
        <v>24</v>
      </c>
      <c r="R114" t="s">
        <v>1150</v>
      </c>
    </row>
    <row r="115" spans="1:18" x14ac:dyDescent="0.3">
      <c r="A115" t="s">
        <v>390</v>
      </c>
      <c r="B115" s="6">
        <v>45608</v>
      </c>
      <c r="C115" t="s">
        <v>392</v>
      </c>
      <c r="D115" t="s">
        <v>1134</v>
      </c>
      <c r="E115" t="s">
        <v>389</v>
      </c>
      <c r="F115" t="s">
        <v>883</v>
      </c>
      <c r="G115" t="s">
        <v>14</v>
      </c>
      <c r="H115" t="s">
        <v>1080</v>
      </c>
      <c r="I115" t="s">
        <v>882</v>
      </c>
      <c r="J115" t="s">
        <v>22</v>
      </c>
      <c r="K115">
        <v>991.59</v>
      </c>
      <c r="L115">
        <v>8</v>
      </c>
      <c r="M115">
        <v>0</v>
      </c>
      <c r="N115">
        <v>7932.72</v>
      </c>
      <c r="O115">
        <v>7932.72</v>
      </c>
      <c r="P115" t="s">
        <v>393</v>
      </c>
      <c r="Q115" t="s">
        <v>60</v>
      </c>
      <c r="R115" t="s">
        <v>1150</v>
      </c>
    </row>
    <row r="116" spans="1:18" x14ac:dyDescent="0.3">
      <c r="A116" t="s">
        <v>394</v>
      </c>
      <c r="B116" s="6">
        <v>45384</v>
      </c>
      <c r="C116" t="s">
        <v>141</v>
      </c>
      <c r="D116" t="s">
        <v>1115</v>
      </c>
      <c r="E116" t="s">
        <v>196</v>
      </c>
      <c r="F116" t="s">
        <v>885</v>
      </c>
      <c r="G116" t="s">
        <v>82</v>
      </c>
      <c r="H116" t="s">
        <v>1076</v>
      </c>
      <c r="I116" t="s">
        <v>882</v>
      </c>
      <c r="J116" t="s">
        <v>15</v>
      </c>
      <c r="K116">
        <v>2184.5100000000002</v>
      </c>
      <c r="L116">
        <v>5</v>
      </c>
      <c r="M116">
        <v>0</v>
      </c>
      <c r="N116">
        <v>10922.550000000001</v>
      </c>
      <c r="O116">
        <v>10922.550000000001</v>
      </c>
      <c r="P116" t="s">
        <v>396</v>
      </c>
      <c r="Q116" t="s">
        <v>60</v>
      </c>
      <c r="R116" t="s">
        <v>1150</v>
      </c>
    </row>
    <row r="117" spans="1:18" x14ac:dyDescent="0.3">
      <c r="A117" t="s">
        <v>397</v>
      </c>
      <c r="B117" s="6">
        <v>45427</v>
      </c>
      <c r="C117" t="s">
        <v>141</v>
      </c>
      <c r="D117" t="s">
        <v>1115</v>
      </c>
      <c r="E117" t="s">
        <v>94</v>
      </c>
      <c r="F117" t="s">
        <v>935</v>
      </c>
      <c r="G117" t="s">
        <v>45</v>
      </c>
      <c r="H117" t="s">
        <v>1096</v>
      </c>
      <c r="I117" t="s">
        <v>931</v>
      </c>
      <c r="J117" t="s">
        <v>22</v>
      </c>
      <c r="K117">
        <v>3610.44</v>
      </c>
      <c r="L117">
        <v>9</v>
      </c>
      <c r="M117">
        <v>0</v>
      </c>
      <c r="N117">
        <v>32493.96</v>
      </c>
      <c r="O117">
        <v>32493.96</v>
      </c>
      <c r="P117" t="s">
        <v>398</v>
      </c>
      <c r="Q117" t="s">
        <v>60</v>
      </c>
      <c r="R117" t="s">
        <v>1150</v>
      </c>
    </row>
    <row r="118" spans="1:18" x14ac:dyDescent="0.3">
      <c r="A118" t="s">
        <v>399</v>
      </c>
      <c r="B118" s="6">
        <v>45555</v>
      </c>
      <c r="C118" t="s">
        <v>141</v>
      </c>
      <c r="D118" t="s">
        <v>1115</v>
      </c>
      <c r="E118" t="s">
        <v>400</v>
      </c>
      <c r="F118" t="s">
        <v>923</v>
      </c>
      <c r="G118" t="s">
        <v>14</v>
      </c>
      <c r="H118" t="s">
        <v>1080</v>
      </c>
      <c r="I118" t="s">
        <v>924</v>
      </c>
      <c r="J118" t="s">
        <v>22</v>
      </c>
      <c r="K118">
        <v>588.75</v>
      </c>
      <c r="L118">
        <v>8</v>
      </c>
      <c r="M118">
        <v>0.2</v>
      </c>
      <c r="N118">
        <v>4710</v>
      </c>
      <c r="O118">
        <v>3768</v>
      </c>
      <c r="P118" t="s">
        <v>401</v>
      </c>
      <c r="Q118" t="s">
        <v>24</v>
      </c>
      <c r="R118" t="s">
        <v>1150</v>
      </c>
    </row>
    <row r="119" spans="1:18" x14ac:dyDescent="0.3">
      <c r="A119" t="s">
        <v>402</v>
      </c>
      <c r="B119" s="6">
        <v>45771</v>
      </c>
      <c r="C119" t="s">
        <v>403</v>
      </c>
      <c r="D119" t="s">
        <v>1135</v>
      </c>
      <c r="E119" t="s">
        <v>44</v>
      </c>
      <c r="F119" t="s">
        <v>911</v>
      </c>
      <c r="G119" t="s">
        <v>34</v>
      </c>
      <c r="H119" t="s">
        <v>1078</v>
      </c>
      <c r="I119" t="s">
        <v>910</v>
      </c>
      <c r="J119" t="s">
        <v>35</v>
      </c>
      <c r="K119">
        <v>973.21</v>
      </c>
      <c r="L119">
        <v>2</v>
      </c>
      <c r="M119">
        <v>0</v>
      </c>
      <c r="N119">
        <v>1946.42</v>
      </c>
      <c r="O119">
        <v>1946.42</v>
      </c>
      <c r="P119" t="s">
        <v>404</v>
      </c>
      <c r="Q119" t="s">
        <v>42</v>
      </c>
      <c r="R119" t="s">
        <v>1150</v>
      </c>
    </row>
    <row r="120" spans="1:18" x14ac:dyDescent="0.3">
      <c r="A120" t="s">
        <v>405</v>
      </c>
      <c r="B120" s="6">
        <v>45666</v>
      </c>
      <c r="C120" t="s">
        <v>311</v>
      </c>
      <c r="D120" t="s">
        <v>1132</v>
      </c>
      <c r="E120" t="s">
        <v>40</v>
      </c>
      <c r="F120" t="s">
        <v>928</v>
      </c>
      <c r="G120" t="s">
        <v>21</v>
      </c>
      <c r="H120" t="s">
        <v>1073</v>
      </c>
      <c r="I120" t="s">
        <v>924</v>
      </c>
      <c r="J120" t="s">
        <v>73</v>
      </c>
      <c r="K120">
        <v>136.91</v>
      </c>
      <c r="L120">
        <v>2</v>
      </c>
      <c r="M120">
        <v>0.2</v>
      </c>
      <c r="N120">
        <v>273.82</v>
      </c>
      <c r="O120">
        <v>219.05600000000001</v>
      </c>
      <c r="P120" t="s">
        <v>407</v>
      </c>
      <c r="Q120" t="s">
        <v>17</v>
      </c>
      <c r="R120" t="s">
        <v>1150</v>
      </c>
    </row>
    <row r="121" spans="1:18" x14ac:dyDescent="0.3">
      <c r="A121" t="s">
        <v>408</v>
      </c>
      <c r="B121" s="6">
        <v>45418</v>
      </c>
      <c r="C121" t="s">
        <v>80</v>
      </c>
      <c r="D121" t="s">
        <v>1109</v>
      </c>
      <c r="E121" t="s">
        <v>304</v>
      </c>
      <c r="F121" t="s">
        <v>890</v>
      </c>
      <c r="G121" t="s">
        <v>34</v>
      </c>
      <c r="H121" t="s">
        <v>1078</v>
      </c>
      <c r="I121" t="s">
        <v>889</v>
      </c>
      <c r="J121" t="s">
        <v>35</v>
      </c>
      <c r="K121">
        <v>1498.91</v>
      </c>
      <c r="L121">
        <v>8</v>
      </c>
      <c r="M121">
        <v>0</v>
      </c>
      <c r="N121">
        <v>11991.28</v>
      </c>
      <c r="O121">
        <v>11991.28</v>
      </c>
      <c r="P121" t="s">
        <v>410</v>
      </c>
      <c r="Q121" t="s">
        <v>17</v>
      </c>
      <c r="R121" t="s">
        <v>1150</v>
      </c>
    </row>
    <row r="122" spans="1:18" x14ac:dyDescent="0.3">
      <c r="A122" t="s">
        <v>411</v>
      </c>
      <c r="B122" s="6">
        <v>45402</v>
      </c>
      <c r="C122" t="s">
        <v>331</v>
      </c>
      <c r="D122" t="s">
        <v>1006</v>
      </c>
      <c r="E122" t="s">
        <v>226</v>
      </c>
      <c r="F122" t="s">
        <v>904</v>
      </c>
      <c r="G122" t="s">
        <v>34</v>
      </c>
      <c r="H122" t="s">
        <v>1078</v>
      </c>
      <c r="I122" t="s">
        <v>903</v>
      </c>
      <c r="J122" t="s">
        <v>22</v>
      </c>
      <c r="K122">
        <v>2359.5</v>
      </c>
      <c r="L122">
        <v>4</v>
      </c>
      <c r="M122">
        <v>0.05</v>
      </c>
      <c r="N122">
        <v>9438</v>
      </c>
      <c r="O122">
        <v>8966.1</v>
      </c>
      <c r="P122" t="s">
        <v>413</v>
      </c>
      <c r="Q122" t="s">
        <v>42</v>
      </c>
      <c r="R122" t="s">
        <v>1150</v>
      </c>
    </row>
    <row r="123" spans="1:18" x14ac:dyDescent="0.3">
      <c r="A123" t="s">
        <v>414</v>
      </c>
      <c r="B123" s="6">
        <v>45518</v>
      </c>
      <c r="C123" t="s">
        <v>273</v>
      </c>
      <c r="D123" t="s">
        <v>1129</v>
      </c>
      <c r="E123" t="s">
        <v>153</v>
      </c>
      <c r="F123" t="s">
        <v>916</v>
      </c>
      <c r="G123" t="s">
        <v>82</v>
      </c>
      <c r="H123" t="s">
        <v>1076</v>
      </c>
      <c r="I123" t="s">
        <v>917</v>
      </c>
      <c r="J123" t="s">
        <v>22</v>
      </c>
      <c r="K123">
        <v>2128.4</v>
      </c>
      <c r="L123">
        <v>2</v>
      </c>
      <c r="M123">
        <v>0.15</v>
      </c>
      <c r="N123">
        <v>4256.8</v>
      </c>
      <c r="O123">
        <v>3618.28</v>
      </c>
      <c r="P123" t="s">
        <v>415</v>
      </c>
      <c r="Q123" t="s">
        <v>30</v>
      </c>
      <c r="R123" t="s">
        <v>1150</v>
      </c>
    </row>
    <row r="124" spans="1:18" x14ac:dyDescent="0.3">
      <c r="A124" t="s">
        <v>416</v>
      </c>
      <c r="B124" s="6">
        <v>45411</v>
      </c>
      <c r="C124" t="s">
        <v>98</v>
      </c>
      <c r="D124" t="s">
        <v>1110</v>
      </c>
      <c r="E124" t="s">
        <v>254</v>
      </c>
      <c r="F124" t="s">
        <v>918</v>
      </c>
      <c r="G124" t="s">
        <v>82</v>
      </c>
      <c r="H124" t="s">
        <v>1076</v>
      </c>
      <c r="I124" t="s">
        <v>917</v>
      </c>
      <c r="J124" t="s">
        <v>22</v>
      </c>
      <c r="K124">
        <v>605.26</v>
      </c>
      <c r="L124">
        <v>3</v>
      </c>
      <c r="M124">
        <v>0</v>
      </c>
      <c r="N124">
        <v>1815.78</v>
      </c>
      <c r="O124">
        <v>1815.78</v>
      </c>
      <c r="P124" t="s">
        <v>280</v>
      </c>
      <c r="Q124" t="s">
        <v>30</v>
      </c>
      <c r="R124" t="s">
        <v>1150</v>
      </c>
    </row>
    <row r="125" spans="1:18" x14ac:dyDescent="0.3">
      <c r="A125" t="s">
        <v>417</v>
      </c>
      <c r="B125" s="6">
        <v>45410</v>
      </c>
      <c r="C125" t="s">
        <v>199</v>
      </c>
      <c r="D125" t="s">
        <v>1123</v>
      </c>
      <c r="E125" t="s">
        <v>67</v>
      </c>
      <c r="F125" t="s">
        <v>925</v>
      </c>
      <c r="G125" t="s">
        <v>45</v>
      </c>
      <c r="H125" t="s">
        <v>1096</v>
      </c>
      <c r="I125" t="s">
        <v>924</v>
      </c>
      <c r="J125" t="s">
        <v>15</v>
      </c>
      <c r="K125">
        <v>3205.14</v>
      </c>
      <c r="L125">
        <v>2</v>
      </c>
      <c r="M125">
        <v>0</v>
      </c>
      <c r="N125">
        <v>6410.28</v>
      </c>
      <c r="O125">
        <v>6410.28</v>
      </c>
      <c r="P125" t="s">
        <v>284</v>
      </c>
      <c r="Q125" t="s">
        <v>30</v>
      </c>
      <c r="R125" t="s">
        <v>1150</v>
      </c>
    </row>
    <row r="126" spans="1:18" x14ac:dyDescent="0.3">
      <c r="A126" t="s">
        <v>418</v>
      </c>
      <c r="B126" s="6">
        <v>45756</v>
      </c>
      <c r="C126" t="s">
        <v>66</v>
      </c>
      <c r="D126" t="s">
        <v>1108</v>
      </c>
      <c r="E126" t="s">
        <v>300</v>
      </c>
      <c r="F126" t="s">
        <v>901</v>
      </c>
      <c r="G126" t="s">
        <v>45</v>
      </c>
      <c r="H126" t="s">
        <v>1096</v>
      </c>
      <c r="I126" t="s">
        <v>896</v>
      </c>
      <c r="J126" t="s">
        <v>35</v>
      </c>
      <c r="K126">
        <v>4174.32</v>
      </c>
      <c r="L126">
        <v>6</v>
      </c>
      <c r="M126">
        <v>0.15</v>
      </c>
      <c r="N126">
        <v>25045.919999999998</v>
      </c>
      <c r="O126">
        <v>21289.031999999999</v>
      </c>
      <c r="P126" t="s">
        <v>313</v>
      </c>
      <c r="Q126" t="s">
        <v>42</v>
      </c>
      <c r="R126" t="s">
        <v>1150</v>
      </c>
    </row>
    <row r="127" spans="1:18" x14ac:dyDescent="0.3">
      <c r="A127" t="s">
        <v>419</v>
      </c>
      <c r="B127" s="6">
        <v>45450</v>
      </c>
      <c r="C127" t="s">
        <v>218</v>
      </c>
      <c r="D127" t="s">
        <v>1003</v>
      </c>
      <c r="E127" t="s">
        <v>28</v>
      </c>
      <c r="F127" t="s">
        <v>897</v>
      </c>
      <c r="G127" t="s">
        <v>34</v>
      </c>
      <c r="H127" t="s">
        <v>1078</v>
      </c>
      <c r="I127" t="s">
        <v>896</v>
      </c>
      <c r="J127" t="s">
        <v>35</v>
      </c>
      <c r="K127">
        <v>733.33</v>
      </c>
      <c r="L127">
        <v>7</v>
      </c>
      <c r="M127">
        <v>0.15</v>
      </c>
      <c r="N127">
        <v>5133.3100000000004</v>
      </c>
      <c r="O127">
        <v>4363.3135000000002</v>
      </c>
      <c r="P127" t="s">
        <v>266</v>
      </c>
      <c r="Q127" t="s">
        <v>42</v>
      </c>
      <c r="R127" t="s">
        <v>1150</v>
      </c>
    </row>
    <row r="128" spans="1:18" x14ac:dyDescent="0.3">
      <c r="A128" t="s">
        <v>1153</v>
      </c>
      <c r="B128" s="6">
        <v>45450</v>
      </c>
      <c r="C128" t="s">
        <v>218</v>
      </c>
      <c r="D128" t="s">
        <v>1003</v>
      </c>
      <c r="E128" t="s">
        <v>28</v>
      </c>
      <c r="F128" t="s">
        <v>892</v>
      </c>
      <c r="G128" t="s">
        <v>34</v>
      </c>
      <c r="H128" t="s">
        <v>1078</v>
      </c>
      <c r="I128" t="s">
        <v>896</v>
      </c>
      <c r="J128" t="s">
        <v>35</v>
      </c>
      <c r="K128">
        <v>733.33</v>
      </c>
      <c r="L128">
        <v>7</v>
      </c>
      <c r="M128">
        <v>0.15</v>
      </c>
      <c r="N128">
        <v>5133.3100000000004</v>
      </c>
      <c r="O128">
        <v>4363.3135000000002</v>
      </c>
      <c r="P128" t="s">
        <v>266</v>
      </c>
      <c r="Q128" t="s">
        <v>42</v>
      </c>
      <c r="R128" t="s">
        <v>1150</v>
      </c>
    </row>
    <row r="129" spans="1:18" x14ac:dyDescent="0.3">
      <c r="A129" t="s">
        <v>420</v>
      </c>
      <c r="B129" s="6">
        <v>45709</v>
      </c>
      <c r="C129" t="s">
        <v>356</v>
      </c>
      <c r="D129" t="s">
        <v>1133</v>
      </c>
      <c r="E129" t="s">
        <v>206</v>
      </c>
      <c r="F129" t="s">
        <v>897</v>
      </c>
      <c r="G129" t="s">
        <v>34</v>
      </c>
      <c r="H129" t="s">
        <v>1078</v>
      </c>
      <c r="I129" t="s">
        <v>882</v>
      </c>
      <c r="J129" t="s">
        <v>15</v>
      </c>
      <c r="K129">
        <v>2779.58</v>
      </c>
      <c r="L129">
        <v>5</v>
      </c>
      <c r="M129">
        <v>0</v>
      </c>
      <c r="N129">
        <v>13897.9</v>
      </c>
      <c r="O129">
        <v>13897.9</v>
      </c>
      <c r="P129" t="s">
        <v>421</v>
      </c>
      <c r="Q129" t="s">
        <v>30</v>
      </c>
      <c r="R129" t="s">
        <v>1150</v>
      </c>
    </row>
    <row r="130" spans="1:18" x14ac:dyDescent="0.3">
      <c r="A130" t="s">
        <v>422</v>
      </c>
      <c r="B130" s="6">
        <v>45747</v>
      </c>
      <c r="C130" t="s">
        <v>291</v>
      </c>
      <c r="D130" t="s">
        <v>1131</v>
      </c>
      <c r="E130" t="s">
        <v>226</v>
      </c>
      <c r="F130" t="s">
        <v>887</v>
      </c>
      <c r="G130" t="s">
        <v>34</v>
      </c>
      <c r="H130" t="s">
        <v>1078</v>
      </c>
      <c r="I130" t="s">
        <v>903</v>
      </c>
      <c r="J130" t="s">
        <v>73</v>
      </c>
      <c r="K130">
        <v>2359.5</v>
      </c>
      <c r="L130">
        <v>4</v>
      </c>
      <c r="M130">
        <v>0.2</v>
      </c>
      <c r="N130">
        <v>9438</v>
      </c>
      <c r="O130">
        <v>7550.4000000000005</v>
      </c>
      <c r="P130" t="s">
        <v>423</v>
      </c>
      <c r="Q130" t="s">
        <v>17</v>
      </c>
      <c r="R130" t="s">
        <v>1150</v>
      </c>
    </row>
    <row r="131" spans="1:18" x14ac:dyDescent="0.3">
      <c r="A131" t="s">
        <v>424</v>
      </c>
      <c r="B131" s="6">
        <v>45659</v>
      </c>
      <c r="C131" t="s">
        <v>105</v>
      </c>
      <c r="D131" t="s">
        <v>941</v>
      </c>
      <c r="E131" t="s">
        <v>72</v>
      </c>
      <c r="F131" t="s">
        <v>904</v>
      </c>
      <c r="G131" t="s">
        <v>21</v>
      </c>
      <c r="H131" t="s">
        <v>1073</v>
      </c>
      <c r="I131" t="s">
        <v>917</v>
      </c>
      <c r="J131" t="s">
        <v>15</v>
      </c>
      <c r="K131">
        <v>2316.1999999999998</v>
      </c>
      <c r="L131">
        <v>1</v>
      </c>
      <c r="M131">
        <v>0.05</v>
      </c>
      <c r="N131">
        <v>2316.1999999999998</v>
      </c>
      <c r="O131">
        <v>2200.39</v>
      </c>
      <c r="P131" t="s">
        <v>425</v>
      </c>
      <c r="Q131" t="s">
        <v>24</v>
      </c>
      <c r="R131" t="s">
        <v>1150</v>
      </c>
    </row>
    <row r="132" spans="1:18" x14ac:dyDescent="0.3">
      <c r="A132" t="s">
        <v>426</v>
      </c>
      <c r="B132" s="6">
        <v>45757</v>
      </c>
      <c r="C132" t="s">
        <v>124</v>
      </c>
      <c r="D132" t="s">
        <v>1112</v>
      </c>
      <c r="E132" t="s">
        <v>72</v>
      </c>
      <c r="F132" t="s">
        <v>919</v>
      </c>
      <c r="G132" t="s">
        <v>34</v>
      </c>
      <c r="H132" t="s">
        <v>1078</v>
      </c>
      <c r="I132" t="s">
        <v>917</v>
      </c>
      <c r="J132" t="s">
        <v>73</v>
      </c>
      <c r="K132">
        <v>2316.1999999999998</v>
      </c>
      <c r="L132">
        <v>2</v>
      </c>
      <c r="M132">
        <v>0.15</v>
      </c>
      <c r="N132">
        <v>4632.3999999999996</v>
      </c>
      <c r="O132">
        <v>3937.5399999999995</v>
      </c>
      <c r="P132" t="s">
        <v>428</v>
      </c>
      <c r="Q132" t="s">
        <v>24</v>
      </c>
      <c r="R132" t="s">
        <v>1150</v>
      </c>
    </row>
    <row r="133" spans="1:18" x14ac:dyDescent="0.3">
      <c r="A133" t="s">
        <v>429</v>
      </c>
      <c r="B133" s="6">
        <v>45633</v>
      </c>
      <c r="C133" t="s">
        <v>129</v>
      </c>
      <c r="D133" t="s">
        <v>1113</v>
      </c>
      <c r="E133" t="s">
        <v>249</v>
      </c>
      <c r="F133" t="s">
        <v>919</v>
      </c>
      <c r="G133" t="s">
        <v>34</v>
      </c>
      <c r="H133" t="s">
        <v>1078</v>
      </c>
      <c r="I133" t="s">
        <v>889</v>
      </c>
      <c r="J133" t="s">
        <v>15</v>
      </c>
      <c r="K133">
        <v>1309.58</v>
      </c>
      <c r="L133">
        <v>4</v>
      </c>
      <c r="M133">
        <v>0</v>
      </c>
      <c r="N133">
        <v>5238.32</v>
      </c>
      <c r="O133">
        <v>5238.32</v>
      </c>
      <c r="P133" t="s">
        <v>430</v>
      </c>
      <c r="Q133" t="s">
        <v>24</v>
      </c>
      <c r="R133" t="s">
        <v>1150</v>
      </c>
    </row>
    <row r="134" spans="1:18" x14ac:dyDescent="0.3">
      <c r="A134" t="s">
        <v>431</v>
      </c>
      <c r="B134" s="6">
        <v>45504</v>
      </c>
      <c r="C134" t="s">
        <v>53</v>
      </c>
      <c r="D134" t="s">
        <v>1047</v>
      </c>
      <c r="E134" t="s">
        <v>206</v>
      </c>
      <c r="F134" t="s">
        <v>893</v>
      </c>
      <c r="G134" t="s">
        <v>21</v>
      </c>
      <c r="H134" t="s">
        <v>1073</v>
      </c>
      <c r="I134" t="s">
        <v>882</v>
      </c>
      <c r="J134" t="s">
        <v>22</v>
      </c>
      <c r="K134">
        <v>2779.58</v>
      </c>
      <c r="L134">
        <v>10</v>
      </c>
      <c r="M134">
        <v>0</v>
      </c>
      <c r="N134">
        <v>27795.8</v>
      </c>
      <c r="O134">
        <v>27795.8</v>
      </c>
      <c r="P134" t="s">
        <v>433</v>
      </c>
      <c r="Q134" t="s">
        <v>60</v>
      </c>
      <c r="R134" t="s">
        <v>1150</v>
      </c>
    </row>
    <row r="135" spans="1:18" x14ac:dyDescent="0.3">
      <c r="A135" t="s">
        <v>434</v>
      </c>
      <c r="B135" s="6">
        <v>45294</v>
      </c>
      <c r="C135" t="s">
        <v>157</v>
      </c>
      <c r="D135" t="s">
        <v>1117</v>
      </c>
      <c r="E135" t="s">
        <v>377</v>
      </c>
      <c r="F135" t="s">
        <v>887</v>
      </c>
      <c r="G135" t="s">
        <v>45</v>
      </c>
      <c r="H135" t="s">
        <v>1096</v>
      </c>
      <c r="I135" t="s">
        <v>910</v>
      </c>
      <c r="J135" t="s">
        <v>15</v>
      </c>
      <c r="K135">
        <v>4703.04</v>
      </c>
      <c r="L135">
        <v>5</v>
      </c>
      <c r="M135">
        <v>0.2</v>
      </c>
      <c r="N135">
        <v>23515.200000000001</v>
      </c>
      <c r="O135">
        <v>18812.16</v>
      </c>
      <c r="P135" t="s">
        <v>435</v>
      </c>
      <c r="Q135" t="s">
        <v>42</v>
      </c>
      <c r="R135" t="s">
        <v>1150</v>
      </c>
    </row>
    <row r="136" spans="1:18" x14ac:dyDescent="0.3">
      <c r="A136" t="s">
        <v>436</v>
      </c>
      <c r="B136" s="6">
        <v>45548</v>
      </c>
      <c r="C136" t="s">
        <v>403</v>
      </c>
      <c r="D136" t="s">
        <v>1135</v>
      </c>
      <c r="E136" t="s">
        <v>153</v>
      </c>
      <c r="F136" t="s">
        <v>909</v>
      </c>
      <c r="G136" t="s">
        <v>34</v>
      </c>
      <c r="H136" t="s">
        <v>1078</v>
      </c>
      <c r="I136" t="s">
        <v>917</v>
      </c>
      <c r="J136" t="s">
        <v>15</v>
      </c>
      <c r="K136">
        <v>2128.4</v>
      </c>
      <c r="L136">
        <v>3</v>
      </c>
      <c r="M136">
        <v>0</v>
      </c>
      <c r="N136">
        <v>6385.2000000000007</v>
      </c>
      <c r="O136">
        <v>6385.2000000000007</v>
      </c>
      <c r="P136" t="s">
        <v>225</v>
      </c>
      <c r="Q136" t="s">
        <v>24</v>
      </c>
      <c r="R136" t="s">
        <v>1150</v>
      </c>
    </row>
    <row r="137" spans="1:18" x14ac:dyDescent="0.3">
      <c r="A137" t="s">
        <v>437</v>
      </c>
      <c r="B137" s="6">
        <v>45658</v>
      </c>
      <c r="C137" t="s">
        <v>171</v>
      </c>
      <c r="D137" t="s">
        <v>1010</v>
      </c>
      <c r="E137" t="s">
        <v>33</v>
      </c>
      <c r="F137" t="s">
        <v>916</v>
      </c>
      <c r="G137" t="s">
        <v>82</v>
      </c>
      <c r="H137" t="s">
        <v>1076</v>
      </c>
      <c r="I137" t="s">
        <v>931</v>
      </c>
      <c r="J137" t="s">
        <v>73</v>
      </c>
      <c r="K137">
        <v>620.89</v>
      </c>
      <c r="L137">
        <v>4</v>
      </c>
      <c r="M137">
        <v>0.1</v>
      </c>
      <c r="N137">
        <v>2483.56</v>
      </c>
      <c r="O137">
        <v>2235.2040000000002</v>
      </c>
      <c r="P137" t="s">
        <v>425</v>
      </c>
      <c r="Q137" t="s">
        <v>60</v>
      </c>
      <c r="R137" t="s">
        <v>1150</v>
      </c>
    </row>
    <row r="138" spans="1:18" x14ac:dyDescent="0.3">
      <c r="A138" t="s">
        <v>439</v>
      </c>
      <c r="B138" s="6">
        <v>45563</v>
      </c>
      <c r="C138" t="s">
        <v>253</v>
      </c>
      <c r="D138" t="s">
        <v>1044</v>
      </c>
      <c r="E138" t="s">
        <v>148</v>
      </c>
      <c r="F138" t="s">
        <v>932</v>
      </c>
      <c r="G138" t="s">
        <v>45</v>
      </c>
      <c r="H138" t="s">
        <v>1096</v>
      </c>
      <c r="I138" t="s">
        <v>931</v>
      </c>
      <c r="J138" t="s">
        <v>73</v>
      </c>
      <c r="K138">
        <v>3576.75</v>
      </c>
      <c r="L138">
        <v>1</v>
      </c>
      <c r="M138">
        <v>0</v>
      </c>
      <c r="N138">
        <v>3576.75</v>
      </c>
      <c r="O138">
        <v>3576.75</v>
      </c>
      <c r="P138" t="s">
        <v>441</v>
      </c>
      <c r="Q138" t="s">
        <v>24</v>
      </c>
      <c r="R138" t="s">
        <v>1150</v>
      </c>
    </row>
    <row r="139" spans="1:18" x14ac:dyDescent="0.3">
      <c r="A139" t="s">
        <v>442</v>
      </c>
      <c r="B139" s="6">
        <v>45779</v>
      </c>
      <c r="C139" t="s">
        <v>209</v>
      </c>
      <c r="D139" t="s">
        <v>966</v>
      </c>
      <c r="E139" t="s">
        <v>72</v>
      </c>
      <c r="F139" t="s">
        <v>933</v>
      </c>
      <c r="G139" t="s">
        <v>14</v>
      </c>
      <c r="H139" t="s">
        <v>1080</v>
      </c>
      <c r="I139" t="s">
        <v>917</v>
      </c>
      <c r="J139" t="s">
        <v>73</v>
      </c>
      <c r="K139">
        <v>2316.1999999999998</v>
      </c>
      <c r="L139">
        <v>8</v>
      </c>
      <c r="M139">
        <v>0.2</v>
      </c>
      <c r="N139">
        <v>18529.599999999999</v>
      </c>
      <c r="O139">
        <v>14823.68</v>
      </c>
      <c r="P139" t="s">
        <v>242</v>
      </c>
      <c r="Q139" t="s">
        <v>30</v>
      </c>
      <c r="R139" t="s">
        <v>1150</v>
      </c>
    </row>
    <row r="140" spans="1:18" x14ac:dyDescent="0.3">
      <c r="A140" t="s">
        <v>443</v>
      </c>
      <c r="B140" s="6">
        <v>45807</v>
      </c>
      <c r="C140" t="s">
        <v>190</v>
      </c>
      <c r="D140" t="s">
        <v>1119</v>
      </c>
      <c r="E140" t="s">
        <v>164</v>
      </c>
      <c r="F140" t="s">
        <v>919</v>
      </c>
      <c r="G140" t="s">
        <v>21</v>
      </c>
      <c r="H140" t="s">
        <v>1073</v>
      </c>
      <c r="I140" t="s">
        <v>917</v>
      </c>
      <c r="J140" t="s">
        <v>22</v>
      </c>
      <c r="K140">
        <v>2489.91</v>
      </c>
      <c r="L140">
        <v>4</v>
      </c>
      <c r="M140">
        <v>0.1</v>
      </c>
      <c r="N140">
        <v>9959.64</v>
      </c>
      <c r="O140">
        <v>8963.6759999999995</v>
      </c>
      <c r="P140" t="s">
        <v>445</v>
      </c>
      <c r="Q140" t="s">
        <v>30</v>
      </c>
      <c r="R140" t="s">
        <v>1150</v>
      </c>
    </row>
    <row r="141" spans="1:18" x14ac:dyDescent="0.3">
      <c r="A141" t="s">
        <v>446</v>
      </c>
      <c r="B141" s="6">
        <v>45323</v>
      </c>
      <c r="C141" t="s">
        <v>190</v>
      </c>
      <c r="D141" t="s">
        <v>1119</v>
      </c>
      <c r="E141" t="s">
        <v>400</v>
      </c>
      <c r="F141" t="s">
        <v>922</v>
      </c>
      <c r="G141" t="s">
        <v>45</v>
      </c>
      <c r="H141" t="s">
        <v>1096</v>
      </c>
      <c r="I141" t="s">
        <v>924</v>
      </c>
      <c r="J141" t="s">
        <v>35</v>
      </c>
      <c r="K141">
        <v>588.75</v>
      </c>
      <c r="L141">
        <v>1</v>
      </c>
      <c r="M141">
        <v>0.05</v>
      </c>
      <c r="N141">
        <v>588.75</v>
      </c>
      <c r="O141">
        <v>559.3125</v>
      </c>
      <c r="P141" t="s">
        <v>274</v>
      </c>
      <c r="Q141" t="s">
        <v>24</v>
      </c>
      <c r="R141" t="s">
        <v>1150</v>
      </c>
    </row>
    <row r="142" spans="1:18" x14ac:dyDescent="0.3">
      <c r="A142" t="s">
        <v>448</v>
      </c>
      <c r="B142" s="6">
        <v>45794</v>
      </c>
      <c r="C142" t="s">
        <v>12</v>
      </c>
      <c r="D142" t="s">
        <v>1103</v>
      </c>
      <c r="E142" t="s">
        <v>116</v>
      </c>
      <c r="F142" t="s">
        <v>923</v>
      </c>
      <c r="G142" t="s">
        <v>82</v>
      </c>
      <c r="H142" t="s">
        <v>1076</v>
      </c>
      <c r="I142" t="s">
        <v>889</v>
      </c>
      <c r="J142" t="s">
        <v>22</v>
      </c>
      <c r="K142">
        <v>1156.02</v>
      </c>
      <c r="L142">
        <v>8</v>
      </c>
      <c r="M142">
        <v>0</v>
      </c>
      <c r="N142">
        <v>9248.16</v>
      </c>
      <c r="O142">
        <v>9248.16</v>
      </c>
      <c r="P142" t="s">
        <v>449</v>
      </c>
      <c r="Q142" t="s">
        <v>42</v>
      </c>
      <c r="R142" t="s">
        <v>1150</v>
      </c>
    </row>
    <row r="143" spans="1:18" x14ac:dyDescent="0.3">
      <c r="A143" t="s">
        <v>450</v>
      </c>
      <c r="B143" s="6">
        <v>45443</v>
      </c>
      <c r="C143" t="s">
        <v>39</v>
      </c>
      <c r="D143" t="s">
        <v>990</v>
      </c>
      <c r="E143" t="s">
        <v>153</v>
      </c>
      <c r="F143" t="s">
        <v>892</v>
      </c>
      <c r="G143" t="s">
        <v>34</v>
      </c>
      <c r="H143" t="s">
        <v>1078</v>
      </c>
      <c r="I143" t="s">
        <v>917</v>
      </c>
      <c r="J143" t="s">
        <v>22</v>
      </c>
      <c r="K143">
        <v>2128.4</v>
      </c>
      <c r="L143">
        <v>2</v>
      </c>
      <c r="M143">
        <v>0</v>
      </c>
      <c r="N143">
        <v>4256.8</v>
      </c>
      <c r="O143">
        <v>4256.8</v>
      </c>
      <c r="P143" t="s">
        <v>368</v>
      </c>
      <c r="Q143" t="s">
        <v>30</v>
      </c>
      <c r="R143" t="s">
        <v>1150</v>
      </c>
    </row>
    <row r="144" spans="1:18" x14ac:dyDescent="0.3">
      <c r="A144" t="s">
        <v>451</v>
      </c>
      <c r="B144" s="6">
        <v>45835</v>
      </c>
      <c r="C144" t="s">
        <v>234</v>
      </c>
      <c r="D144" t="s">
        <v>1127</v>
      </c>
      <c r="E144" t="s">
        <v>77</v>
      </c>
      <c r="F144" t="s">
        <v>916</v>
      </c>
      <c r="G144" t="s">
        <v>34</v>
      </c>
      <c r="H144" t="s">
        <v>1078</v>
      </c>
      <c r="I144" t="s">
        <v>882</v>
      </c>
      <c r="J144" t="s">
        <v>35</v>
      </c>
      <c r="K144">
        <v>3550.89</v>
      </c>
      <c r="L144">
        <v>5</v>
      </c>
      <c r="M144">
        <v>0.05</v>
      </c>
      <c r="N144">
        <v>17754.45</v>
      </c>
      <c r="O144">
        <v>16866.727500000001</v>
      </c>
      <c r="P144" t="s">
        <v>452</v>
      </c>
      <c r="Q144" t="s">
        <v>24</v>
      </c>
      <c r="R144" t="s">
        <v>1150</v>
      </c>
    </row>
    <row r="145" spans="1:18" x14ac:dyDescent="0.3">
      <c r="A145" t="s">
        <v>453</v>
      </c>
      <c r="B145" s="6">
        <v>45409</v>
      </c>
      <c r="C145" t="s">
        <v>89</v>
      </c>
      <c r="D145" t="s">
        <v>1059</v>
      </c>
      <c r="E145" t="s">
        <v>454</v>
      </c>
      <c r="F145" t="s">
        <v>884</v>
      </c>
      <c r="G145" t="s">
        <v>14</v>
      </c>
      <c r="H145" t="s">
        <v>1080</v>
      </c>
      <c r="I145" t="s">
        <v>917</v>
      </c>
      <c r="J145" t="s">
        <v>35</v>
      </c>
      <c r="K145">
        <v>1253.57</v>
      </c>
      <c r="L145">
        <v>9</v>
      </c>
      <c r="M145">
        <v>0.15</v>
      </c>
      <c r="N145">
        <v>11282.13</v>
      </c>
      <c r="O145">
        <v>9589.8104999999996</v>
      </c>
      <c r="P145" t="s">
        <v>455</v>
      </c>
      <c r="Q145" t="s">
        <v>30</v>
      </c>
      <c r="R145" t="s">
        <v>1150</v>
      </c>
    </row>
    <row r="146" spans="1:18" x14ac:dyDescent="0.3">
      <c r="A146" t="s">
        <v>456</v>
      </c>
      <c r="B146" s="6">
        <v>45525</v>
      </c>
      <c r="C146" t="s">
        <v>66</v>
      </c>
      <c r="D146" t="s">
        <v>1108</v>
      </c>
      <c r="E146" t="s">
        <v>94</v>
      </c>
      <c r="F146" t="s">
        <v>921</v>
      </c>
      <c r="G146" t="s">
        <v>21</v>
      </c>
      <c r="H146" t="s">
        <v>1073</v>
      </c>
      <c r="I146" t="s">
        <v>931</v>
      </c>
      <c r="J146" t="s">
        <v>35</v>
      </c>
      <c r="K146">
        <v>3610.44</v>
      </c>
      <c r="L146">
        <v>7</v>
      </c>
      <c r="M146">
        <v>0</v>
      </c>
      <c r="N146">
        <v>25273.08</v>
      </c>
      <c r="O146">
        <v>25273.08</v>
      </c>
      <c r="P146" t="s">
        <v>457</v>
      </c>
      <c r="Q146" t="s">
        <v>30</v>
      </c>
      <c r="R146" t="s">
        <v>1150</v>
      </c>
    </row>
    <row r="147" spans="1:18" x14ac:dyDescent="0.3">
      <c r="A147" t="s">
        <v>458</v>
      </c>
      <c r="B147" s="6">
        <v>45389</v>
      </c>
      <c r="C147" t="s">
        <v>460</v>
      </c>
      <c r="D147" t="s">
        <v>1136</v>
      </c>
      <c r="E147" t="s">
        <v>145</v>
      </c>
      <c r="F147" t="s">
        <v>935</v>
      </c>
      <c r="G147" t="s">
        <v>21</v>
      </c>
      <c r="H147" t="s">
        <v>1073</v>
      </c>
      <c r="I147" t="s">
        <v>896</v>
      </c>
      <c r="J147" t="s">
        <v>22</v>
      </c>
      <c r="K147">
        <v>2612.71</v>
      </c>
      <c r="L147">
        <v>6</v>
      </c>
      <c r="M147">
        <v>0.05</v>
      </c>
      <c r="N147">
        <v>15676.26</v>
      </c>
      <c r="O147">
        <v>14892.447</v>
      </c>
      <c r="P147" t="s">
        <v>295</v>
      </c>
      <c r="Q147" t="s">
        <v>17</v>
      </c>
      <c r="R147" t="s">
        <v>1150</v>
      </c>
    </row>
    <row r="148" spans="1:18" x14ac:dyDescent="0.3">
      <c r="A148" t="s">
        <v>461</v>
      </c>
      <c r="B148" s="6">
        <v>45448</v>
      </c>
      <c r="C148" t="s">
        <v>462</v>
      </c>
      <c r="D148" t="s">
        <v>1137</v>
      </c>
      <c r="E148" t="s">
        <v>210</v>
      </c>
      <c r="F148" t="s">
        <v>900</v>
      </c>
      <c r="G148" t="s">
        <v>82</v>
      </c>
      <c r="H148" t="s">
        <v>1076</v>
      </c>
      <c r="I148" t="s">
        <v>910</v>
      </c>
      <c r="J148" t="s">
        <v>73</v>
      </c>
      <c r="K148">
        <v>1187.29</v>
      </c>
      <c r="L148">
        <v>8</v>
      </c>
      <c r="M148">
        <v>0</v>
      </c>
      <c r="N148">
        <v>9498.32</v>
      </c>
      <c r="O148">
        <v>9498.32</v>
      </c>
      <c r="P148" t="s">
        <v>352</v>
      </c>
      <c r="Q148" t="s">
        <v>24</v>
      </c>
      <c r="R148" t="s">
        <v>1150</v>
      </c>
    </row>
    <row r="149" spans="1:18" x14ac:dyDescent="0.3">
      <c r="A149" t="s">
        <v>463</v>
      </c>
      <c r="B149" s="6">
        <v>45734</v>
      </c>
      <c r="C149" t="s">
        <v>214</v>
      </c>
      <c r="D149" t="s">
        <v>1125</v>
      </c>
      <c r="E149" t="s">
        <v>465</v>
      </c>
      <c r="F149" t="s">
        <v>914</v>
      </c>
      <c r="G149" t="s">
        <v>21</v>
      </c>
      <c r="H149" t="s">
        <v>1073</v>
      </c>
      <c r="I149" t="s">
        <v>903</v>
      </c>
      <c r="J149" t="s">
        <v>15</v>
      </c>
      <c r="K149">
        <v>1140.8</v>
      </c>
      <c r="L149">
        <v>2</v>
      </c>
      <c r="M149">
        <v>0.15</v>
      </c>
      <c r="N149">
        <v>2281.6</v>
      </c>
      <c r="O149">
        <v>1939.36</v>
      </c>
      <c r="P149" t="s">
        <v>466</v>
      </c>
      <c r="Q149" t="s">
        <v>42</v>
      </c>
      <c r="R149" t="s">
        <v>1150</v>
      </c>
    </row>
    <row r="150" spans="1:18" x14ac:dyDescent="0.3">
      <c r="A150" t="s">
        <v>467</v>
      </c>
      <c r="B150" s="6">
        <v>45353</v>
      </c>
      <c r="C150" t="s">
        <v>171</v>
      </c>
      <c r="D150" t="s">
        <v>1010</v>
      </c>
      <c r="E150" t="s">
        <v>468</v>
      </c>
      <c r="F150" t="s">
        <v>908</v>
      </c>
      <c r="G150" t="s">
        <v>21</v>
      </c>
      <c r="H150" t="s">
        <v>1073</v>
      </c>
      <c r="I150" t="s">
        <v>924</v>
      </c>
      <c r="J150" t="s">
        <v>22</v>
      </c>
      <c r="K150">
        <v>2113.67</v>
      </c>
      <c r="L150">
        <v>10</v>
      </c>
      <c r="M150">
        <v>0.1</v>
      </c>
      <c r="N150">
        <v>21136.7</v>
      </c>
      <c r="O150">
        <v>19023.030000000002</v>
      </c>
      <c r="P150" t="s">
        <v>117</v>
      </c>
      <c r="Q150" t="s">
        <v>24</v>
      </c>
      <c r="R150" t="s">
        <v>1150</v>
      </c>
    </row>
    <row r="151" spans="1:18" x14ac:dyDescent="0.3">
      <c r="A151" t="s">
        <v>469</v>
      </c>
      <c r="B151" s="6">
        <v>45712</v>
      </c>
      <c r="C151" t="s">
        <v>115</v>
      </c>
      <c r="D151" t="s">
        <v>996</v>
      </c>
      <c r="E151" t="s">
        <v>94</v>
      </c>
      <c r="F151" t="s">
        <v>926</v>
      </c>
      <c r="G151" t="s">
        <v>82</v>
      </c>
      <c r="H151" t="s">
        <v>1076</v>
      </c>
      <c r="I151" t="s">
        <v>931</v>
      </c>
      <c r="J151" t="s">
        <v>73</v>
      </c>
      <c r="K151">
        <v>3610.44</v>
      </c>
      <c r="L151">
        <v>6</v>
      </c>
      <c r="M151">
        <v>0.2</v>
      </c>
      <c r="N151">
        <v>21662.639999999999</v>
      </c>
      <c r="O151">
        <v>17330.112000000001</v>
      </c>
      <c r="P151" t="s">
        <v>471</v>
      </c>
      <c r="Q151" t="s">
        <v>17</v>
      </c>
      <c r="R151" t="s">
        <v>1150</v>
      </c>
    </row>
    <row r="152" spans="1:18" x14ac:dyDescent="0.3">
      <c r="A152" t="s">
        <v>472</v>
      </c>
      <c r="B152" s="6">
        <v>45611</v>
      </c>
      <c r="C152" t="s">
        <v>356</v>
      </c>
      <c r="D152" t="s">
        <v>1133</v>
      </c>
      <c r="E152" t="s">
        <v>67</v>
      </c>
      <c r="F152" t="s">
        <v>935</v>
      </c>
      <c r="G152" t="s">
        <v>45</v>
      </c>
      <c r="H152" t="s">
        <v>1096</v>
      </c>
      <c r="I152" t="s">
        <v>924</v>
      </c>
      <c r="J152" t="s">
        <v>15</v>
      </c>
      <c r="K152">
        <v>3205.14</v>
      </c>
      <c r="L152">
        <v>6</v>
      </c>
      <c r="M152">
        <v>0</v>
      </c>
      <c r="N152">
        <v>19230.84</v>
      </c>
      <c r="O152">
        <v>19230.84</v>
      </c>
      <c r="P152" t="s">
        <v>48</v>
      </c>
      <c r="Q152" t="s">
        <v>60</v>
      </c>
      <c r="R152" t="s">
        <v>1150</v>
      </c>
    </row>
    <row r="153" spans="1:18" x14ac:dyDescent="0.3">
      <c r="A153" t="s">
        <v>473</v>
      </c>
      <c r="B153" s="6">
        <v>45785</v>
      </c>
      <c r="C153" t="s">
        <v>176</v>
      </c>
      <c r="D153" t="s">
        <v>1120</v>
      </c>
      <c r="E153" t="s">
        <v>260</v>
      </c>
      <c r="F153" t="s">
        <v>925</v>
      </c>
      <c r="G153" t="s">
        <v>82</v>
      </c>
      <c r="H153" t="s">
        <v>1076</v>
      </c>
      <c r="I153" t="s">
        <v>896</v>
      </c>
      <c r="J153" t="s">
        <v>22</v>
      </c>
      <c r="K153">
        <v>3981.64</v>
      </c>
      <c r="L153">
        <v>4</v>
      </c>
      <c r="M153">
        <v>0.2</v>
      </c>
      <c r="N153">
        <v>15926.56</v>
      </c>
      <c r="O153">
        <v>12741.248</v>
      </c>
      <c r="P153" t="s">
        <v>474</v>
      </c>
      <c r="Q153" t="s">
        <v>42</v>
      </c>
      <c r="R153" t="s">
        <v>1150</v>
      </c>
    </row>
    <row r="154" spans="1:18" x14ac:dyDescent="0.3">
      <c r="A154" t="s">
        <v>475</v>
      </c>
      <c r="B154" s="6">
        <v>45668</v>
      </c>
      <c r="C154" t="s">
        <v>476</v>
      </c>
      <c r="D154" t="s">
        <v>983</v>
      </c>
      <c r="E154" t="s">
        <v>67</v>
      </c>
      <c r="F154" t="s">
        <v>895</v>
      </c>
      <c r="G154" t="s">
        <v>21</v>
      </c>
      <c r="H154" t="s">
        <v>1073</v>
      </c>
      <c r="I154" t="s">
        <v>924</v>
      </c>
      <c r="J154" t="s">
        <v>15</v>
      </c>
      <c r="K154">
        <v>3205.14</v>
      </c>
      <c r="L154">
        <v>2</v>
      </c>
      <c r="M154">
        <v>0.2</v>
      </c>
      <c r="N154">
        <v>6410.28</v>
      </c>
      <c r="O154">
        <v>5128.2240000000002</v>
      </c>
      <c r="P154" t="s">
        <v>407</v>
      </c>
      <c r="Q154" t="s">
        <v>30</v>
      </c>
      <c r="R154" t="s">
        <v>1150</v>
      </c>
    </row>
    <row r="155" spans="1:18" x14ac:dyDescent="0.3">
      <c r="A155" t="s">
        <v>477</v>
      </c>
      <c r="B155" s="6">
        <v>45318</v>
      </c>
      <c r="C155" t="s">
        <v>462</v>
      </c>
      <c r="D155" t="s">
        <v>1137</v>
      </c>
      <c r="E155" t="s">
        <v>153</v>
      </c>
      <c r="F155" t="s">
        <v>925</v>
      </c>
      <c r="G155" t="s">
        <v>82</v>
      </c>
      <c r="H155" t="s">
        <v>1076</v>
      </c>
      <c r="I155" t="s">
        <v>917</v>
      </c>
      <c r="J155" t="s">
        <v>73</v>
      </c>
      <c r="K155">
        <v>2128.4</v>
      </c>
      <c r="L155">
        <v>10</v>
      </c>
      <c r="M155">
        <v>0.15</v>
      </c>
      <c r="N155">
        <v>21284</v>
      </c>
      <c r="O155">
        <v>18091.399999999998</v>
      </c>
      <c r="P155" t="s">
        <v>447</v>
      </c>
      <c r="Q155" t="s">
        <v>60</v>
      </c>
      <c r="R155" t="s">
        <v>1150</v>
      </c>
    </row>
    <row r="156" spans="1:18" x14ac:dyDescent="0.3">
      <c r="A156" t="s">
        <v>479</v>
      </c>
      <c r="B156" s="6">
        <v>45571</v>
      </c>
      <c r="C156" t="s">
        <v>356</v>
      </c>
      <c r="D156" t="s">
        <v>1133</v>
      </c>
      <c r="E156" t="s">
        <v>54</v>
      </c>
      <c r="F156" t="s">
        <v>916</v>
      </c>
      <c r="G156" t="s">
        <v>45</v>
      </c>
      <c r="H156" t="s">
        <v>1096</v>
      </c>
      <c r="I156" t="s">
        <v>889</v>
      </c>
      <c r="J156" t="s">
        <v>73</v>
      </c>
      <c r="K156">
        <v>3929.31</v>
      </c>
      <c r="L156">
        <v>5</v>
      </c>
      <c r="M156">
        <v>0</v>
      </c>
      <c r="N156">
        <v>19646.55</v>
      </c>
      <c r="O156">
        <v>19646.55</v>
      </c>
      <c r="P156" t="s">
        <v>195</v>
      </c>
      <c r="Q156" t="s">
        <v>60</v>
      </c>
      <c r="R156" t="s">
        <v>1150</v>
      </c>
    </row>
    <row r="157" spans="1:18" x14ac:dyDescent="0.3">
      <c r="A157" t="s">
        <v>481</v>
      </c>
      <c r="B157" s="6">
        <v>45438</v>
      </c>
      <c r="C157" t="s">
        <v>187</v>
      </c>
      <c r="D157" t="s">
        <v>1122</v>
      </c>
      <c r="E157" t="s">
        <v>81</v>
      </c>
      <c r="F157" t="s">
        <v>891</v>
      </c>
      <c r="G157" t="s">
        <v>82</v>
      </c>
      <c r="H157" t="s">
        <v>1076</v>
      </c>
      <c r="I157" t="s">
        <v>882</v>
      </c>
      <c r="J157" t="s">
        <v>73</v>
      </c>
      <c r="K157">
        <v>1044.7</v>
      </c>
      <c r="L157">
        <v>10</v>
      </c>
      <c r="M157">
        <v>0.15</v>
      </c>
      <c r="N157">
        <v>10447</v>
      </c>
      <c r="O157">
        <v>8879.9499999999989</v>
      </c>
      <c r="P157" t="s">
        <v>482</v>
      </c>
      <c r="Q157" t="s">
        <v>60</v>
      </c>
      <c r="R157" t="s">
        <v>1150</v>
      </c>
    </row>
    <row r="158" spans="1:18" x14ac:dyDescent="0.3">
      <c r="A158" t="s">
        <v>483</v>
      </c>
      <c r="B158" s="6">
        <v>45323</v>
      </c>
      <c r="C158" t="s">
        <v>89</v>
      </c>
      <c r="D158" t="s">
        <v>1059</v>
      </c>
      <c r="E158" t="s">
        <v>28</v>
      </c>
      <c r="F158" t="s">
        <v>886</v>
      </c>
      <c r="G158" t="s">
        <v>82</v>
      </c>
      <c r="H158" t="s">
        <v>1076</v>
      </c>
      <c r="I158" t="s">
        <v>896</v>
      </c>
      <c r="J158" t="s">
        <v>15</v>
      </c>
      <c r="K158">
        <v>733.33</v>
      </c>
      <c r="L158">
        <v>2</v>
      </c>
      <c r="M158">
        <v>0.15</v>
      </c>
      <c r="N158">
        <v>1466.66</v>
      </c>
      <c r="O158">
        <v>1246.6610000000001</v>
      </c>
      <c r="P158" t="s">
        <v>290</v>
      </c>
      <c r="Q158" t="s">
        <v>30</v>
      </c>
      <c r="R158" t="s">
        <v>1150</v>
      </c>
    </row>
    <row r="159" spans="1:18" x14ac:dyDescent="0.3">
      <c r="A159" t="s">
        <v>484</v>
      </c>
      <c r="B159" s="6">
        <v>45721</v>
      </c>
      <c r="C159" t="s">
        <v>168</v>
      </c>
      <c r="D159" t="s">
        <v>1119</v>
      </c>
      <c r="E159" t="s">
        <v>172</v>
      </c>
      <c r="F159" t="s">
        <v>897</v>
      </c>
      <c r="G159" t="s">
        <v>14</v>
      </c>
      <c r="H159" t="s">
        <v>1080</v>
      </c>
      <c r="I159" t="s">
        <v>896</v>
      </c>
      <c r="J159" t="s">
        <v>22</v>
      </c>
      <c r="K159">
        <v>2849.53</v>
      </c>
      <c r="L159">
        <v>8</v>
      </c>
      <c r="M159">
        <v>0</v>
      </c>
      <c r="N159">
        <v>22796.240000000002</v>
      </c>
      <c r="O159">
        <v>22796.240000000002</v>
      </c>
      <c r="P159" t="s">
        <v>486</v>
      </c>
      <c r="Q159" t="s">
        <v>17</v>
      </c>
      <c r="R159" t="s">
        <v>1150</v>
      </c>
    </row>
    <row r="160" spans="1:18" x14ac:dyDescent="0.3">
      <c r="A160" t="s">
        <v>487</v>
      </c>
      <c r="B160" s="6">
        <v>45624</v>
      </c>
      <c r="C160" t="s">
        <v>80</v>
      </c>
      <c r="D160" t="s">
        <v>1109</v>
      </c>
      <c r="E160" t="s">
        <v>90</v>
      </c>
      <c r="F160" t="s">
        <v>898</v>
      </c>
      <c r="G160" t="s">
        <v>14</v>
      </c>
      <c r="H160" t="s">
        <v>1080</v>
      </c>
      <c r="I160" t="s">
        <v>903</v>
      </c>
      <c r="J160" t="s">
        <v>73</v>
      </c>
      <c r="K160">
        <v>928.72</v>
      </c>
      <c r="L160">
        <v>10</v>
      </c>
      <c r="M160">
        <v>0.1</v>
      </c>
      <c r="N160">
        <v>9287.2000000000007</v>
      </c>
      <c r="O160">
        <v>8358.4800000000014</v>
      </c>
      <c r="P160" t="s">
        <v>488</v>
      </c>
      <c r="Q160" t="s">
        <v>60</v>
      </c>
      <c r="R160" t="s">
        <v>1150</v>
      </c>
    </row>
    <row r="161" spans="1:18" x14ac:dyDescent="0.3">
      <c r="A161" t="s">
        <v>489</v>
      </c>
      <c r="B161" s="6">
        <v>45453</v>
      </c>
      <c r="C161" t="s">
        <v>98</v>
      </c>
      <c r="D161" t="s">
        <v>1110</v>
      </c>
      <c r="E161" t="s">
        <v>145</v>
      </c>
      <c r="F161" t="s">
        <v>902</v>
      </c>
      <c r="G161" t="s">
        <v>14</v>
      </c>
      <c r="H161" t="s">
        <v>1080</v>
      </c>
      <c r="I161" t="s">
        <v>896</v>
      </c>
      <c r="J161" t="s">
        <v>22</v>
      </c>
      <c r="K161">
        <v>2612.71</v>
      </c>
      <c r="L161">
        <v>10</v>
      </c>
      <c r="M161">
        <v>0</v>
      </c>
      <c r="N161">
        <v>26127.1</v>
      </c>
      <c r="O161">
        <v>26127.1</v>
      </c>
      <c r="P161" t="s">
        <v>353</v>
      </c>
      <c r="Q161" t="s">
        <v>30</v>
      </c>
      <c r="R161" t="s">
        <v>1150</v>
      </c>
    </row>
    <row r="162" spans="1:18" x14ac:dyDescent="0.3">
      <c r="A162" t="s">
        <v>490</v>
      </c>
      <c r="B162" s="6">
        <v>45726</v>
      </c>
      <c r="C162" t="s">
        <v>291</v>
      </c>
      <c r="D162" t="s">
        <v>1131</v>
      </c>
      <c r="E162" t="s">
        <v>40</v>
      </c>
      <c r="F162" t="s">
        <v>900</v>
      </c>
      <c r="G162" t="s">
        <v>34</v>
      </c>
      <c r="H162" t="s">
        <v>1078</v>
      </c>
      <c r="I162" t="s">
        <v>924</v>
      </c>
      <c r="J162" t="s">
        <v>35</v>
      </c>
      <c r="K162">
        <v>136.91</v>
      </c>
      <c r="L162">
        <v>8</v>
      </c>
      <c r="M162">
        <v>0.1</v>
      </c>
      <c r="N162">
        <v>1095.28</v>
      </c>
      <c r="O162">
        <v>985.75199999999995</v>
      </c>
      <c r="P162" t="s">
        <v>464</v>
      </c>
      <c r="Q162" t="s">
        <v>17</v>
      </c>
      <c r="R162" t="s">
        <v>1150</v>
      </c>
    </row>
    <row r="163" spans="1:18" x14ac:dyDescent="0.3">
      <c r="A163" t="s">
        <v>491</v>
      </c>
      <c r="B163" s="6">
        <v>45512</v>
      </c>
      <c r="C163" t="s">
        <v>253</v>
      </c>
      <c r="D163" t="s">
        <v>1044</v>
      </c>
      <c r="E163" t="s">
        <v>20</v>
      </c>
      <c r="F163" t="s">
        <v>928</v>
      </c>
      <c r="G163" t="s">
        <v>21</v>
      </c>
      <c r="H163" t="s">
        <v>1073</v>
      </c>
      <c r="I163" t="s">
        <v>896</v>
      </c>
      <c r="J163" t="s">
        <v>35</v>
      </c>
      <c r="K163">
        <v>3772.12</v>
      </c>
      <c r="L163">
        <v>9</v>
      </c>
      <c r="M163">
        <v>0</v>
      </c>
      <c r="N163">
        <v>33949.08</v>
      </c>
      <c r="O163">
        <v>33949.08</v>
      </c>
      <c r="P163" t="s">
        <v>217</v>
      </c>
      <c r="Q163" t="s">
        <v>24</v>
      </c>
      <c r="R163" t="s">
        <v>1150</v>
      </c>
    </row>
    <row r="164" spans="1:18" x14ac:dyDescent="0.3">
      <c r="A164" t="s">
        <v>492</v>
      </c>
      <c r="B164" s="6">
        <v>45582</v>
      </c>
      <c r="C164" t="s">
        <v>120</v>
      </c>
      <c r="D164" t="s">
        <v>993</v>
      </c>
      <c r="E164" t="s">
        <v>249</v>
      </c>
      <c r="F164" t="s">
        <v>899</v>
      </c>
      <c r="G164" t="s">
        <v>82</v>
      </c>
      <c r="H164" t="s">
        <v>1076</v>
      </c>
      <c r="I164" t="s">
        <v>889</v>
      </c>
      <c r="J164" t="s">
        <v>22</v>
      </c>
      <c r="K164">
        <v>1309.58</v>
      </c>
      <c r="L164">
        <v>10</v>
      </c>
      <c r="M164">
        <v>0.05</v>
      </c>
      <c r="N164">
        <v>13095.8</v>
      </c>
      <c r="O164">
        <v>12441.009999999998</v>
      </c>
      <c r="P164" t="s">
        <v>335</v>
      </c>
      <c r="Q164" t="s">
        <v>24</v>
      </c>
      <c r="R164" t="s">
        <v>1150</v>
      </c>
    </row>
    <row r="165" spans="1:18" x14ac:dyDescent="0.3">
      <c r="A165" t="s">
        <v>493</v>
      </c>
      <c r="B165" s="6">
        <v>45517</v>
      </c>
      <c r="C165" t="s">
        <v>19</v>
      </c>
      <c r="D165" t="s">
        <v>1104</v>
      </c>
      <c r="E165" t="s">
        <v>249</v>
      </c>
      <c r="F165" t="s">
        <v>893</v>
      </c>
      <c r="G165" t="s">
        <v>21</v>
      </c>
      <c r="H165" t="s">
        <v>1073</v>
      </c>
      <c r="I165" t="s">
        <v>889</v>
      </c>
      <c r="J165" t="s">
        <v>73</v>
      </c>
      <c r="K165">
        <v>1309.58</v>
      </c>
      <c r="L165">
        <v>7</v>
      </c>
      <c r="M165">
        <v>0.1</v>
      </c>
      <c r="N165">
        <v>9167.06</v>
      </c>
      <c r="O165">
        <v>8250.3539999999994</v>
      </c>
      <c r="P165" t="s">
        <v>217</v>
      </c>
      <c r="Q165" t="s">
        <v>60</v>
      </c>
      <c r="R165" t="s">
        <v>1150</v>
      </c>
    </row>
    <row r="166" spans="1:18" x14ac:dyDescent="0.3">
      <c r="A166" t="s">
        <v>495</v>
      </c>
      <c r="B166" s="6">
        <v>45600</v>
      </c>
      <c r="C166" t="s">
        <v>102</v>
      </c>
      <c r="D166" t="s">
        <v>1111</v>
      </c>
      <c r="E166" t="s">
        <v>254</v>
      </c>
      <c r="F166" t="s">
        <v>893</v>
      </c>
      <c r="G166" t="s">
        <v>45</v>
      </c>
      <c r="H166" t="s">
        <v>1096</v>
      </c>
      <c r="I166" t="s">
        <v>917</v>
      </c>
      <c r="J166" t="s">
        <v>22</v>
      </c>
      <c r="K166">
        <v>605.26</v>
      </c>
      <c r="L166">
        <v>4</v>
      </c>
      <c r="M166">
        <v>0.2</v>
      </c>
      <c r="N166">
        <v>2421.04</v>
      </c>
      <c r="O166">
        <v>1936.8320000000001</v>
      </c>
      <c r="P166" t="s">
        <v>252</v>
      </c>
      <c r="Q166" t="s">
        <v>17</v>
      </c>
      <c r="R166" t="s">
        <v>1150</v>
      </c>
    </row>
    <row r="167" spans="1:18" x14ac:dyDescent="0.3">
      <c r="A167" t="s">
        <v>497</v>
      </c>
      <c r="B167" s="6">
        <v>45627</v>
      </c>
      <c r="C167" t="s">
        <v>89</v>
      </c>
      <c r="D167" t="s">
        <v>1059</v>
      </c>
      <c r="E167" t="s">
        <v>400</v>
      </c>
      <c r="F167" t="s">
        <v>918</v>
      </c>
      <c r="G167" t="s">
        <v>14</v>
      </c>
      <c r="H167" t="s">
        <v>1080</v>
      </c>
      <c r="I167" t="s">
        <v>924</v>
      </c>
      <c r="J167" t="s">
        <v>35</v>
      </c>
      <c r="K167">
        <v>588.75</v>
      </c>
      <c r="L167">
        <v>2</v>
      </c>
      <c r="M167">
        <v>0</v>
      </c>
      <c r="N167">
        <v>1177.5</v>
      </c>
      <c r="O167">
        <v>1177.5</v>
      </c>
      <c r="P167" t="s">
        <v>57</v>
      </c>
      <c r="Q167" t="s">
        <v>60</v>
      </c>
      <c r="R167" t="s">
        <v>1150</v>
      </c>
    </row>
    <row r="168" spans="1:18" x14ac:dyDescent="0.3">
      <c r="A168" t="s">
        <v>498</v>
      </c>
      <c r="B168" s="6">
        <v>45424</v>
      </c>
      <c r="C168" t="s">
        <v>253</v>
      </c>
      <c r="D168" t="s">
        <v>1044</v>
      </c>
      <c r="E168" t="s">
        <v>121</v>
      </c>
      <c r="F168" t="s">
        <v>923</v>
      </c>
      <c r="G168" t="s">
        <v>82</v>
      </c>
      <c r="H168" t="s">
        <v>1076</v>
      </c>
      <c r="I168" t="s">
        <v>903</v>
      </c>
      <c r="J168" t="s">
        <v>22</v>
      </c>
      <c r="K168">
        <v>3414.07</v>
      </c>
      <c r="L168">
        <v>7</v>
      </c>
      <c r="M168">
        <v>0.1</v>
      </c>
      <c r="N168">
        <v>23898.49</v>
      </c>
      <c r="O168">
        <v>21508.641000000003</v>
      </c>
      <c r="P168" t="s">
        <v>499</v>
      </c>
      <c r="Q168" t="s">
        <v>24</v>
      </c>
      <c r="R168" t="s">
        <v>1150</v>
      </c>
    </row>
    <row r="169" spans="1:18" x14ac:dyDescent="0.3">
      <c r="A169" t="s">
        <v>500</v>
      </c>
      <c r="B169" s="6">
        <v>45698</v>
      </c>
      <c r="C169" t="s">
        <v>502</v>
      </c>
      <c r="D169" t="s">
        <v>1138</v>
      </c>
      <c r="E169" t="s">
        <v>377</v>
      </c>
      <c r="F169" t="s">
        <v>906</v>
      </c>
      <c r="G169" t="s">
        <v>45</v>
      </c>
      <c r="H169" t="s">
        <v>1096</v>
      </c>
      <c r="I169" t="s">
        <v>910</v>
      </c>
      <c r="J169" t="s">
        <v>35</v>
      </c>
      <c r="K169">
        <v>4703.04</v>
      </c>
      <c r="L169">
        <v>1</v>
      </c>
      <c r="M169">
        <v>0.05</v>
      </c>
      <c r="N169">
        <v>4703.04</v>
      </c>
      <c r="O169">
        <v>4467.8879999999999</v>
      </c>
      <c r="P169" t="s">
        <v>355</v>
      </c>
      <c r="Q169" t="s">
        <v>24</v>
      </c>
      <c r="R169" t="s">
        <v>1150</v>
      </c>
    </row>
    <row r="170" spans="1:18" x14ac:dyDescent="0.3">
      <c r="A170" t="s">
        <v>503</v>
      </c>
      <c r="B170" s="6">
        <v>45612</v>
      </c>
      <c r="C170" t="s">
        <v>157</v>
      </c>
      <c r="D170" t="s">
        <v>1117</v>
      </c>
      <c r="E170" t="s">
        <v>172</v>
      </c>
      <c r="F170" t="s">
        <v>909</v>
      </c>
      <c r="G170" t="s">
        <v>45</v>
      </c>
      <c r="H170" t="s">
        <v>1096</v>
      </c>
      <c r="I170" t="s">
        <v>896</v>
      </c>
      <c r="J170" t="s">
        <v>35</v>
      </c>
      <c r="K170">
        <v>2849.53</v>
      </c>
      <c r="L170">
        <v>10</v>
      </c>
      <c r="M170">
        <v>0.05</v>
      </c>
      <c r="N170">
        <v>28495.300000000003</v>
      </c>
      <c r="O170">
        <v>27070.535</v>
      </c>
      <c r="P170" t="s">
        <v>505</v>
      </c>
      <c r="Q170" t="s">
        <v>30</v>
      </c>
      <c r="R170" t="s">
        <v>1150</v>
      </c>
    </row>
    <row r="171" spans="1:18" x14ac:dyDescent="0.3">
      <c r="A171" t="s">
        <v>506</v>
      </c>
      <c r="B171" s="6">
        <v>45588</v>
      </c>
      <c r="C171" t="s">
        <v>12</v>
      </c>
      <c r="D171" t="s">
        <v>1103</v>
      </c>
      <c r="E171" t="s">
        <v>300</v>
      </c>
      <c r="F171" t="s">
        <v>898</v>
      </c>
      <c r="G171" t="s">
        <v>82</v>
      </c>
      <c r="H171" t="s">
        <v>1076</v>
      </c>
      <c r="I171" t="s">
        <v>896</v>
      </c>
      <c r="J171" t="s">
        <v>22</v>
      </c>
      <c r="K171">
        <v>4174.32</v>
      </c>
      <c r="L171">
        <v>2</v>
      </c>
      <c r="M171">
        <v>0.05</v>
      </c>
      <c r="N171">
        <v>8348.64</v>
      </c>
      <c r="O171">
        <v>7931.2079999999987</v>
      </c>
      <c r="P171" t="s">
        <v>507</v>
      </c>
      <c r="Q171" t="s">
        <v>60</v>
      </c>
      <c r="R171" t="s">
        <v>1150</v>
      </c>
    </row>
    <row r="172" spans="1:18" x14ac:dyDescent="0.3">
      <c r="A172" t="s">
        <v>508</v>
      </c>
      <c r="B172" s="6">
        <v>45763</v>
      </c>
      <c r="C172" t="s">
        <v>311</v>
      </c>
      <c r="D172" t="s">
        <v>1132</v>
      </c>
      <c r="E172" t="s">
        <v>161</v>
      </c>
      <c r="F172" t="s">
        <v>901</v>
      </c>
      <c r="G172" t="s">
        <v>82</v>
      </c>
      <c r="H172" t="s">
        <v>1076</v>
      </c>
      <c r="I172" t="s">
        <v>903</v>
      </c>
      <c r="J172" t="s">
        <v>73</v>
      </c>
      <c r="K172">
        <v>1513.99</v>
      </c>
      <c r="L172">
        <v>6</v>
      </c>
      <c r="M172">
        <v>0</v>
      </c>
      <c r="N172">
        <v>9083.94</v>
      </c>
      <c r="O172">
        <v>9083.94</v>
      </c>
      <c r="P172" t="s">
        <v>510</v>
      </c>
      <c r="Q172" t="s">
        <v>60</v>
      </c>
      <c r="R172" t="s">
        <v>1150</v>
      </c>
    </row>
    <row r="173" spans="1:18" x14ac:dyDescent="0.3">
      <c r="A173" t="s">
        <v>511</v>
      </c>
      <c r="B173" s="6">
        <v>45738</v>
      </c>
      <c r="C173" t="s">
        <v>144</v>
      </c>
      <c r="D173" t="s">
        <v>1116</v>
      </c>
      <c r="E173" t="s">
        <v>161</v>
      </c>
      <c r="F173" t="s">
        <v>905</v>
      </c>
      <c r="G173" t="s">
        <v>21</v>
      </c>
      <c r="H173" t="s">
        <v>1073</v>
      </c>
      <c r="I173" t="s">
        <v>903</v>
      </c>
      <c r="J173" t="s">
        <v>73</v>
      </c>
      <c r="K173">
        <v>1513.99</v>
      </c>
      <c r="L173">
        <v>10</v>
      </c>
      <c r="M173">
        <v>0.05</v>
      </c>
      <c r="N173">
        <v>15139.9</v>
      </c>
      <c r="O173">
        <v>14382.904999999999</v>
      </c>
      <c r="P173" t="s">
        <v>16</v>
      </c>
      <c r="Q173" t="s">
        <v>30</v>
      </c>
      <c r="R173" t="s">
        <v>1150</v>
      </c>
    </row>
    <row r="174" spans="1:18" x14ac:dyDescent="0.3">
      <c r="A174" t="s">
        <v>512</v>
      </c>
      <c r="B174" s="6">
        <v>45609</v>
      </c>
      <c r="C174" t="s">
        <v>157</v>
      </c>
      <c r="D174" t="s">
        <v>1117</v>
      </c>
      <c r="E174" t="s">
        <v>81</v>
      </c>
      <c r="F174" t="s">
        <v>905</v>
      </c>
      <c r="G174" t="s">
        <v>14</v>
      </c>
      <c r="H174" t="s">
        <v>1080</v>
      </c>
      <c r="I174" t="s">
        <v>882</v>
      </c>
      <c r="J174" t="s">
        <v>15</v>
      </c>
      <c r="K174">
        <v>1044.7</v>
      </c>
      <c r="L174">
        <v>6</v>
      </c>
      <c r="M174">
        <v>0</v>
      </c>
      <c r="N174">
        <v>6268.2000000000007</v>
      </c>
      <c r="O174">
        <v>6268.2000000000007</v>
      </c>
      <c r="P174" t="s">
        <v>513</v>
      </c>
      <c r="Q174" t="s">
        <v>24</v>
      </c>
      <c r="R174" t="s">
        <v>1150</v>
      </c>
    </row>
    <row r="175" spans="1:18" x14ac:dyDescent="0.3">
      <c r="A175" t="s">
        <v>514</v>
      </c>
      <c r="B175" s="6">
        <v>45814</v>
      </c>
      <c r="C175" t="s">
        <v>460</v>
      </c>
      <c r="D175" t="s">
        <v>1136</v>
      </c>
      <c r="E175" t="s">
        <v>90</v>
      </c>
      <c r="F175" t="s">
        <v>886</v>
      </c>
      <c r="G175" t="s">
        <v>14</v>
      </c>
      <c r="H175" t="s">
        <v>1080</v>
      </c>
      <c r="I175" t="s">
        <v>903</v>
      </c>
      <c r="J175" t="s">
        <v>15</v>
      </c>
      <c r="K175">
        <v>928.72</v>
      </c>
      <c r="L175">
        <v>2</v>
      </c>
      <c r="M175">
        <v>0.1</v>
      </c>
      <c r="N175">
        <v>1857.44</v>
      </c>
      <c r="O175">
        <v>1671.6960000000001</v>
      </c>
      <c r="P175" t="s">
        <v>515</v>
      </c>
      <c r="Q175" t="s">
        <v>17</v>
      </c>
      <c r="R175" t="s">
        <v>1150</v>
      </c>
    </row>
    <row r="176" spans="1:18" x14ac:dyDescent="0.3">
      <c r="A176" t="s">
        <v>516</v>
      </c>
      <c r="B176" s="6">
        <v>45651</v>
      </c>
      <c r="C176" t="s">
        <v>311</v>
      </c>
      <c r="D176" t="s">
        <v>1132</v>
      </c>
      <c r="E176" t="s">
        <v>40</v>
      </c>
      <c r="F176" t="s">
        <v>902</v>
      </c>
      <c r="G176" t="s">
        <v>34</v>
      </c>
      <c r="H176" t="s">
        <v>1078</v>
      </c>
      <c r="I176" t="s">
        <v>924</v>
      </c>
      <c r="J176" t="s">
        <v>15</v>
      </c>
      <c r="K176">
        <v>136.91</v>
      </c>
      <c r="L176">
        <v>3</v>
      </c>
      <c r="M176">
        <v>0</v>
      </c>
      <c r="N176">
        <v>410.73</v>
      </c>
      <c r="O176">
        <v>410.73</v>
      </c>
      <c r="P176" t="s">
        <v>517</v>
      </c>
      <c r="Q176" t="s">
        <v>17</v>
      </c>
      <c r="R176" t="s">
        <v>1150</v>
      </c>
    </row>
    <row r="177" spans="1:18" x14ac:dyDescent="0.3">
      <c r="A177" t="s">
        <v>518</v>
      </c>
      <c r="B177" s="6">
        <v>45494</v>
      </c>
      <c r="C177" t="s">
        <v>168</v>
      </c>
      <c r="D177" t="s">
        <v>1119</v>
      </c>
      <c r="E177" t="s">
        <v>33</v>
      </c>
      <c r="F177" t="s">
        <v>928</v>
      </c>
      <c r="G177" t="s">
        <v>21</v>
      </c>
      <c r="H177" t="s">
        <v>1073</v>
      </c>
      <c r="I177" t="s">
        <v>931</v>
      </c>
      <c r="J177" t="s">
        <v>73</v>
      </c>
      <c r="K177">
        <v>620.89</v>
      </c>
      <c r="L177">
        <v>3</v>
      </c>
      <c r="M177">
        <v>0.1</v>
      </c>
      <c r="N177">
        <v>1862.67</v>
      </c>
      <c r="O177">
        <v>1676.403</v>
      </c>
      <c r="P177" t="s">
        <v>520</v>
      </c>
      <c r="Q177" t="s">
        <v>60</v>
      </c>
      <c r="R177" t="s">
        <v>1150</v>
      </c>
    </row>
    <row r="178" spans="1:18" x14ac:dyDescent="0.3">
      <c r="A178" t="s">
        <v>521</v>
      </c>
      <c r="B178" s="6">
        <v>45797</v>
      </c>
      <c r="C178" t="s">
        <v>291</v>
      </c>
      <c r="D178" t="s">
        <v>1131</v>
      </c>
      <c r="E178" t="s">
        <v>130</v>
      </c>
      <c r="F178" t="s">
        <v>932</v>
      </c>
      <c r="G178" t="s">
        <v>82</v>
      </c>
      <c r="H178" t="s">
        <v>1076</v>
      </c>
      <c r="I178" t="s">
        <v>910</v>
      </c>
      <c r="J178" t="s">
        <v>35</v>
      </c>
      <c r="K178">
        <v>3128.51</v>
      </c>
      <c r="L178">
        <v>8</v>
      </c>
      <c r="M178">
        <v>0.2</v>
      </c>
      <c r="N178">
        <v>25028.080000000002</v>
      </c>
      <c r="O178">
        <v>20022.464000000004</v>
      </c>
      <c r="P178" t="s">
        <v>444</v>
      </c>
      <c r="Q178" t="s">
        <v>42</v>
      </c>
      <c r="R178" t="s">
        <v>1150</v>
      </c>
    </row>
    <row r="179" spans="1:18" x14ac:dyDescent="0.3">
      <c r="A179" t="s">
        <v>522</v>
      </c>
      <c r="B179" s="6">
        <v>45622</v>
      </c>
      <c r="C179" t="s">
        <v>460</v>
      </c>
      <c r="D179" t="s">
        <v>1136</v>
      </c>
      <c r="E179" t="s">
        <v>50</v>
      </c>
      <c r="F179" t="s">
        <v>912</v>
      </c>
      <c r="G179" t="s">
        <v>82</v>
      </c>
      <c r="H179" t="s">
        <v>1076</v>
      </c>
      <c r="I179" t="s">
        <v>931</v>
      </c>
      <c r="J179" t="s">
        <v>73</v>
      </c>
      <c r="K179">
        <v>2041.83</v>
      </c>
      <c r="L179">
        <v>6</v>
      </c>
      <c r="M179">
        <v>0</v>
      </c>
      <c r="N179">
        <v>12250.98</v>
      </c>
      <c r="O179">
        <v>12250.98</v>
      </c>
      <c r="P179" t="s">
        <v>222</v>
      </c>
      <c r="Q179" t="s">
        <v>30</v>
      </c>
      <c r="R179" t="s">
        <v>1150</v>
      </c>
    </row>
    <row r="180" spans="1:18" x14ac:dyDescent="0.3">
      <c r="A180" t="s">
        <v>523</v>
      </c>
      <c r="B180" s="6">
        <v>45744</v>
      </c>
      <c r="C180" t="s">
        <v>462</v>
      </c>
      <c r="D180" t="s">
        <v>1137</v>
      </c>
      <c r="E180" t="s">
        <v>145</v>
      </c>
      <c r="F180" t="s">
        <v>936</v>
      </c>
      <c r="G180" t="s">
        <v>14</v>
      </c>
      <c r="H180" t="s">
        <v>1080</v>
      </c>
      <c r="I180" t="s">
        <v>896</v>
      </c>
      <c r="J180" t="s">
        <v>73</v>
      </c>
      <c r="K180">
        <v>2612.71</v>
      </c>
      <c r="L180">
        <v>5</v>
      </c>
      <c r="M180">
        <v>0.2</v>
      </c>
      <c r="N180">
        <v>13063.55</v>
      </c>
      <c r="O180">
        <v>10450.84</v>
      </c>
      <c r="P180" t="s">
        <v>337</v>
      </c>
      <c r="Q180" t="s">
        <v>17</v>
      </c>
      <c r="R180" t="s">
        <v>1150</v>
      </c>
    </row>
    <row r="181" spans="1:18" x14ac:dyDescent="0.3">
      <c r="A181" t="s">
        <v>524</v>
      </c>
      <c r="B181" s="6">
        <v>45811</v>
      </c>
      <c r="C181" t="s">
        <v>168</v>
      </c>
      <c r="D181" t="s">
        <v>1119</v>
      </c>
      <c r="E181" t="s">
        <v>99</v>
      </c>
      <c r="F181" t="s">
        <v>900</v>
      </c>
      <c r="G181" t="s">
        <v>21</v>
      </c>
      <c r="H181" t="s">
        <v>1073</v>
      </c>
      <c r="I181" t="s">
        <v>882</v>
      </c>
      <c r="J181" t="s">
        <v>35</v>
      </c>
      <c r="K181">
        <v>2352.63</v>
      </c>
      <c r="L181">
        <v>2</v>
      </c>
      <c r="M181">
        <v>0</v>
      </c>
      <c r="N181">
        <v>4705.26</v>
      </c>
      <c r="O181">
        <v>4705.26</v>
      </c>
      <c r="P181" t="s">
        <v>526</v>
      </c>
      <c r="Q181" t="s">
        <v>24</v>
      </c>
      <c r="R181" t="s">
        <v>1150</v>
      </c>
    </row>
    <row r="182" spans="1:18" x14ac:dyDescent="0.3">
      <c r="A182" t="s">
        <v>527</v>
      </c>
      <c r="B182" s="6">
        <v>45350</v>
      </c>
      <c r="C182" t="s">
        <v>105</v>
      </c>
      <c r="D182" t="s">
        <v>941</v>
      </c>
      <c r="E182" t="s">
        <v>254</v>
      </c>
      <c r="F182" t="s">
        <v>881</v>
      </c>
      <c r="G182" t="s">
        <v>34</v>
      </c>
      <c r="H182" t="s">
        <v>1078</v>
      </c>
      <c r="I182" t="s">
        <v>917</v>
      </c>
      <c r="J182" t="s">
        <v>73</v>
      </c>
      <c r="K182">
        <v>605.26</v>
      </c>
      <c r="L182">
        <v>6</v>
      </c>
      <c r="M182">
        <v>0.2</v>
      </c>
      <c r="N182">
        <v>3631.56</v>
      </c>
      <c r="O182">
        <v>2905.248</v>
      </c>
      <c r="P182" t="s">
        <v>114</v>
      </c>
      <c r="Q182" t="s">
        <v>24</v>
      </c>
      <c r="R182" t="s">
        <v>1150</v>
      </c>
    </row>
    <row r="183" spans="1:18" x14ac:dyDescent="0.3">
      <c r="A183" t="s">
        <v>529</v>
      </c>
      <c r="B183" s="6">
        <v>45811</v>
      </c>
      <c r="C183" t="s">
        <v>476</v>
      </c>
      <c r="D183" t="s">
        <v>983</v>
      </c>
      <c r="E183" t="s">
        <v>345</v>
      </c>
      <c r="F183" t="s">
        <v>918</v>
      </c>
      <c r="G183" t="s">
        <v>34</v>
      </c>
      <c r="H183" t="s">
        <v>1078</v>
      </c>
      <c r="I183" t="s">
        <v>924</v>
      </c>
      <c r="J183" t="s">
        <v>73</v>
      </c>
      <c r="K183">
        <v>1212.79</v>
      </c>
      <c r="L183">
        <v>7</v>
      </c>
      <c r="M183">
        <v>0.05</v>
      </c>
      <c r="N183">
        <v>8489.5299999999988</v>
      </c>
      <c r="O183">
        <v>8065.0534999999982</v>
      </c>
      <c r="P183" t="s">
        <v>530</v>
      </c>
      <c r="Q183" t="s">
        <v>30</v>
      </c>
      <c r="R183" t="s">
        <v>1150</v>
      </c>
    </row>
    <row r="184" spans="1:18" x14ac:dyDescent="0.3">
      <c r="A184" t="s">
        <v>531</v>
      </c>
      <c r="B184" s="6">
        <v>45484</v>
      </c>
      <c r="C184" t="s">
        <v>234</v>
      </c>
      <c r="D184" t="s">
        <v>1127</v>
      </c>
      <c r="E184" t="s">
        <v>164</v>
      </c>
      <c r="F184" t="s">
        <v>927</v>
      </c>
      <c r="G184" t="s">
        <v>45</v>
      </c>
      <c r="H184" t="s">
        <v>1096</v>
      </c>
      <c r="I184" t="s">
        <v>917</v>
      </c>
      <c r="J184" t="s">
        <v>15</v>
      </c>
      <c r="K184">
        <v>2489.91</v>
      </c>
      <c r="L184">
        <v>6</v>
      </c>
      <c r="M184">
        <v>0.1</v>
      </c>
      <c r="N184">
        <v>14939.46</v>
      </c>
      <c r="O184">
        <v>13445.513999999999</v>
      </c>
      <c r="P184" t="s">
        <v>532</v>
      </c>
      <c r="Q184" t="s">
        <v>24</v>
      </c>
      <c r="R184" t="s">
        <v>1150</v>
      </c>
    </row>
    <row r="185" spans="1:18" x14ac:dyDescent="0.3">
      <c r="A185" t="s">
        <v>533</v>
      </c>
      <c r="B185" s="6">
        <v>45753</v>
      </c>
      <c r="C185" t="s">
        <v>171</v>
      </c>
      <c r="D185" t="s">
        <v>1010</v>
      </c>
      <c r="E185" t="s">
        <v>316</v>
      </c>
      <c r="F185" t="s">
        <v>922</v>
      </c>
      <c r="G185" t="s">
        <v>14</v>
      </c>
      <c r="H185" t="s">
        <v>1080</v>
      </c>
      <c r="I185" t="s">
        <v>903</v>
      </c>
      <c r="J185" t="s">
        <v>73</v>
      </c>
      <c r="K185">
        <v>2405.98</v>
      </c>
      <c r="L185">
        <v>2</v>
      </c>
      <c r="M185">
        <v>0.2</v>
      </c>
      <c r="N185">
        <v>4811.96</v>
      </c>
      <c r="O185">
        <v>3849.5680000000002</v>
      </c>
      <c r="P185" t="s">
        <v>379</v>
      </c>
      <c r="Q185" t="s">
        <v>42</v>
      </c>
      <c r="R185" t="s">
        <v>1150</v>
      </c>
    </row>
    <row r="186" spans="1:18" x14ac:dyDescent="0.3">
      <c r="A186" t="s">
        <v>534</v>
      </c>
      <c r="B186" s="6">
        <v>45468</v>
      </c>
      <c r="C186" t="s">
        <v>253</v>
      </c>
      <c r="D186" t="s">
        <v>1044</v>
      </c>
      <c r="E186" t="s">
        <v>85</v>
      </c>
      <c r="F186" t="s">
        <v>907</v>
      </c>
      <c r="G186" t="s">
        <v>82</v>
      </c>
      <c r="H186" t="s">
        <v>1076</v>
      </c>
      <c r="I186" t="s">
        <v>931</v>
      </c>
      <c r="J186" t="s">
        <v>35</v>
      </c>
      <c r="K186">
        <v>3457.28</v>
      </c>
      <c r="L186">
        <v>1</v>
      </c>
      <c r="M186">
        <v>0</v>
      </c>
      <c r="N186">
        <v>3457.28</v>
      </c>
      <c r="O186">
        <v>3457.28</v>
      </c>
      <c r="P186" t="s">
        <v>536</v>
      </c>
      <c r="Q186" t="s">
        <v>42</v>
      </c>
      <c r="R186" t="s">
        <v>1150</v>
      </c>
    </row>
    <row r="187" spans="1:18" x14ac:dyDescent="0.3">
      <c r="A187" t="s">
        <v>537</v>
      </c>
      <c r="B187" s="6">
        <v>45827</v>
      </c>
      <c r="C187" t="s">
        <v>71</v>
      </c>
      <c r="D187" t="s">
        <v>980</v>
      </c>
      <c r="E187" t="s">
        <v>20</v>
      </c>
      <c r="F187" t="s">
        <v>934</v>
      </c>
      <c r="G187" t="s">
        <v>45</v>
      </c>
      <c r="H187" t="s">
        <v>1096</v>
      </c>
      <c r="I187" t="s">
        <v>896</v>
      </c>
      <c r="J187" t="s">
        <v>22</v>
      </c>
      <c r="K187">
        <v>3772.12</v>
      </c>
      <c r="L187">
        <v>10</v>
      </c>
      <c r="M187">
        <v>0</v>
      </c>
      <c r="N187">
        <v>37721.199999999997</v>
      </c>
      <c r="O187">
        <v>37721.199999999997</v>
      </c>
      <c r="P187" t="s">
        <v>538</v>
      </c>
      <c r="Q187" t="s">
        <v>17</v>
      </c>
      <c r="R187" t="s">
        <v>1150</v>
      </c>
    </row>
    <row r="188" spans="1:18" x14ac:dyDescent="0.3">
      <c r="A188" t="s">
        <v>539</v>
      </c>
      <c r="B188" s="6">
        <v>45688</v>
      </c>
      <c r="C188" t="s">
        <v>80</v>
      </c>
      <c r="D188" t="s">
        <v>1109</v>
      </c>
      <c r="E188" t="s">
        <v>153</v>
      </c>
      <c r="F188" t="s">
        <v>899</v>
      </c>
      <c r="G188" t="s">
        <v>34</v>
      </c>
      <c r="H188" t="s">
        <v>1078</v>
      </c>
      <c r="I188" t="s">
        <v>917</v>
      </c>
      <c r="J188" t="s">
        <v>73</v>
      </c>
      <c r="K188">
        <v>2128.4</v>
      </c>
      <c r="L188">
        <v>7</v>
      </c>
      <c r="M188">
        <v>0.2</v>
      </c>
      <c r="N188">
        <v>14898.800000000001</v>
      </c>
      <c r="O188">
        <v>11919.04</v>
      </c>
      <c r="P188" t="s">
        <v>541</v>
      </c>
      <c r="Q188" t="s">
        <v>17</v>
      </c>
      <c r="R188" t="s">
        <v>1150</v>
      </c>
    </row>
    <row r="189" spans="1:18" x14ac:dyDescent="0.3">
      <c r="A189" t="s">
        <v>542</v>
      </c>
      <c r="B189" s="6">
        <v>45359</v>
      </c>
      <c r="C189" t="s">
        <v>502</v>
      </c>
      <c r="D189" t="s">
        <v>1138</v>
      </c>
      <c r="E189" t="s">
        <v>400</v>
      </c>
      <c r="F189" t="s">
        <v>916</v>
      </c>
      <c r="G189" t="s">
        <v>45</v>
      </c>
      <c r="H189" t="s">
        <v>1096</v>
      </c>
      <c r="I189" t="s">
        <v>924</v>
      </c>
      <c r="J189" t="s">
        <v>35</v>
      </c>
      <c r="K189">
        <v>588.75</v>
      </c>
      <c r="L189">
        <v>6</v>
      </c>
      <c r="M189">
        <v>0</v>
      </c>
      <c r="N189">
        <v>3532.5</v>
      </c>
      <c r="O189">
        <v>3532.5</v>
      </c>
      <c r="P189" t="s">
        <v>250</v>
      </c>
      <c r="Q189" t="s">
        <v>17</v>
      </c>
      <c r="R189" t="s">
        <v>1150</v>
      </c>
    </row>
    <row r="190" spans="1:18" x14ac:dyDescent="0.3">
      <c r="A190" t="s">
        <v>543</v>
      </c>
      <c r="B190" s="6">
        <v>45550</v>
      </c>
      <c r="C190" t="s">
        <v>157</v>
      </c>
      <c r="D190" t="s">
        <v>1117</v>
      </c>
      <c r="E190" t="s">
        <v>54</v>
      </c>
      <c r="F190" t="s">
        <v>923</v>
      </c>
      <c r="G190" t="s">
        <v>34</v>
      </c>
      <c r="H190" t="s">
        <v>1078</v>
      </c>
      <c r="I190" t="s">
        <v>889</v>
      </c>
      <c r="J190" t="s">
        <v>22</v>
      </c>
      <c r="K190">
        <v>3929.31</v>
      </c>
      <c r="L190">
        <v>10</v>
      </c>
      <c r="M190">
        <v>0.2</v>
      </c>
      <c r="N190">
        <v>39293.1</v>
      </c>
      <c r="O190">
        <v>31434.48</v>
      </c>
      <c r="P190" t="s">
        <v>227</v>
      </c>
      <c r="Q190" t="s">
        <v>24</v>
      </c>
      <c r="R190" t="s">
        <v>1150</v>
      </c>
    </row>
    <row r="191" spans="1:18" x14ac:dyDescent="0.3">
      <c r="A191" t="s">
        <v>544</v>
      </c>
      <c r="B191" s="6">
        <v>45436</v>
      </c>
      <c r="C191" t="s">
        <v>331</v>
      </c>
      <c r="D191" t="s">
        <v>1006</v>
      </c>
      <c r="E191" t="s">
        <v>13</v>
      </c>
      <c r="F191" t="s">
        <v>891</v>
      </c>
      <c r="G191" t="s">
        <v>82</v>
      </c>
      <c r="H191" t="s">
        <v>1076</v>
      </c>
      <c r="I191" t="s">
        <v>910</v>
      </c>
      <c r="J191" t="s">
        <v>15</v>
      </c>
      <c r="K191">
        <v>3493.54</v>
      </c>
      <c r="L191">
        <v>6</v>
      </c>
      <c r="M191">
        <v>0</v>
      </c>
      <c r="N191">
        <v>20961.239999999998</v>
      </c>
      <c r="O191">
        <v>20961.239999999998</v>
      </c>
      <c r="P191" t="s">
        <v>373</v>
      </c>
      <c r="Q191" t="s">
        <v>42</v>
      </c>
      <c r="R191" t="s">
        <v>1150</v>
      </c>
    </row>
    <row r="192" spans="1:18" x14ac:dyDescent="0.3">
      <c r="A192" t="s">
        <v>545</v>
      </c>
      <c r="B192" s="6">
        <v>45378</v>
      </c>
      <c r="C192" t="s">
        <v>190</v>
      </c>
      <c r="D192" t="s">
        <v>1119</v>
      </c>
      <c r="E192" t="s">
        <v>210</v>
      </c>
      <c r="F192" t="s">
        <v>913</v>
      </c>
      <c r="G192" t="s">
        <v>82</v>
      </c>
      <c r="H192" t="s">
        <v>1076</v>
      </c>
      <c r="I192" t="s">
        <v>910</v>
      </c>
      <c r="J192" t="s">
        <v>22</v>
      </c>
      <c r="K192">
        <v>1187.29</v>
      </c>
      <c r="L192">
        <v>5</v>
      </c>
      <c r="M192">
        <v>0.1</v>
      </c>
      <c r="N192">
        <v>5936.45</v>
      </c>
      <c r="O192">
        <v>5342.8050000000003</v>
      </c>
      <c r="P192" t="s">
        <v>294</v>
      </c>
      <c r="Q192" t="s">
        <v>60</v>
      </c>
      <c r="R192" t="s">
        <v>1150</v>
      </c>
    </row>
    <row r="193" spans="1:18" x14ac:dyDescent="0.3">
      <c r="A193" t="s">
        <v>546</v>
      </c>
      <c r="B193" s="6">
        <v>45831</v>
      </c>
      <c r="C193" t="s">
        <v>547</v>
      </c>
      <c r="D193" t="s">
        <v>1139</v>
      </c>
      <c r="E193" t="s">
        <v>99</v>
      </c>
      <c r="F193" t="s">
        <v>914</v>
      </c>
      <c r="G193" t="s">
        <v>45</v>
      </c>
      <c r="H193" t="s">
        <v>1096</v>
      </c>
      <c r="I193" t="s">
        <v>882</v>
      </c>
      <c r="J193" t="s">
        <v>22</v>
      </c>
      <c r="K193">
        <v>2352.63</v>
      </c>
      <c r="L193">
        <v>2</v>
      </c>
      <c r="M193">
        <v>0.15</v>
      </c>
      <c r="N193">
        <v>4705.26</v>
      </c>
      <c r="O193">
        <v>3999.471</v>
      </c>
      <c r="P193" t="s">
        <v>548</v>
      </c>
      <c r="Q193" t="s">
        <v>24</v>
      </c>
      <c r="R193" t="s">
        <v>1150</v>
      </c>
    </row>
    <row r="194" spans="1:18" x14ac:dyDescent="0.3">
      <c r="A194" t="s">
        <v>549</v>
      </c>
      <c r="B194" s="6">
        <v>45663</v>
      </c>
      <c r="C194" t="s">
        <v>550</v>
      </c>
      <c r="D194" t="s">
        <v>1127</v>
      </c>
      <c r="E194" t="s">
        <v>260</v>
      </c>
      <c r="F194" t="s">
        <v>881</v>
      </c>
      <c r="G194" t="s">
        <v>21</v>
      </c>
      <c r="H194" t="s">
        <v>1073</v>
      </c>
      <c r="I194" t="s">
        <v>896</v>
      </c>
      <c r="J194" t="s">
        <v>22</v>
      </c>
      <c r="K194">
        <v>3981.64</v>
      </c>
      <c r="L194">
        <v>0</v>
      </c>
      <c r="M194">
        <v>0</v>
      </c>
      <c r="N194">
        <v>0</v>
      </c>
      <c r="O194">
        <v>0</v>
      </c>
      <c r="P194" t="s">
        <v>551</v>
      </c>
      <c r="Q194" t="s">
        <v>30</v>
      </c>
      <c r="R194" t="s">
        <v>1151</v>
      </c>
    </row>
    <row r="195" spans="1:18" x14ac:dyDescent="0.3">
      <c r="A195" t="s">
        <v>552</v>
      </c>
      <c r="B195" s="6">
        <v>45488</v>
      </c>
      <c r="C195" t="s">
        <v>160</v>
      </c>
      <c r="D195" t="s">
        <v>1118</v>
      </c>
      <c r="E195" t="s">
        <v>210</v>
      </c>
      <c r="F195" t="s">
        <v>895</v>
      </c>
      <c r="G195" t="s">
        <v>45</v>
      </c>
      <c r="H195" t="s">
        <v>1096</v>
      </c>
      <c r="I195" t="s">
        <v>910</v>
      </c>
      <c r="J195" t="s">
        <v>73</v>
      </c>
      <c r="K195">
        <v>1187.29</v>
      </c>
      <c r="L195">
        <v>4</v>
      </c>
      <c r="M195">
        <v>0</v>
      </c>
      <c r="N195">
        <v>4749.16</v>
      </c>
      <c r="O195">
        <v>4749.16</v>
      </c>
      <c r="P195" t="s">
        <v>554</v>
      </c>
      <c r="Q195" t="s">
        <v>17</v>
      </c>
      <c r="R195" t="s">
        <v>1150</v>
      </c>
    </row>
    <row r="196" spans="1:18" x14ac:dyDescent="0.3">
      <c r="A196" t="s">
        <v>555</v>
      </c>
      <c r="B196" s="6">
        <v>45395</v>
      </c>
      <c r="C196" t="s">
        <v>71</v>
      </c>
      <c r="D196" t="s">
        <v>980</v>
      </c>
      <c r="E196" t="s">
        <v>254</v>
      </c>
      <c r="F196" t="s">
        <v>914</v>
      </c>
      <c r="G196" t="s">
        <v>82</v>
      </c>
      <c r="H196" t="s">
        <v>1076</v>
      </c>
      <c r="I196" t="s">
        <v>917</v>
      </c>
      <c r="J196" t="s">
        <v>73</v>
      </c>
      <c r="K196">
        <v>605.26</v>
      </c>
      <c r="L196">
        <v>9</v>
      </c>
      <c r="M196">
        <v>0.2</v>
      </c>
      <c r="N196">
        <v>5447.34</v>
      </c>
      <c r="O196">
        <v>4357.8720000000003</v>
      </c>
      <c r="P196" t="s">
        <v>556</v>
      </c>
      <c r="Q196" t="s">
        <v>17</v>
      </c>
      <c r="R196" t="s">
        <v>1150</v>
      </c>
    </row>
    <row r="197" spans="1:18" x14ac:dyDescent="0.3">
      <c r="A197" t="s">
        <v>557</v>
      </c>
      <c r="B197" s="6">
        <v>45426</v>
      </c>
      <c r="C197" t="s">
        <v>202</v>
      </c>
      <c r="D197" t="s">
        <v>1124</v>
      </c>
      <c r="E197" t="s">
        <v>99</v>
      </c>
      <c r="F197" t="s">
        <v>918</v>
      </c>
      <c r="G197" t="s">
        <v>34</v>
      </c>
      <c r="H197" t="s">
        <v>1078</v>
      </c>
      <c r="I197" t="s">
        <v>882</v>
      </c>
      <c r="J197" t="s">
        <v>15</v>
      </c>
      <c r="K197">
        <v>2352.63</v>
      </c>
      <c r="L197">
        <v>10</v>
      </c>
      <c r="M197">
        <v>0.05</v>
      </c>
      <c r="N197">
        <v>23526.300000000003</v>
      </c>
      <c r="O197">
        <v>22349.985000000001</v>
      </c>
      <c r="P197" t="s">
        <v>558</v>
      </c>
      <c r="Q197" t="s">
        <v>60</v>
      </c>
      <c r="R197" t="s">
        <v>1150</v>
      </c>
    </row>
    <row r="198" spans="1:18" x14ac:dyDescent="0.3">
      <c r="A198" t="s">
        <v>559</v>
      </c>
      <c r="B198" s="6">
        <v>45461</v>
      </c>
      <c r="C198" t="s">
        <v>403</v>
      </c>
      <c r="D198" t="s">
        <v>1135</v>
      </c>
      <c r="E198" t="s">
        <v>28</v>
      </c>
      <c r="F198" t="s">
        <v>881</v>
      </c>
      <c r="G198" t="s">
        <v>34</v>
      </c>
      <c r="H198" t="s">
        <v>1078</v>
      </c>
      <c r="I198" t="s">
        <v>896</v>
      </c>
      <c r="J198" t="s">
        <v>22</v>
      </c>
      <c r="K198">
        <v>733.33</v>
      </c>
      <c r="L198">
        <v>8</v>
      </c>
      <c r="M198">
        <v>0</v>
      </c>
      <c r="N198">
        <v>5866.64</v>
      </c>
      <c r="O198">
        <v>5866.64</v>
      </c>
      <c r="P198" t="s">
        <v>535</v>
      </c>
      <c r="Q198" t="s">
        <v>60</v>
      </c>
      <c r="R198" t="s">
        <v>1150</v>
      </c>
    </row>
    <row r="199" spans="1:18" x14ac:dyDescent="0.3">
      <c r="A199" t="s">
        <v>560</v>
      </c>
      <c r="B199" s="6">
        <v>45746</v>
      </c>
      <c r="C199" t="s">
        <v>137</v>
      </c>
      <c r="D199" t="s">
        <v>1114</v>
      </c>
      <c r="E199" t="s">
        <v>148</v>
      </c>
      <c r="F199" t="s">
        <v>897</v>
      </c>
      <c r="G199" t="s">
        <v>21</v>
      </c>
      <c r="H199" t="s">
        <v>1073</v>
      </c>
      <c r="I199" t="s">
        <v>931</v>
      </c>
      <c r="J199" t="s">
        <v>15</v>
      </c>
      <c r="K199">
        <v>3576.75</v>
      </c>
      <c r="L199">
        <v>10</v>
      </c>
      <c r="M199">
        <v>0</v>
      </c>
      <c r="N199">
        <v>35767.5</v>
      </c>
      <c r="O199">
        <v>35767.5</v>
      </c>
      <c r="P199" t="s">
        <v>562</v>
      </c>
      <c r="Q199" t="s">
        <v>42</v>
      </c>
      <c r="R199" t="s">
        <v>1150</v>
      </c>
    </row>
    <row r="200" spans="1:18" x14ac:dyDescent="0.3">
      <c r="A200" t="s">
        <v>563</v>
      </c>
      <c r="B200" s="6">
        <v>45536</v>
      </c>
      <c r="C200" t="s">
        <v>462</v>
      </c>
      <c r="D200" t="s">
        <v>1137</v>
      </c>
      <c r="E200" t="s">
        <v>454</v>
      </c>
      <c r="F200" t="s">
        <v>933</v>
      </c>
      <c r="G200" t="s">
        <v>14</v>
      </c>
      <c r="H200" t="s">
        <v>1080</v>
      </c>
      <c r="I200" t="s">
        <v>917</v>
      </c>
      <c r="J200" t="s">
        <v>15</v>
      </c>
      <c r="K200">
        <v>1253.57</v>
      </c>
      <c r="L200">
        <v>5</v>
      </c>
      <c r="M200">
        <v>0.2</v>
      </c>
      <c r="N200">
        <v>6267.8499999999995</v>
      </c>
      <c r="O200">
        <v>5014.28</v>
      </c>
      <c r="P200" t="s">
        <v>565</v>
      </c>
      <c r="Q200" t="s">
        <v>17</v>
      </c>
      <c r="R200" t="s">
        <v>1150</v>
      </c>
    </row>
    <row r="201" spans="1:18" x14ac:dyDescent="0.3">
      <c r="A201" t="s">
        <v>566</v>
      </c>
      <c r="B201" s="6">
        <v>45743</v>
      </c>
      <c r="C201" t="s">
        <v>253</v>
      </c>
      <c r="D201" t="s">
        <v>1044</v>
      </c>
      <c r="E201" t="s">
        <v>67</v>
      </c>
      <c r="F201" t="s">
        <v>921</v>
      </c>
      <c r="G201" t="s">
        <v>21</v>
      </c>
      <c r="H201" t="s">
        <v>1073</v>
      </c>
      <c r="I201" t="s">
        <v>924</v>
      </c>
      <c r="J201" t="s">
        <v>35</v>
      </c>
      <c r="K201">
        <v>3205.14</v>
      </c>
      <c r="L201">
        <v>8</v>
      </c>
      <c r="M201">
        <v>0.2</v>
      </c>
      <c r="N201">
        <v>25641.119999999999</v>
      </c>
      <c r="O201">
        <v>20512.896000000001</v>
      </c>
      <c r="P201" t="s">
        <v>88</v>
      </c>
      <c r="Q201" t="s">
        <v>42</v>
      </c>
      <c r="R201" t="s">
        <v>1150</v>
      </c>
    </row>
    <row r="202" spans="1:18" x14ac:dyDescent="0.3">
      <c r="A202" t="s">
        <v>567</v>
      </c>
      <c r="B202" s="6">
        <v>45832</v>
      </c>
      <c r="C202" t="s">
        <v>291</v>
      </c>
      <c r="D202" t="s">
        <v>1131</v>
      </c>
      <c r="E202" t="s">
        <v>249</v>
      </c>
      <c r="F202" t="s">
        <v>925</v>
      </c>
      <c r="G202" t="s">
        <v>14</v>
      </c>
      <c r="H202" t="s">
        <v>1080</v>
      </c>
      <c r="I202" t="s">
        <v>889</v>
      </c>
      <c r="J202" t="s">
        <v>15</v>
      </c>
      <c r="K202">
        <v>1309.58</v>
      </c>
      <c r="L202">
        <v>7</v>
      </c>
      <c r="M202">
        <v>0</v>
      </c>
      <c r="N202">
        <v>9167.06</v>
      </c>
      <c r="O202">
        <v>9167.06</v>
      </c>
      <c r="P202" t="s">
        <v>569</v>
      </c>
      <c r="Q202" t="s">
        <v>17</v>
      </c>
      <c r="R202" t="s">
        <v>1150</v>
      </c>
    </row>
    <row r="203" spans="1:18" x14ac:dyDescent="0.3">
      <c r="A203" t="s">
        <v>570</v>
      </c>
      <c r="B203" s="6">
        <v>45345</v>
      </c>
      <c r="C203" t="s">
        <v>110</v>
      </c>
      <c r="D203" t="s">
        <v>983</v>
      </c>
      <c r="E203" t="s">
        <v>20</v>
      </c>
      <c r="F203" t="s">
        <v>893</v>
      </c>
      <c r="G203" t="s">
        <v>82</v>
      </c>
      <c r="H203" t="s">
        <v>1076</v>
      </c>
      <c r="I203" t="s">
        <v>896</v>
      </c>
      <c r="J203" t="s">
        <v>73</v>
      </c>
      <c r="K203">
        <v>3772.12</v>
      </c>
      <c r="L203">
        <v>0</v>
      </c>
      <c r="M203">
        <v>0.2</v>
      </c>
      <c r="N203">
        <v>0</v>
      </c>
      <c r="O203">
        <v>0</v>
      </c>
      <c r="P203" t="s">
        <v>572</v>
      </c>
      <c r="Q203" t="s">
        <v>42</v>
      </c>
      <c r="R203" t="s">
        <v>1151</v>
      </c>
    </row>
    <row r="204" spans="1:18" x14ac:dyDescent="0.3">
      <c r="A204" t="s">
        <v>573</v>
      </c>
      <c r="B204" s="6">
        <v>45419</v>
      </c>
      <c r="C204" t="s">
        <v>190</v>
      </c>
      <c r="D204" t="s">
        <v>1119</v>
      </c>
      <c r="E204" t="s">
        <v>130</v>
      </c>
      <c r="F204" t="s">
        <v>899</v>
      </c>
      <c r="G204" t="s">
        <v>82</v>
      </c>
      <c r="H204" t="s">
        <v>1076</v>
      </c>
      <c r="I204" t="s">
        <v>910</v>
      </c>
      <c r="J204" t="s">
        <v>22</v>
      </c>
      <c r="K204">
        <v>3128.51</v>
      </c>
      <c r="L204">
        <v>5</v>
      </c>
      <c r="M204">
        <v>0</v>
      </c>
      <c r="N204">
        <v>15642.550000000001</v>
      </c>
      <c r="O204">
        <v>15642.550000000001</v>
      </c>
      <c r="P204" t="s">
        <v>238</v>
      </c>
      <c r="Q204" t="s">
        <v>30</v>
      </c>
      <c r="R204" t="s">
        <v>1150</v>
      </c>
    </row>
    <row r="205" spans="1:18" x14ac:dyDescent="0.3">
      <c r="A205" t="s">
        <v>574</v>
      </c>
      <c r="B205" s="6">
        <v>45817</v>
      </c>
      <c r="C205" t="s">
        <v>190</v>
      </c>
      <c r="D205" t="s">
        <v>1119</v>
      </c>
      <c r="E205" t="s">
        <v>90</v>
      </c>
      <c r="F205" t="s">
        <v>912</v>
      </c>
      <c r="G205" t="s">
        <v>82</v>
      </c>
      <c r="H205" t="s">
        <v>1076</v>
      </c>
      <c r="I205" t="s">
        <v>903</v>
      </c>
      <c r="J205" t="s">
        <v>73</v>
      </c>
      <c r="K205">
        <v>928.72</v>
      </c>
      <c r="L205">
        <v>3</v>
      </c>
      <c r="M205">
        <v>0.2</v>
      </c>
      <c r="N205">
        <v>2786.16</v>
      </c>
      <c r="O205">
        <v>2228.9279999999999</v>
      </c>
      <c r="P205" t="s">
        <v>575</v>
      </c>
      <c r="Q205" t="s">
        <v>60</v>
      </c>
      <c r="R205" t="s">
        <v>1150</v>
      </c>
    </row>
    <row r="206" spans="1:18" x14ac:dyDescent="0.3">
      <c r="A206" t="s">
        <v>576</v>
      </c>
      <c r="B206" s="6">
        <v>45753</v>
      </c>
      <c r="C206" t="s">
        <v>356</v>
      </c>
      <c r="D206" t="s">
        <v>1133</v>
      </c>
      <c r="E206" t="s">
        <v>389</v>
      </c>
      <c r="F206" t="s">
        <v>902</v>
      </c>
      <c r="G206" t="s">
        <v>82</v>
      </c>
      <c r="H206" t="s">
        <v>1076</v>
      </c>
      <c r="I206" t="s">
        <v>882</v>
      </c>
      <c r="J206" t="s">
        <v>73</v>
      </c>
      <c r="K206">
        <v>991.59</v>
      </c>
      <c r="L206">
        <v>6</v>
      </c>
      <c r="M206">
        <v>0</v>
      </c>
      <c r="N206">
        <v>5949.54</v>
      </c>
      <c r="O206">
        <v>5949.54</v>
      </c>
      <c r="P206" t="s">
        <v>577</v>
      </c>
      <c r="Q206" t="s">
        <v>30</v>
      </c>
      <c r="R206" t="s">
        <v>1150</v>
      </c>
    </row>
    <row r="207" spans="1:18" x14ac:dyDescent="0.3">
      <c r="A207" t="s">
        <v>578</v>
      </c>
      <c r="B207" s="6">
        <v>45806</v>
      </c>
      <c r="C207" t="s">
        <v>115</v>
      </c>
      <c r="D207" t="s">
        <v>996</v>
      </c>
      <c r="E207" t="s">
        <v>400</v>
      </c>
      <c r="F207" t="s">
        <v>883</v>
      </c>
      <c r="G207" t="s">
        <v>34</v>
      </c>
      <c r="H207" t="s">
        <v>1078</v>
      </c>
      <c r="I207" t="s">
        <v>924</v>
      </c>
      <c r="J207" t="s">
        <v>73</v>
      </c>
      <c r="K207">
        <v>588.75</v>
      </c>
      <c r="L207">
        <v>6</v>
      </c>
      <c r="M207">
        <v>0</v>
      </c>
      <c r="N207">
        <v>3532.5</v>
      </c>
      <c r="O207">
        <v>3532.5</v>
      </c>
      <c r="P207" t="s">
        <v>580</v>
      </c>
      <c r="Q207" t="s">
        <v>17</v>
      </c>
      <c r="R207" t="s">
        <v>1150</v>
      </c>
    </row>
    <row r="208" spans="1:18" x14ac:dyDescent="0.3">
      <c r="A208" t="s">
        <v>581</v>
      </c>
      <c r="B208" s="6">
        <v>45521</v>
      </c>
      <c r="C208" t="s">
        <v>115</v>
      </c>
      <c r="D208" t="s">
        <v>996</v>
      </c>
      <c r="E208" t="s">
        <v>33</v>
      </c>
      <c r="F208" t="s">
        <v>923</v>
      </c>
      <c r="G208" t="s">
        <v>34</v>
      </c>
      <c r="H208" t="s">
        <v>1078</v>
      </c>
      <c r="I208" t="s">
        <v>931</v>
      </c>
      <c r="J208" t="s">
        <v>22</v>
      </c>
      <c r="K208">
        <v>620.89</v>
      </c>
      <c r="L208">
        <v>1</v>
      </c>
      <c r="M208">
        <v>0</v>
      </c>
      <c r="N208">
        <v>620.89</v>
      </c>
      <c r="O208">
        <v>620.89</v>
      </c>
      <c r="P208" t="s">
        <v>257</v>
      </c>
      <c r="Q208" t="s">
        <v>60</v>
      </c>
      <c r="R208" t="s">
        <v>1150</v>
      </c>
    </row>
    <row r="209" spans="1:18" x14ac:dyDescent="0.3">
      <c r="A209" t="s">
        <v>582</v>
      </c>
      <c r="B209" s="6">
        <v>45432</v>
      </c>
      <c r="C209" t="s">
        <v>71</v>
      </c>
      <c r="D209" t="s">
        <v>980</v>
      </c>
      <c r="E209" t="s">
        <v>226</v>
      </c>
      <c r="F209" t="s">
        <v>932</v>
      </c>
      <c r="G209" t="s">
        <v>34</v>
      </c>
      <c r="H209" t="s">
        <v>1078</v>
      </c>
      <c r="I209" t="s">
        <v>903</v>
      </c>
      <c r="J209" t="s">
        <v>15</v>
      </c>
      <c r="K209">
        <v>2359.5</v>
      </c>
      <c r="L209">
        <v>1</v>
      </c>
      <c r="M209">
        <v>0</v>
      </c>
      <c r="N209">
        <v>2359.5</v>
      </c>
      <c r="O209">
        <v>2359.5</v>
      </c>
      <c r="P209" t="s">
        <v>583</v>
      </c>
      <c r="Q209" t="s">
        <v>30</v>
      </c>
      <c r="R209" t="s">
        <v>1150</v>
      </c>
    </row>
    <row r="210" spans="1:18" x14ac:dyDescent="0.3">
      <c r="A210" t="s">
        <v>584</v>
      </c>
      <c r="B210" s="6">
        <v>45751</v>
      </c>
      <c r="C210" t="s">
        <v>214</v>
      </c>
      <c r="D210" t="s">
        <v>1125</v>
      </c>
      <c r="E210" t="s">
        <v>226</v>
      </c>
      <c r="F210" t="s">
        <v>904</v>
      </c>
      <c r="G210" t="s">
        <v>21</v>
      </c>
      <c r="H210" t="s">
        <v>1073</v>
      </c>
      <c r="I210" t="s">
        <v>903</v>
      </c>
      <c r="J210" t="s">
        <v>73</v>
      </c>
      <c r="K210">
        <v>2359.5</v>
      </c>
      <c r="L210">
        <v>10</v>
      </c>
      <c r="M210">
        <v>0</v>
      </c>
      <c r="N210">
        <v>23595</v>
      </c>
      <c r="O210">
        <v>23595</v>
      </c>
      <c r="P210" t="s">
        <v>423</v>
      </c>
      <c r="Q210" t="s">
        <v>17</v>
      </c>
      <c r="R210" t="s">
        <v>1150</v>
      </c>
    </row>
    <row r="211" spans="1:18" x14ac:dyDescent="0.3">
      <c r="A211" t="s">
        <v>586</v>
      </c>
      <c r="B211" s="6">
        <v>45512</v>
      </c>
      <c r="C211" t="s">
        <v>27</v>
      </c>
      <c r="D211" t="s">
        <v>1105</v>
      </c>
      <c r="E211" t="s">
        <v>468</v>
      </c>
      <c r="F211" t="s">
        <v>904</v>
      </c>
      <c r="G211" t="s">
        <v>82</v>
      </c>
      <c r="H211" t="s">
        <v>1076</v>
      </c>
      <c r="I211" t="s">
        <v>924</v>
      </c>
      <c r="J211" t="s">
        <v>35</v>
      </c>
      <c r="K211">
        <v>2113.67</v>
      </c>
      <c r="L211">
        <v>3</v>
      </c>
      <c r="M211">
        <v>0.1</v>
      </c>
      <c r="N211">
        <v>6341.01</v>
      </c>
      <c r="O211">
        <v>5706.9090000000006</v>
      </c>
      <c r="P211" t="s">
        <v>158</v>
      </c>
      <c r="Q211" t="s">
        <v>24</v>
      </c>
      <c r="R211" t="s">
        <v>1150</v>
      </c>
    </row>
    <row r="212" spans="1:18" x14ac:dyDescent="0.3">
      <c r="A212" t="s">
        <v>587</v>
      </c>
      <c r="B212" s="6">
        <v>45587</v>
      </c>
      <c r="C212" t="s">
        <v>141</v>
      </c>
      <c r="D212" t="s">
        <v>1115</v>
      </c>
      <c r="E212" t="s">
        <v>33</v>
      </c>
      <c r="F212" t="s">
        <v>926</v>
      </c>
      <c r="G212" t="s">
        <v>82</v>
      </c>
      <c r="H212" t="s">
        <v>1076</v>
      </c>
      <c r="I212" t="s">
        <v>931</v>
      </c>
      <c r="J212" t="s">
        <v>73</v>
      </c>
      <c r="K212">
        <v>620.89</v>
      </c>
      <c r="L212">
        <v>4</v>
      </c>
      <c r="M212">
        <v>0</v>
      </c>
      <c r="N212">
        <v>2483.56</v>
      </c>
      <c r="O212">
        <v>2483.56</v>
      </c>
      <c r="P212" t="s">
        <v>507</v>
      </c>
      <c r="Q212" t="s">
        <v>60</v>
      </c>
      <c r="R212" t="s">
        <v>1150</v>
      </c>
    </row>
    <row r="213" spans="1:18" x14ac:dyDescent="0.3">
      <c r="A213" t="s">
        <v>589</v>
      </c>
      <c r="B213" s="6">
        <v>45721</v>
      </c>
      <c r="C213" t="s">
        <v>590</v>
      </c>
      <c r="D213" t="s">
        <v>1140</v>
      </c>
      <c r="E213" t="s">
        <v>468</v>
      </c>
      <c r="F213" t="s">
        <v>932</v>
      </c>
      <c r="G213" t="s">
        <v>21</v>
      </c>
      <c r="H213" t="s">
        <v>1073</v>
      </c>
      <c r="I213" t="s">
        <v>924</v>
      </c>
      <c r="J213" t="s">
        <v>73</v>
      </c>
      <c r="K213">
        <v>2113.67</v>
      </c>
      <c r="L213">
        <v>10</v>
      </c>
      <c r="M213">
        <v>0.05</v>
      </c>
      <c r="N213">
        <v>21136.7</v>
      </c>
      <c r="O213">
        <v>20079.864999999998</v>
      </c>
      <c r="P213" t="s">
        <v>591</v>
      </c>
      <c r="Q213" t="s">
        <v>30</v>
      </c>
      <c r="R213" t="s">
        <v>1150</v>
      </c>
    </row>
    <row r="214" spans="1:18" x14ac:dyDescent="0.3">
      <c r="A214" t="s">
        <v>592</v>
      </c>
      <c r="B214" s="6">
        <v>45308</v>
      </c>
      <c r="C214" t="s">
        <v>176</v>
      </c>
      <c r="D214" t="s">
        <v>1120</v>
      </c>
      <c r="E214" t="s">
        <v>40</v>
      </c>
      <c r="F214" t="s">
        <v>926</v>
      </c>
      <c r="G214" t="s">
        <v>21</v>
      </c>
      <c r="H214" t="s">
        <v>1073</v>
      </c>
      <c r="I214" t="s">
        <v>924</v>
      </c>
      <c r="J214" t="s">
        <v>15</v>
      </c>
      <c r="K214">
        <v>136.91</v>
      </c>
      <c r="L214">
        <v>9</v>
      </c>
      <c r="M214">
        <v>0.1</v>
      </c>
      <c r="N214">
        <v>1232.19</v>
      </c>
      <c r="O214">
        <v>1108.971</v>
      </c>
      <c r="P214" t="s">
        <v>119</v>
      </c>
      <c r="Q214" t="s">
        <v>17</v>
      </c>
      <c r="R214" t="s">
        <v>1150</v>
      </c>
    </row>
    <row r="215" spans="1:18" x14ac:dyDescent="0.3">
      <c r="A215" t="s">
        <v>594</v>
      </c>
      <c r="B215" s="6">
        <v>45731</v>
      </c>
      <c r="C215" t="s">
        <v>115</v>
      </c>
      <c r="D215" t="s">
        <v>996</v>
      </c>
      <c r="E215" t="s">
        <v>106</v>
      </c>
      <c r="F215" t="s">
        <v>928</v>
      </c>
      <c r="G215" t="s">
        <v>45</v>
      </c>
      <c r="H215" t="s">
        <v>1096</v>
      </c>
      <c r="I215" t="s">
        <v>889</v>
      </c>
      <c r="J215" t="s">
        <v>15</v>
      </c>
      <c r="K215">
        <v>1559.65</v>
      </c>
      <c r="L215">
        <v>1</v>
      </c>
      <c r="M215">
        <v>0.1</v>
      </c>
      <c r="N215">
        <v>1559.65</v>
      </c>
      <c r="O215">
        <v>1403.6850000000002</v>
      </c>
      <c r="P215" t="s">
        <v>595</v>
      </c>
      <c r="Q215" t="s">
        <v>42</v>
      </c>
      <c r="R215" t="s">
        <v>1150</v>
      </c>
    </row>
    <row r="216" spans="1:18" x14ac:dyDescent="0.3">
      <c r="A216" t="s">
        <v>596</v>
      </c>
      <c r="B216" s="6">
        <v>45718</v>
      </c>
      <c r="C216" t="s">
        <v>403</v>
      </c>
      <c r="D216" t="s">
        <v>1135</v>
      </c>
      <c r="E216" t="s">
        <v>254</v>
      </c>
      <c r="F216" t="s">
        <v>894</v>
      </c>
      <c r="G216" t="s">
        <v>14</v>
      </c>
      <c r="H216" t="s">
        <v>1080</v>
      </c>
      <c r="I216" t="s">
        <v>917</v>
      </c>
      <c r="J216" t="s">
        <v>22</v>
      </c>
      <c r="K216">
        <v>605.26</v>
      </c>
      <c r="L216">
        <v>3</v>
      </c>
      <c r="M216">
        <v>0.15</v>
      </c>
      <c r="N216">
        <v>1815.78</v>
      </c>
      <c r="O216">
        <v>1543.413</v>
      </c>
      <c r="P216" t="s">
        <v>597</v>
      </c>
      <c r="Q216" t="s">
        <v>24</v>
      </c>
      <c r="R216" t="s">
        <v>1150</v>
      </c>
    </row>
    <row r="217" spans="1:18" x14ac:dyDescent="0.3">
      <c r="A217" t="s">
        <v>598</v>
      </c>
      <c r="B217" s="6">
        <v>45830</v>
      </c>
      <c r="C217" t="s">
        <v>311</v>
      </c>
      <c r="D217" t="s">
        <v>1132</v>
      </c>
      <c r="E217" t="s">
        <v>254</v>
      </c>
      <c r="F217" t="s">
        <v>918</v>
      </c>
      <c r="G217" t="s">
        <v>14</v>
      </c>
      <c r="H217" t="s">
        <v>1080</v>
      </c>
      <c r="I217" t="s">
        <v>917</v>
      </c>
      <c r="J217" t="s">
        <v>73</v>
      </c>
      <c r="K217">
        <v>605.26</v>
      </c>
      <c r="L217">
        <v>9</v>
      </c>
      <c r="M217">
        <v>0.1</v>
      </c>
      <c r="N217">
        <v>5447.34</v>
      </c>
      <c r="O217">
        <v>4902.6060000000007</v>
      </c>
      <c r="P217" t="s">
        <v>600</v>
      </c>
      <c r="Q217" t="s">
        <v>30</v>
      </c>
      <c r="R217" t="s">
        <v>1150</v>
      </c>
    </row>
    <row r="218" spans="1:18" x14ac:dyDescent="0.3">
      <c r="A218" t="s">
        <v>601</v>
      </c>
      <c r="B218" s="6">
        <v>45773</v>
      </c>
      <c r="C218" t="s">
        <v>98</v>
      </c>
      <c r="D218" t="s">
        <v>1110</v>
      </c>
      <c r="E218" t="s">
        <v>121</v>
      </c>
      <c r="F218" t="s">
        <v>918</v>
      </c>
      <c r="G218" t="s">
        <v>14</v>
      </c>
      <c r="H218" t="s">
        <v>1080</v>
      </c>
      <c r="I218" t="s">
        <v>903</v>
      </c>
      <c r="J218" t="s">
        <v>22</v>
      </c>
      <c r="K218">
        <v>3414.07</v>
      </c>
      <c r="L218">
        <v>1</v>
      </c>
      <c r="M218">
        <v>0.15</v>
      </c>
      <c r="N218">
        <v>3414.07</v>
      </c>
      <c r="O218">
        <v>2901.9594999999999</v>
      </c>
      <c r="P218" t="s">
        <v>165</v>
      </c>
      <c r="Q218" t="s">
        <v>17</v>
      </c>
      <c r="R218" t="s">
        <v>1150</v>
      </c>
    </row>
    <row r="219" spans="1:18" x14ac:dyDescent="0.3">
      <c r="A219" t="s">
        <v>602</v>
      </c>
      <c r="B219" s="6">
        <v>45308</v>
      </c>
      <c r="C219" t="s">
        <v>66</v>
      </c>
      <c r="D219" t="s">
        <v>1108</v>
      </c>
      <c r="E219" t="s">
        <v>85</v>
      </c>
      <c r="F219" t="s">
        <v>906</v>
      </c>
      <c r="G219" t="s">
        <v>82</v>
      </c>
      <c r="H219" t="s">
        <v>1076</v>
      </c>
      <c r="I219" t="s">
        <v>931</v>
      </c>
      <c r="J219" t="s">
        <v>22</v>
      </c>
      <c r="K219">
        <v>3457.28</v>
      </c>
      <c r="L219">
        <v>6</v>
      </c>
      <c r="M219">
        <v>0.2</v>
      </c>
      <c r="N219">
        <v>20743.68</v>
      </c>
      <c r="O219">
        <v>16594.944</v>
      </c>
      <c r="P219" t="s">
        <v>375</v>
      </c>
      <c r="Q219" t="s">
        <v>60</v>
      </c>
      <c r="R219" t="s">
        <v>1150</v>
      </c>
    </row>
    <row r="220" spans="1:18" x14ac:dyDescent="0.3">
      <c r="A220" t="s">
        <v>603</v>
      </c>
      <c r="B220" s="6">
        <v>45398</v>
      </c>
      <c r="C220" t="s">
        <v>605</v>
      </c>
      <c r="D220" t="s">
        <v>1023</v>
      </c>
      <c r="E220" t="s">
        <v>50</v>
      </c>
      <c r="F220" t="s">
        <v>934</v>
      </c>
      <c r="G220" t="s">
        <v>21</v>
      </c>
      <c r="H220" t="s">
        <v>1073</v>
      </c>
      <c r="I220" t="s">
        <v>931</v>
      </c>
      <c r="J220" t="s">
        <v>15</v>
      </c>
      <c r="K220">
        <v>2041.83</v>
      </c>
      <c r="L220">
        <v>10</v>
      </c>
      <c r="M220">
        <v>0.15</v>
      </c>
      <c r="N220">
        <v>20418.3</v>
      </c>
      <c r="O220">
        <v>17355.555</v>
      </c>
      <c r="P220" t="s">
        <v>556</v>
      </c>
      <c r="Q220" t="s">
        <v>24</v>
      </c>
      <c r="R220" t="s">
        <v>1150</v>
      </c>
    </row>
    <row r="221" spans="1:18" x14ac:dyDescent="0.3">
      <c r="A221" t="s">
        <v>606</v>
      </c>
      <c r="B221" s="6">
        <v>45652</v>
      </c>
      <c r="C221" t="s">
        <v>607</v>
      </c>
      <c r="D221" t="s">
        <v>1141</v>
      </c>
      <c r="E221" t="s">
        <v>40</v>
      </c>
      <c r="F221" t="s">
        <v>936</v>
      </c>
      <c r="G221" t="s">
        <v>21</v>
      </c>
      <c r="H221" t="s">
        <v>1073</v>
      </c>
      <c r="I221" t="s">
        <v>924</v>
      </c>
      <c r="J221" t="s">
        <v>35</v>
      </c>
      <c r="K221">
        <v>136.91</v>
      </c>
      <c r="L221">
        <v>9</v>
      </c>
      <c r="M221">
        <v>0</v>
      </c>
      <c r="N221">
        <v>1232.19</v>
      </c>
      <c r="O221">
        <v>1232.19</v>
      </c>
      <c r="P221" t="s">
        <v>608</v>
      </c>
      <c r="Q221" t="s">
        <v>30</v>
      </c>
      <c r="R221" t="s">
        <v>1150</v>
      </c>
    </row>
    <row r="222" spans="1:18" x14ac:dyDescent="0.3">
      <c r="A222" t="s">
        <v>609</v>
      </c>
      <c r="B222" s="6">
        <v>45478</v>
      </c>
      <c r="C222" t="s">
        <v>124</v>
      </c>
      <c r="D222" t="s">
        <v>1112</v>
      </c>
      <c r="E222" t="s">
        <v>81</v>
      </c>
      <c r="F222" t="s">
        <v>928</v>
      </c>
      <c r="G222" t="s">
        <v>82</v>
      </c>
      <c r="H222" t="s">
        <v>1076</v>
      </c>
      <c r="I222" t="s">
        <v>882</v>
      </c>
      <c r="J222" t="s">
        <v>73</v>
      </c>
      <c r="K222">
        <v>1044.7</v>
      </c>
      <c r="L222">
        <v>3</v>
      </c>
      <c r="M222">
        <v>0</v>
      </c>
      <c r="N222">
        <v>3134.1000000000004</v>
      </c>
      <c r="O222">
        <v>3134.1000000000004</v>
      </c>
      <c r="P222" t="s">
        <v>388</v>
      </c>
      <c r="Q222" t="s">
        <v>17</v>
      </c>
      <c r="R222" t="s">
        <v>1150</v>
      </c>
    </row>
    <row r="223" spans="1:18" x14ac:dyDescent="0.3">
      <c r="A223" t="s">
        <v>610</v>
      </c>
      <c r="B223" s="6">
        <v>45498</v>
      </c>
      <c r="C223" t="s">
        <v>58</v>
      </c>
      <c r="D223" t="s">
        <v>1014</v>
      </c>
      <c r="E223" t="s">
        <v>54</v>
      </c>
      <c r="F223" t="s">
        <v>886</v>
      </c>
      <c r="G223" t="s">
        <v>34</v>
      </c>
      <c r="H223" t="s">
        <v>1078</v>
      </c>
      <c r="I223" t="s">
        <v>889</v>
      </c>
      <c r="J223" t="s">
        <v>73</v>
      </c>
      <c r="K223">
        <v>3929.31</v>
      </c>
      <c r="L223">
        <v>1</v>
      </c>
      <c r="M223">
        <v>0.2</v>
      </c>
      <c r="N223">
        <v>3929.31</v>
      </c>
      <c r="O223">
        <v>3143.4480000000003</v>
      </c>
      <c r="P223" t="s">
        <v>612</v>
      </c>
      <c r="Q223" t="s">
        <v>17</v>
      </c>
      <c r="R223" t="s">
        <v>1150</v>
      </c>
    </row>
    <row r="224" spans="1:18" x14ac:dyDescent="0.3">
      <c r="A224" t="s">
        <v>613</v>
      </c>
      <c r="B224" s="6">
        <v>45609</v>
      </c>
      <c r="C224" t="s">
        <v>187</v>
      </c>
      <c r="D224" t="s">
        <v>1122</v>
      </c>
      <c r="E224" t="s">
        <v>130</v>
      </c>
      <c r="F224" t="s">
        <v>891</v>
      </c>
      <c r="G224" t="s">
        <v>82</v>
      </c>
      <c r="H224" t="s">
        <v>1076</v>
      </c>
      <c r="I224" t="s">
        <v>910</v>
      </c>
      <c r="J224" t="s">
        <v>35</v>
      </c>
      <c r="K224">
        <v>3128.51</v>
      </c>
      <c r="L224">
        <v>9</v>
      </c>
      <c r="M224">
        <v>0.05</v>
      </c>
      <c r="N224">
        <v>28156.590000000004</v>
      </c>
      <c r="O224">
        <v>26748.760500000004</v>
      </c>
      <c r="P224" t="s">
        <v>393</v>
      </c>
      <c r="Q224" t="s">
        <v>17</v>
      </c>
      <c r="R224" t="s">
        <v>1150</v>
      </c>
    </row>
    <row r="225" spans="1:18" x14ac:dyDescent="0.3">
      <c r="A225" t="s">
        <v>614</v>
      </c>
      <c r="B225" s="6">
        <v>45329</v>
      </c>
      <c r="C225" t="s">
        <v>590</v>
      </c>
      <c r="D225" t="s">
        <v>1140</v>
      </c>
      <c r="E225" t="s">
        <v>316</v>
      </c>
      <c r="F225" t="s">
        <v>912</v>
      </c>
      <c r="G225" t="s">
        <v>14</v>
      </c>
      <c r="H225" t="s">
        <v>1080</v>
      </c>
      <c r="I225" t="s">
        <v>903</v>
      </c>
      <c r="J225" t="s">
        <v>73</v>
      </c>
      <c r="K225">
        <v>2405.98</v>
      </c>
      <c r="L225">
        <v>4</v>
      </c>
      <c r="M225">
        <v>0</v>
      </c>
      <c r="N225">
        <v>9623.92</v>
      </c>
      <c r="O225">
        <v>9623.92</v>
      </c>
      <c r="P225" t="s">
        <v>308</v>
      </c>
      <c r="Q225" t="s">
        <v>17</v>
      </c>
      <c r="R225" t="s">
        <v>1150</v>
      </c>
    </row>
    <row r="226" spans="1:18" x14ac:dyDescent="0.3">
      <c r="A226" t="s">
        <v>615</v>
      </c>
      <c r="B226" s="6">
        <v>45571</v>
      </c>
      <c r="C226" t="s">
        <v>331</v>
      </c>
      <c r="D226" t="s">
        <v>1006</v>
      </c>
      <c r="E226" t="s">
        <v>345</v>
      </c>
      <c r="F226" t="s">
        <v>907</v>
      </c>
      <c r="G226" t="s">
        <v>45</v>
      </c>
      <c r="H226" t="s">
        <v>1096</v>
      </c>
      <c r="I226" t="s">
        <v>924</v>
      </c>
      <c r="J226" t="s">
        <v>35</v>
      </c>
      <c r="K226">
        <v>1212.79</v>
      </c>
      <c r="L226">
        <v>2</v>
      </c>
      <c r="M226">
        <v>0.2</v>
      </c>
      <c r="N226">
        <v>2425.58</v>
      </c>
      <c r="O226">
        <v>1940.4639999999999</v>
      </c>
      <c r="P226" t="s">
        <v>195</v>
      </c>
      <c r="Q226" t="s">
        <v>30</v>
      </c>
      <c r="R226" t="s">
        <v>1150</v>
      </c>
    </row>
    <row r="227" spans="1:18" x14ac:dyDescent="0.3">
      <c r="A227" t="s">
        <v>616</v>
      </c>
      <c r="B227" s="6">
        <v>45742</v>
      </c>
      <c r="C227" t="s">
        <v>199</v>
      </c>
      <c r="D227" t="s">
        <v>1123</v>
      </c>
      <c r="E227" t="s">
        <v>454</v>
      </c>
      <c r="F227" t="s">
        <v>927</v>
      </c>
      <c r="G227" t="s">
        <v>34</v>
      </c>
      <c r="H227" t="s">
        <v>1078</v>
      </c>
      <c r="I227" t="s">
        <v>917</v>
      </c>
      <c r="J227" t="s">
        <v>35</v>
      </c>
      <c r="K227">
        <v>1253.57</v>
      </c>
      <c r="L227">
        <v>7</v>
      </c>
      <c r="M227">
        <v>0</v>
      </c>
      <c r="N227">
        <v>8774.99</v>
      </c>
      <c r="O227">
        <v>8774.99</v>
      </c>
      <c r="P227" t="s">
        <v>618</v>
      </c>
      <c r="Q227" t="s">
        <v>30</v>
      </c>
      <c r="R227" t="s">
        <v>1150</v>
      </c>
    </row>
    <row r="228" spans="1:18" x14ac:dyDescent="0.3">
      <c r="A228" t="s">
        <v>619</v>
      </c>
      <c r="B228" s="6">
        <v>45668</v>
      </c>
      <c r="C228" t="s">
        <v>245</v>
      </c>
      <c r="D228" t="s">
        <v>1128</v>
      </c>
      <c r="E228" t="s">
        <v>206</v>
      </c>
      <c r="F228" t="s">
        <v>921</v>
      </c>
      <c r="G228" t="s">
        <v>82</v>
      </c>
      <c r="H228" t="s">
        <v>1076</v>
      </c>
      <c r="I228" t="s">
        <v>882</v>
      </c>
      <c r="J228" t="s">
        <v>35</v>
      </c>
      <c r="K228">
        <v>2779.58</v>
      </c>
      <c r="L228">
        <v>9</v>
      </c>
      <c r="M228">
        <v>0</v>
      </c>
      <c r="N228">
        <v>25016.22</v>
      </c>
      <c r="O228">
        <v>25016.22</v>
      </c>
      <c r="P228" t="s">
        <v>620</v>
      </c>
      <c r="Q228" t="s">
        <v>24</v>
      </c>
      <c r="R228" t="s">
        <v>1150</v>
      </c>
    </row>
    <row r="229" spans="1:18" x14ac:dyDescent="0.3">
      <c r="A229" t="s">
        <v>621</v>
      </c>
      <c r="B229" s="6">
        <v>45732</v>
      </c>
      <c r="C229" t="s">
        <v>462</v>
      </c>
      <c r="D229" t="s">
        <v>1137</v>
      </c>
      <c r="E229" t="s">
        <v>116</v>
      </c>
      <c r="F229" t="s">
        <v>887</v>
      </c>
      <c r="G229" t="s">
        <v>14</v>
      </c>
      <c r="H229" t="s">
        <v>1080</v>
      </c>
      <c r="I229" t="s">
        <v>889</v>
      </c>
      <c r="J229" t="s">
        <v>22</v>
      </c>
      <c r="K229">
        <v>1156.02</v>
      </c>
      <c r="L229">
        <v>10</v>
      </c>
      <c r="M229">
        <v>0.2</v>
      </c>
      <c r="N229">
        <v>11560.2</v>
      </c>
      <c r="O229">
        <v>9248.1600000000017</v>
      </c>
      <c r="P229" t="s">
        <v>186</v>
      </c>
      <c r="Q229" t="s">
        <v>17</v>
      </c>
      <c r="R229" t="s">
        <v>1150</v>
      </c>
    </row>
    <row r="230" spans="1:18" x14ac:dyDescent="0.3">
      <c r="A230" t="s">
        <v>622</v>
      </c>
      <c r="B230" s="6">
        <v>45397</v>
      </c>
      <c r="C230" t="s">
        <v>176</v>
      </c>
      <c r="D230" t="s">
        <v>1120</v>
      </c>
      <c r="E230" t="s">
        <v>210</v>
      </c>
      <c r="F230" t="s">
        <v>892</v>
      </c>
      <c r="G230" t="s">
        <v>82</v>
      </c>
      <c r="H230" t="s">
        <v>1076</v>
      </c>
      <c r="I230" t="s">
        <v>910</v>
      </c>
      <c r="J230" t="s">
        <v>22</v>
      </c>
      <c r="K230">
        <v>1187.29</v>
      </c>
      <c r="L230">
        <v>2</v>
      </c>
      <c r="M230">
        <v>0</v>
      </c>
      <c r="N230">
        <v>2374.58</v>
      </c>
      <c r="O230">
        <v>2374.58</v>
      </c>
      <c r="P230" t="s">
        <v>412</v>
      </c>
      <c r="Q230" t="s">
        <v>30</v>
      </c>
      <c r="R230" t="s">
        <v>1150</v>
      </c>
    </row>
    <row r="231" spans="1:18" x14ac:dyDescent="0.3">
      <c r="A231" t="s">
        <v>623</v>
      </c>
      <c r="B231" s="6">
        <v>45728</v>
      </c>
      <c r="C231" t="s">
        <v>171</v>
      </c>
      <c r="D231" t="s">
        <v>1010</v>
      </c>
      <c r="E231" t="s">
        <v>196</v>
      </c>
      <c r="F231" t="s">
        <v>914</v>
      </c>
      <c r="G231" t="s">
        <v>45</v>
      </c>
      <c r="H231" t="s">
        <v>1096</v>
      </c>
      <c r="I231" t="s">
        <v>882</v>
      </c>
      <c r="J231" t="s">
        <v>22</v>
      </c>
      <c r="K231">
        <v>2184.5100000000002</v>
      </c>
      <c r="L231">
        <v>3</v>
      </c>
      <c r="M231">
        <v>0.15</v>
      </c>
      <c r="N231">
        <v>6553.5300000000007</v>
      </c>
      <c r="O231">
        <v>5570.5005000000001</v>
      </c>
      <c r="P231" t="s">
        <v>78</v>
      </c>
      <c r="Q231" t="s">
        <v>30</v>
      </c>
      <c r="R231" t="s">
        <v>1150</v>
      </c>
    </row>
    <row r="232" spans="1:18" x14ac:dyDescent="0.3">
      <c r="A232" t="s">
        <v>624</v>
      </c>
      <c r="B232" s="6">
        <v>45335</v>
      </c>
      <c r="C232" t="s">
        <v>27</v>
      </c>
      <c r="D232" t="s">
        <v>1105</v>
      </c>
      <c r="E232" t="s">
        <v>13</v>
      </c>
      <c r="F232" t="s">
        <v>885</v>
      </c>
      <c r="G232" t="s">
        <v>14</v>
      </c>
      <c r="H232" t="s">
        <v>1080</v>
      </c>
      <c r="I232" t="s">
        <v>910</v>
      </c>
      <c r="J232" t="s">
        <v>22</v>
      </c>
      <c r="K232">
        <v>3493.54</v>
      </c>
      <c r="L232">
        <v>6</v>
      </c>
      <c r="M232">
        <v>0.1</v>
      </c>
      <c r="N232">
        <v>20961.239999999998</v>
      </c>
      <c r="O232">
        <v>18865.115999999998</v>
      </c>
      <c r="P232" t="s">
        <v>298</v>
      </c>
      <c r="Q232" t="s">
        <v>24</v>
      </c>
      <c r="R232" t="s">
        <v>1150</v>
      </c>
    </row>
    <row r="233" spans="1:18" x14ac:dyDescent="0.3">
      <c r="A233" t="s">
        <v>625</v>
      </c>
      <c r="B233" s="6">
        <v>45368</v>
      </c>
      <c r="C233" t="s">
        <v>187</v>
      </c>
      <c r="D233" t="s">
        <v>1122</v>
      </c>
      <c r="E233" t="s">
        <v>148</v>
      </c>
      <c r="F233" t="s">
        <v>913</v>
      </c>
      <c r="G233" t="s">
        <v>34</v>
      </c>
      <c r="H233" t="s">
        <v>1078</v>
      </c>
      <c r="I233" t="s">
        <v>931</v>
      </c>
      <c r="J233" t="s">
        <v>15</v>
      </c>
      <c r="K233">
        <v>3576.75</v>
      </c>
      <c r="L233">
        <v>7</v>
      </c>
      <c r="M233">
        <v>0</v>
      </c>
      <c r="N233">
        <v>25037.25</v>
      </c>
      <c r="O233">
        <v>25037.25</v>
      </c>
      <c r="P233" t="s">
        <v>626</v>
      </c>
      <c r="Q233" t="s">
        <v>24</v>
      </c>
      <c r="R233" t="s">
        <v>1150</v>
      </c>
    </row>
    <row r="234" spans="1:18" x14ac:dyDescent="0.3">
      <c r="A234" t="s">
        <v>627</v>
      </c>
      <c r="B234" s="6">
        <v>45438</v>
      </c>
      <c r="C234" t="s">
        <v>32</v>
      </c>
      <c r="D234" t="s">
        <v>1106</v>
      </c>
      <c r="E234" t="s">
        <v>54</v>
      </c>
      <c r="F234" t="s">
        <v>933</v>
      </c>
      <c r="G234" t="s">
        <v>82</v>
      </c>
      <c r="H234" t="s">
        <v>1076</v>
      </c>
      <c r="I234" t="s">
        <v>889</v>
      </c>
      <c r="J234" t="s">
        <v>73</v>
      </c>
      <c r="K234">
        <v>3929.31</v>
      </c>
      <c r="L234">
        <v>10</v>
      </c>
      <c r="M234">
        <v>0.15</v>
      </c>
      <c r="N234">
        <v>39293.1</v>
      </c>
      <c r="O234">
        <v>33399.134999999995</v>
      </c>
      <c r="P234" t="s">
        <v>628</v>
      </c>
      <c r="Q234" t="s">
        <v>60</v>
      </c>
      <c r="R234" t="s">
        <v>1150</v>
      </c>
    </row>
    <row r="235" spans="1:18" x14ac:dyDescent="0.3">
      <c r="A235" t="s">
        <v>629</v>
      </c>
      <c r="B235" s="6">
        <v>45360</v>
      </c>
      <c r="C235" t="s">
        <v>607</v>
      </c>
      <c r="D235" t="s">
        <v>1141</v>
      </c>
      <c r="E235" t="s">
        <v>77</v>
      </c>
      <c r="F235" t="s">
        <v>891</v>
      </c>
      <c r="G235" t="s">
        <v>21</v>
      </c>
      <c r="H235" t="s">
        <v>1073</v>
      </c>
      <c r="I235" t="s">
        <v>882</v>
      </c>
      <c r="J235" t="s">
        <v>22</v>
      </c>
      <c r="K235">
        <v>3550.89</v>
      </c>
      <c r="L235">
        <v>4</v>
      </c>
      <c r="M235">
        <v>0.2</v>
      </c>
      <c r="N235">
        <v>14203.56</v>
      </c>
      <c r="O235">
        <v>11362.848</v>
      </c>
      <c r="P235" t="s">
        <v>65</v>
      </c>
      <c r="Q235" t="s">
        <v>30</v>
      </c>
      <c r="R235" t="s">
        <v>1150</v>
      </c>
    </row>
    <row r="236" spans="1:18" x14ac:dyDescent="0.3">
      <c r="A236" t="s">
        <v>631</v>
      </c>
      <c r="B236" s="6">
        <v>45325</v>
      </c>
      <c r="C236" t="s">
        <v>171</v>
      </c>
      <c r="D236" t="s">
        <v>1010</v>
      </c>
      <c r="E236" t="s">
        <v>94</v>
      </c>
      <c r="F236" t="s">
        <v>884</v>
      </c>
      <c r="G236" t="s">
        <v>34</v>
      </c>
      <c r="H236" t="s">
        <v>1078</v>
      </c>
      <c r="I236" t="s">
        <v>931</v>
      </c>
      <c r="J236" t="s">
        <v>22</v>
      </c>
      <c r="K236">
        <v>3610.44</v>
      </c>
      <c r="L236">
        <v>10</v>
      </c>
      <c r="M236">
        <v>0</v>
      </c>
      <c r="N236">
        <v>36104.400000000001</v>
      </c>
      <c r="O236">
        <v>36104.400000000001</v>
      </c>
      <c r="P236" t="s">
        <v>297</v>
      </c>
      <c r="Q236" t="s">
        <v>17</v>
      </c>
      <c r="R236" t="s">
        <v>1150</v>
      </c>
    </row>
    <row r="237" spans="1:18" x14ac:dyDescent="0.3">
      <c r="A237" t="s">
        <v>632</v>
      </c>
      <c r="B237" s="6">
        <v>45746</v>
      </c>
      <c r="C237" t="s">
        <v>152</v>
      </c>
      <c r="D237" t="s">
        <v>944</v>
      </c>
      <c r="E237" t="s">
        <v>389</v>
      </c>
      <c r="F237" t="s">
        <v>935</v>
      </c>
      <c r="G237" t="s">
        <v>21</v>
      </c>
      <c r="H237" t="s">
        <v>1073</v>
      </c>
      <c r="I237" t="s">
        <v>882</v>
      </c>
      <c r="J237" t="s">
        <v>22</v>
      </c>
      <c r="K237">
        <v>991.59</v>
      </c>
      <c r="L237">
        <v>2</v>
      </c>
      <c r="M237">
        <v>0.1</v>
      </c>
      <c r="N237">
        <v>1983.18</v>
      </c>
      <c r="O237">
        <v>1784.8620000000001</v>
      </c>
      <c r="P237" t="s">
        <v>337</v>
      </c>
      <c r="Q237" t="s">
        <v>30</v>
      </c>
      <c r="R237" t="s">
        <v>1150</v>
      </c>
    </row>
    <row r="238" spans="1:18" x14ac:dyDescent="0.3">
      <c r="A238" t="s">
        <v>633</v>
      </c>
      <c r="B238" s="6">
        <v>45613</v>
      </c>
      <c r="C238" t="s">
        <v>392</v>
      </c>
      <c r="D238" t="s">
        <v>1134</v>
      </c>
      <c r="E238" t="s">
        <v>67</v>
      </c>
      <c r="F238" t="s">
        <v>883</v>
      </c>
      <c r="G238" t="s">
        <v>82</v>
      </c>
      <c r="H238" t="s">
        <v>1076</v>
      </c>
      <c r="I238" t="s">
        <v>924</v>
      </c>
      <c r="J238" t="s">
        <v>73</v>
      </c>
      <c r="K238">
        <v>3205.14</v>
      </c>
      <c r="L238">
        <v>5</v>
      </c>
      <c r="M238">
        <v>0</v>
      </c>
      <c r="N238">
        <v>16025.699999999999</v>
      </c>
      <c r="O238">
        <v>16025.699999999999</v>
      </c>
      <c r="P238" t="s">
        <v>513</v>
      </c>
      <c r="Q238" t="s">
        <v>60</v>
      </c>
      <c r="R238" t="s">
        <v>1150</v>
      </c>
    </row>
    <row r="239" spans="1:18" x14ac:dyDescent="0.3">
      <c r="A239" t="s">
        <v>635</v>
      </c>
      <c r="B239" s="6">
        <v>45803</v>
      </c>
      <c r="C239" t="s">
        <v>110</v>
      </c>
      <c r="D239" t="s">
        <v>983</v>
      </c>
      <c r="E239" t="s">
        <v>121</v>
      </c>
      <c r="F239" t="s">
        <v>925</v>
      </c>
      <c r="G239" t="s">
        <v>82</v>
      </c>
      <c r="H239" t="s">
        <v>1076</v>
      </c>
      <c r="I239" t="s">
        <v>903</v>
      </c>
      <c r="J239" t="s">
        <v>73</v>
      </c>
      <c r="K239">
        <v>3414.07</v>
      </c>
      <c r="L239">
        <v>9</v>
      </c>
      <c r="M239">
        <v>0.05</v>
      </c>
      <c r="N239">
        <v>30726.63</v>
      </c>
      <c r="O239">
        <v>29190.298500000001</v>
      </c>
      <c r="P239" t="s">
        <v>288</v>
      </c>
      <c r="Q239" t="s">
        <v>17</v>
      </c>
      <c r="R239" t="s">
        <v>1150</v>
      </c>
    </row>
    <row r="240" spans="1:18" x14ac:dyDescent="0.3">
      <c r="A240" t="s">
        <v>636</v>
      </c>
      <c r="B240" s="6">
        <v>45558</v>
      </c>
      <c r="C240" t="s">
        <v>152</v>
      </c>
      <c r="D240" t="s">
        <v>944</v>
      </c>
      <c r="E240" t="s">
        <v>206</v>
      </c>
      <c r="F240" t="s">
        <v>906</v>
      </c>
      <c r="G240" t="s">
        <v>21</v>
      </c>
      <c r="H240" t="s">
        <v>1073</v>
      </c>
      <c r="I240" t="s">
        <v>882</v>
      </c>
      <c r="J240" t="s">
        <v>22</v>
      </c>
      <c r="K240">
        <v>2779.58</v>
      </c>
      <c r="L240">
        <v>0</v>
      </c>
      <c r="M240">
        <v>0</v>
      </c>
      <c r="N240">
        <v>0</v>
      </c>
      <c r="O240">
        <v>0</v>
      </c>
      <c r="P240" t="s">
        <v>637</v>
      </c>
      <c r="Q240" t="s">
        <v>30</v>
      </c>
      <c r="R240" t="s">
        <v>1151</v>
      </c>
    </row>
    <row r="241" spans="1:18" x14ac:dyDescent="0.3">
      <c r="A241" t="s">
        <v>638</v>
      </c>
      <c r="B241" s="6">
        <v>45496</v>
      </c>
      <c r="C241" t="s">
        <v>141</v>
      </c>
      <c r="D241" t="s">
        <v>1115</v>
      </c>
      <c r="E241" t="s">
        <v>260</v>
      </c>
      <c r="F241" t="s">
        <v>887</v>
      </c>
      <c r="G241" t="s">
        <v>82</v>
      </c>
      <c r="H241" t="s">
        <v>1076</v>
      </c>
      <c r="I241" t="s">
        <v>896</v>
      </c>
      <c r="J241" t="s">
        <v>35</v>
      </c>
      <c r="K241">
        <v>3981.64</v>
      </c>
      <c r="L241">
        <v>2</v>
      </c>
      <c r="M241">
        <v>0</v>
      </c>
      <c r="N241">
        <v>7963.28</v>
      </c>
      <c r="O241">
        <v>7963.28</v>
      </c>
      <c r="P241" t="s">
        <v>611</v>
      </c>
      <c r="Q241" t="s">
        <v>60</v>
      </c>
      <c r="R241" t="s">
        <v>1150</v>
      </c>
    </row>
    <row r="242" spans="1:18" x14ac:dyDescent="0.3">
      <c r="A242" t="s">
        <v>639</v>
      </c>
      <c r="B242" s="6">
        <v>45747</v>
      </c>
      <c r="C242" t="s">
        <v>120</v>
      </c>
      <c r="D242" t="s">
        <v>993</v>
      </c>
      <c r="E242" t="s">
        <v>116</v>
      </c>
      <c r="F242" t="s">
        <v>895</v>
      </c>
      <c r="G242" t="s">
        <v>21</v>
      </c>
      <c r="H242" t="s">
        <v>1073</v>
      </c>
      <c r="I242" t="s">
        <v>889</v>
      </c>
      <c r="J242" t="s">
        <v>22</v>
      </c>
      <c r="K242">
        <v>1156.02</v>
      </c>
      <c r="L242">
        <v>2</v>
      </c>
      <c r="M242">
        <v>0.2</v>
      </c>
      <c r="N242">
        <v>2312.04</v>
      </c>
      <c r="O242">
        <v>1849.6320000000001</v>
      </c>
      <c r="P242" t="s">
        <v>423</v>
      </c>
      <c r="Q242" t="s">
        <v>24</v>
      </c>
      <c r="R242" t="s">
        <v>1150</v>
      </c>
    </row>
    <row r="243" spans="1:18" x14ac:dyDescent="0.3">
      <c r="A243" t="s">
        <v>640</v>
      </c>
      <c r="B243" s="6">
        <v>45589</v>
      </c>
      <c r="C243" t="s">
        <v>245</v>
      </c>
      <c r="D243" t="s">
        <v>1128</v>
      </c>
      <c r="E243" t="s">
        <v>240</v>
      </c>
      <c r="F243" t="s">
        <v>892</v>
      </c>
      <c r="G243" t="s">
        <v>82</v>
      </c>
      <c r="H243" t="s">
        <v>1076</v>
      </c>
      <c r="I243" t="s">
        <v>917</v>
      </c>
      <c r="J243" t="s">
        <v>15</v>
      </c>
      <c r="K243">
        <v>2036.67</v>
      </c>
      <c r="L243">
        <v>5</v>
      </c>
      <c r="M243">
        <v>0.2</v>
      </c>
      <c r="N243">
        <v>10183.35</v>
      </c>
      <c r="O243">
        <v>8146.68</v>
      </c>
      <c r="P243" t="s">
        <v>641</v>
      </c>
      <c r="Q243" t="s">
        <v>17</v>
      </c>
      <c r="R243" t="s">
        <v>1150</v>
      </c>
    </row>
    <row r="244" spans="1:18" x14ac:dyDescent="0.3">
      <c r="A244" t="s">
        <v>642</v>
      </c>
      <c r="B244" s="6">
        <v>45812</v>
      </c>
      <c r="C244" t="s">
        <v>53</v>
      </c>
      <c r="D244" t="s">
        <v>1047</v>
      </c>
      <c r="E244" t="s">
        <v>468</v>
      </c>
      <c r="F244" t="s">
        <v>920</v>
      </c>
      <c r="G244" t="s">
        <v>82</v>
      </c>
      <c r="H244" t="s">
        <v>1076</v>
      </c>
      <c r="I244" t="s">
        <v>924</v>
      </c>
      <c r="J244" t="s">
        <v>15</v>
      </c>
      <c r="K244">
        <v>2113.67</v>
      </c>
      <c r="L244">
        <v>4</v>
      </c>
      <c r="M244">
        <v>0</v>
      </c>
      <c r="N244">
        <v>8454.68</v>
      </c>
      <c r="O244">
        <v>8454.68</v>
      </c>
      <c r="P244" t="s">
        <v>643</v>
      </c>
      <c r="Q244" t="s">
        <v>60</v>
      </c>
      <c r="R244" t="s">
        <v>1150</v>
      </c>
    </row>
    <row r="245" spans="1:18" x14ac:dyDescent="0.3">
      <c r="A245" t="s">
        <v>644</v>
      </c>
      <c r="B245" s="6">
        <v>45797</v>
      </c>
      <c r="C245" t="s">
        <v>279</v>
      </c>
      <c r="D245" t="s">
        <v>1130</v>
      </c>
      <c r="E245" t="s">
        <v>196</v>
      </c>
      <c r="F245" t="s">
        <v>926</v>
      </c>
      <c r="G245" t="s">
        <v>82</v>
      </c>
      <c r="H245" t="s">
        <v>1076</v>
      </c>
      <c r="I245" t="s">
        <v>882</v>
      </c>
      <c r="J245" t="s">
        <v>22</v>
      </c>
      <c r="K245">
        <v>2184.5100000000002</v>
      </c>
      <c r="L245">
        <v>1</v>
      </c>
      <c r="M245">
        <v>0</v>
      </c>
      <c r="N245">
        <v>2184.5100000000002</v>
      </c>
      <c r="O245">
        <v>2184.5100000000002</v>
      </c>
      <c r="P245" t="s">
        <v>579</v>
      </c>
      <c r="Q245" t="s">
        <v>30</v>
      </c>
      <c r="R245" t="s">
        <v>1150</v>
      </c>
    </row>
    <row r="246" spans="1:18" x14ac:dyDescent="0.3">
      <c r="A246" t="s">
        <v>645</v>
      </c>
      <c r="B246" s="6">
        <v>45424</v>
      </c>
      <c r="C246" t="s">
        <v>49</v>
      </c>
      <c r="D246" t="s">
        <v>1107</v>
      </c>
      <c r="E246" t="s">
        <v>116</v>
      </c>
      <c r="F246" t="s">
        <v>885</v>
      </c>
      <c r="G246" t="s">
        <v>45</v>
      </c>
      <c r="H246" t="s">
        <v>1096</v>
      </c>
      <c r="I246" t="s">
        <v>889</v>
      </c>
      <c r="J246" t="s">
        <v>22</v>
      </c>
      <c r="K246">
        <v>1156.02</v>
      </c>
      <c r="L246">
        <v>10</v>
      </c>
      <c r="M246">
        <v>0</v>
      </c>
      <c r="N246">
        <v>11560.2</v>
      </c>
      <c r="O246">
        <v>11560.2</v>
      </c>
      <c r="P246" t="s">
        <v>319</v>
      </c>
      <c r="Q246" t="s">
        <v>30</v>
      </c>
      <c r="R246" t="s">
        <v>1150</v>
      </c>
    </row>
    <row r="247" spans="1:18" x14ac:dyDescent="0.3">
      <c r="A247" t="s">
        <v>646</v>
      </c>
      <c r="B247" s="6">
        <v>45782</v>
      </c>
      <c r="C247" t="s">
        <v>89</v>
      </c>
      <c r="D247" t="s">
        <v>1059</v>
      </c>
      <c r="E247" t="s">
        <v>468</v>
      </c>
      <c r="F247" t="s">
        <v>892</v>
      </c>
      <c r="G247" t="s">
        <v>45</v>
      </c>
      <c r="H247" t="s">
        <v>1096</v>
      </c>
      <c r="I247" t="s">
        <v>924</v>
      </c>
      <c r="J247" t="s">
        <v>73</v>
      </c>
      <c r="K247">
        <v>2113.67</v>
      </c>
      <c r="L247">
        <v>9</v>
      </c>
      <c r="M247">
        <v>0.05</v>
      </c>
      <c r="N247">
        <v>19023.03</v>
      </c>
      <c r="O247">
        <v>18071.878499999999</v>
      </c>
      <c r="P247" t="s">
        <v>647</v>
      </c>
      <c r="Q247" t="s">
        <v>60</v>
      </c>
      <c r="R247" t="s">
        <v>1150</v>
      </c>
    </row>
    <row r="248" spans="1:18" x14ac:dyDescent="0.3">
      <c r="A248" t="s">
        <v>648</v>
      </c>
      <c r="B248" s="6">
        <v>45616</v>
      </c>
      <c r="C248" t="s">
        <v>98</v>
      </c>
      <c r="D248" t="s">
        <v>1110</v>
      </c>
      <c r="E248" t="s">
        <v>468</v>
      </c>
      <c r="F248" t="s">
        <v>926</v>
      </c>
      <c r="G248" t="s">
        <v>82</v>
      </c>
      <c r="H248" t="s">
        <v>1076</v>
      </c>
      <c r="I248" t="s">
        <v>924</v>
      </c>
      <c r="J248" t="s">
        <v>22</v>
      </c>
      <c r="K248">
        <v>2113.67</v>
      </c>
      <c r="L248">
        <v>2</v>
      </c>
      <c r="M248">
        <v>0.05</v>
      </c>
      <c r="N248">
        <v>4227.34</v>
      </c>
      <c r="O248">
        <v>4015.973</v>
      </c>
      <c r="P248" t="s">
        <v>365</v>
      </c>
      <c r="Q248" t="s">
        <v>60</v>
      </c>
      <c r="R248" t="s">
        <v>1150</v>
      </c>
    </row>
    <row r="249" spans="1:18" x14ac:dyDescent="0.3">
      <c r="A249" t="s">
        <v>649</v>
      </c>
      <c r="B249" s="6">
        <v>45478</v>
      </c>
      <c r="C249" t="s">
        <v>476</v>
      </c>
      <c r="D249" t="s">
        <v>983</v>
      </c>
      <c r="E249" t="s">
        <v>468</v>
      </c>
      <c r="F249" t="s">
        <v>926</v>
      </c>
      <c r="G249" t="s">
        <v>82</v>
      </c>
      <c r="H249" t="s">
        <v>1076</v>
      </c>
      <c r="I249" t="s">
        <v>924</v>
      </c>
      <c r="J249" t="s">
        <v>73</v>
      </c>
      <c r="K249">
        <v>2113.67</v>
      </c>
      <c r="L249">
        <v>3</v>
      </c>
      <c r="M249">
        <v>0.05</v>
      </c>
      <c r="N249">
        <v>6341.01</v>
      </c>
      <c r="O249">
        <v>6023.9594999999999</v>
      </c>
      <c r="P249" t="s">
        <v>330</v>
      </c>
      <c r="Q249" t="s">
        <v>24</v>
      </c>
      <c r="R249" t="s">
        <v>1150</v>
      </c>
    </row>
    <row r="250" spans="1:18" x14ac:dyDescent="0.3">
      <c r="A250" t="s">
        <v>650</v>
      </c>
      <c r="B250" s="6">
        <v>45822</v>
      </c>
      <c r="C250" t="s">
        <v>80</v>
      </c>
      <c r="D250" t="s">
        <v>1109</v>
      </c>
      <c r="E250" t="s">
        <v>33</v>
      </c>
      <c r="F250" t="s">
        <v>926</v>
      </c>
      <c r="G250" t="s">
        <v>82</v>
      </c>
      <c r="H250" t="s">
        <v>1076</v>
      </c>
      <c r="I250" t="s">
        <v>931</v>
      </c>
      <c r="J250" t="s">
        <v>15</v>
      </c>
      <c r="K250">
        <v>620.89</v>
      </c>
      <c r="L250">
        <v>3</v>
      </c>
      <c r="M250">
        <v>0</v>
      </c>
      <c r="N250">
        <v>1862.67</v>
      </c>
      <c r="O250">
        <v>1862.67</v>
      </c>
      <c r="P250" t="s">
        <v>651</v>
      </c>
      <c r="Q250" t="s">
        <v>17</v>
      </c>
      <c r="R250" t="s">
        <v>1150</v>
      </c>
    </row>
    <row r="251" spans="1:18" x14ac:dyDescent="0.3">
      <c r="A251" t="s">
        <v>652</v>
      </c>
      <c r="B251" s="6">
        <v>45522</v>
      </c>
      <c r="C251" t="s">
        <v>168</v>
      </c>
      <c r="D251" t="s">
        <v>1119</v>
      </c>
      <c r="E251" t="s">
        <v>345</v>
      </c>
      <c r="F251" t="s">
        <v>932</v>
      </c>
      <c r="G251" t="s">
        <v>45</v>
      </c>
      <c r="H251" t="s">
        <v>1096</v>
      </c>
      <c r="I251" t="s">
        <v>924</v>
      </c>
      <c r="J251" t="s">
        <v>73</v>
      </c>
      <c r="K251">
        <v>1212.79</v>
      </c>
      <c r="L251">
        <v>6</v>
      </c>
      <c r="M251">
        <v>0.1</v>
      </c>
      <c r="N251">
        <v>7276.74</v>
      </c>
      <c r="O251">
        <v>6549.0659999999998</v>
      </c>
      <c r="P251" t="s">
        <v>653</v>
      </c>
      <c r="Q251" t="s">
        <v>17</v>
      </c>
      <c r="R251" t="s">
        <v>1150</v>
      </c>
    </row>
    <row r="252" spans="1:18" x14ac:dyDescent="0.3">
      <c r="A252" t="s">
        <v>654</v>
      </c>
      <c r="B252" s="6">
        <v>45493</v>
      </c>
      <c r="C252" t="s">
        <v>279</v>
      </c>
      <c r="D252" t="s">
        <v>1130</v>
      </c>
      <c r="E252" t="s">
        <v>125</v>
      </c>
      <c r="F252" t="s">
        <v>927</v>
      </c>
      <c r="G252" t="s">
        <v>45</v>
      </c>
      <c r="H252" t="s">
        <v>1096</v>
      </c>
      <c r="I252" t="s">
        <v>931</v>
      </c>
      <c r="J252" t="s">
        <v>22</v>
      </c>
      <c r="K252">
        <v>2458.91</v>
      </c>
      <c r="L252">
        <v>9</v>
      </c>
      <c r="M252">
        <v>0</v>
      </c>
      <c r="N252">
        <v>22130.19</v>
      </c>
      <c r="O252">
        <v>22130.19</v>
      </c>
      <c r="P252" t="s">
        <v>63</v>
      </c>
      <c r="Q252" t="s">
        <v>42</v>
      </c>
      <c r="R252" t="s">
        <v>1150</v>
      </c>
    </row>
    <row r="253" spans="1:18" x14ac:dyDescent="0.3">
      <c r="A253" t="s">
        <v>656</v>
      </c>
      <c r="B253" s="6">
        <v>45387</v>
      </c>
      <c r="C253" t="s">
        <v>168</v>
      </c>
      <c r="D253" t="s">
        <v>1119</v>
      </c>
      <c r="E253" t="s">
        <v>81</v>
      </c>
      <c r="F253" t="s">
        <v>930</v>
      </c>
      <c r="G253" t="s">
        <v>82</v>
      </c>
      <c r="H253" t="s">
        <v>1076</v>
      </c>
      <c r="I253" t="s">
        <v>882</v>
      </c>
      <c r="J253" t="s">
        <v>15</v>
      </c>
      <c r="K253">
        <v>1044.7</v>
      </c>
      <c r="L253">
        <v>9</v>
      </c>
      <c r="M253">
        <v>0.15</v>
      </c>
      <c r="N253">
        <v>9402.3000000000011</v>
      </c>
      <c r="O253">
        <v>7991.9550000000008</v>
      </c>
      <c r="P253" t="s">
        <v>657</v>
      </c>
      <c r="Q253" t="s">
        <v>60</v>
      </c>
      <c r="R253" t="s">
        <v>1150</v>
      </c>
    </row>
    <row r="254" spans="1:18" x14ac:dyDescent="0.3">
      <c r="A254" t="s">
        <v>658</v>
      </c>
      <c r="B254" s="6">
        <v>45637</v>
      </c>
      <c r="C254" t="s">
        <v>27</v>
      </c>
      <c r="D254" t="s">
        <v>1105</v>
      </c>
      <c r="E254" t="s">
        <v>226</v>
      </c>
      <c r="F254" t="s">
        <v>886</v>
      </c>
      <c r="G254" t="s">
        <v>45</v>
      </c>
      <c r="H254" t="s">
        <v>1096</v>
      </c>
      <c r="I254" t="s">
        <v>903</v>
      </c>
      <c r="J254" t="s">
        <v>73</v>
      </c>
      <c r="K254">
        <v>2359.5</v>
      </c>
      <c r="L254">
        <v>10</v>
      </c>
      <c r="M254">
        <v>0</v>
      </c>
      <c r="N254">
        <v>23595</v>
      </c>
      <c r="O254">
        <v>23595</v>
      </c>
      <c r="P254" t="s">
        <v>223</v>
      </c>
      <c r="Q254" t="s">
        <v>24</v>
      </c>
      <c r="R254" t="s">
        <v>1150</v>
      </c>
    </row>
    <row r="255" spans="1:18" x14ac:dyDescent="0.3">
      <c r="A255" t="s">
        <v>659</v>
      </c>
      <c r="B255" s="6">
        <v>45563</v>
      </c>
      <c r="C255" t="s">
        <v>403</v>
      </c>
      <c r="D255" t="s">
        <v>1135</v>
      </c>
      <c r="E255" t="s">
        <v>33</v>
      </c>
      <c r="F255" t="s">
        <v>904</v>
      </c>
      <c r="G255" t="s">
        <v>45</v>
      </c>
      <c r="H255" t="s">
        <v>1096</v>
      </c>
      <c r="I255" t="s">
        <v>931</v>
      </c>
      <c r="J255" t="s">
        <v>35</v>
      </c>
      <c r="K255">
        <v>620.89</v>
      </c>
      <c r="L255">
        <v>4</v>
      </c>
      <c r="M255">
        <v>0.2</v>
      </c>
      <c r="N255">
        <v>2483.56</v>
      </c>
      <c r="O255">
        <v>1986.848</v>
      </c>
      <c r="P255" t="s">
        <v>97</v>
      </c>
      <c r="Q255" t="s">
        <v>42</v>
      </c>
      <c r="R255" t="s">
        <v>1150</v>
      </c>
    </row>
    <row r="256" spans="1:18" x14ac:dyDescent="0.3">
      <c r="A256" t="s">
        <v>660</v>
      </c>
      <c r="B256" s="6">
        <v>45323</v>
      </c>
      <c r="C256" t="s">
        <v>180</v>
      </c>
      <c r="D256" t="s">
        <v>1121</v>
      </c>
      <c r="E256" t="s">
        <v>77</v>
      </c>
      <c r="F256" t="s">
        <v>932</v>
      </c>
      <c r="G256" t="s">
        <v>14</v>
      </c>
      <c r="H256" t="s">
        <v>1080</v>
      </c>
      <c r="I256" t="s">
        <v>882</v>
      </c>
      <c r="J256" t="s">
        <v>22</v>
      </c>
      <c r="K256">
        <v>3550.89</v>
      </c>
      <c r="L256">
        <v>8</v>
      </c>
      <c r="M256">
        <v>0.15</v>
      </c>
      <c r="N256">
        <v>28407.119999999999</v>
      </c>
      <c r="O256">
        <v>24146.052</v>
      </c>
      <c r="P256" t="s">
        <v>290</v>
      </c>
      <c r="Q256" t="s">
        <v>17</v>
      </c>
      <c r="R256" t="s">
        <v>1150</v>
      </c>
    </row>
    <row r="257" spans="1:18" x14ac:dyDescent="0.3">
      <c r="A257" t="s">
        <v>661</v>
      </c>
      <c r="B257" s="6">
        <v>45786</v>
      </c>
      <c r="C257" t="s">
        <v>273</v>
      </c>
      <c r="D257" t="s">
        <v>1129</v>
      </c>
      <c r="E257" t="s">
        <v>77</v>
      </c>
      <c r="F257" t="s">
        <v>884</v>
      </c>
      <c r="G257" t="s">
        <v>82</v>
      </c>
      <c r="H257" t="s">
        <v>1076</v>
      </c>
      <c r="I257" t="s">
        <v>882</v>
      </c>
      <c r="J257" t="s">
        <v>22</v>
      </c>
      <c r="K257">
        <v>3550.89</v>
      </c>
      <c r="L257">
        <v>4</v>
      </c>
      <c r="M257">
        <v>0.2</v>
      </c>
      <c r="N257">
        <v>14203.56</v>
      </c>
      <c r="O257">
        <v>11362.848</v>
      </c>
      <c r="P257" t="s">
        <v>662</v>
      </c>
      <c r="Q257" t="s">
        <v>30</v>
      </c>
      <c r="R257" t="s">
        <v>1150</v>
      </c>
    </row>
    <row r="258" spans="1:18" x14ac:dyDescent="0.3">
      <c r="A258" t="s">
        <v>663</v>
      </c>
      <c r="B258" s="6">
        <v>45366</v>
      </c>
      <c r="C258" t="s">
        <v>157</v>
      </c>
      <c r="D258" t="s">
        <v>1117</v>
      </c>
      <c r="E258" t="s">
        <v>20</v>
      </c>
      <c r="F258" t="s">
        <v>884</v>
      </c>
      <c r="G258" t="s">
        <v>34</v>
      </c>
      <c r="H258" t="s">
        <v>1078</v>
      </c>
      <c r="I258" t="s">
        <v>896</v>
      </c>
      <c r="J258" t="s">
        <v>35</v>
      </c>
      <c r="K258">
        <v>3772.12</v>
      </c>
      <c r="L258">
        <v>1</v>
      </c>
      <c r="M258">
        <v>0</v>
      </c>
      <c r="N258">
        <v>3772.12</v>
      </c>
      <c r="O258">
        <v>3772.12</v>
      </c>
      <c r="P258" t="s">
        <v>664</v>
      </c>
      <c r="Q258" t="s">
        <v>30</v>
      </c>
      <c r="R258" t="s">
        <v>1150</v>
      </c>
    </row>
    <row r="259" spans="1:18" x14ac:dyDescent="0.3">
      <c r="A259" t="s">
        <v>665</v>
      </c>
      <c r="B259" s="6">
        <v>45767</v>
      </c>
      <c r="C259" t="s">
        <v>124</v>
      </c>
      <c r="D259" t="s">
        <v>1112</v>
      </c>
      <c r="E259" t="s">
        <v>206</v>
      </c>
      <c r="F259" t="s">
        <v>899</v>
      </c>
      <c r="G259" t="s">
        <v>45</v>
      </c>
      <c r="H259" t="s">
        <v>1096</v>
      </c>
      <c r="I259" t="s">
        <v>882</v>
      </c>
      <c r="J259" t="s">
        <v>15</v>
      </c>
      <c r="K259">
        <v>2779.58</v>
      </c>
      <c r="L259">
        <v>4</v>
      </c>
      <c r="M259">
        <v>0</v>
      </c>
      <c r="N259">
        <v>11118.32</v>
      </c>
      <c r="O259">
        <v>11118.32</v>
      </c>
      <c r="P259" t="s">
        <v>666</v>
      </c>
      <c r="Q259" t="s">
        <v>17</v>
      </c>
      <c r="R259" t="s">
        <v>1150</v>
      </c>
    </row>
    <row r="260" spans="1:18" x14ac:dyDescent="0.3">
      <c r="A260" t="s">
        <v>667</v>
      </c>
      <c r="B260" s="6">
        <v>45618</v>
      </c>
      <c r="C260" t="s">
        <v>120</v>
      </c>
      <c r="D260" t="s">
        <v>993</v>
      </c>
      <c r="E260" t="s">
        <v>254</v>
      </c>
      <c r="F260" t="s">
        <v>887</v>
      </c>
      <c r="G260" t="s">
        <v>34</v>
      </c>
      <c r="H260" t="s">
        <v>1078</v>
      </c>
      <c r="I260" t="s">
        <v>917</v>
      </c>
      <c r="J260" t="s">
        <v>22</v>
      </c>
      <c r="K260">
        <v>605.26</v>
      </c>
      <c r="L260">
        <v>6</v>
      </c>
      <c r="M260">
        <v>0.05</v>
      </c>
      <c r="N260">
        <v>3631.56</v>
      </c>
      <c r="O260">
        <v>3449.982</v>
      </c>
      <c r="P260" t="s">
        <v>48</v>
      </c>
      <c r="Q260" t="s">
        <v>42</v>
      </c>
      <c r="R260" t="s">
        <v>1150</v>
      </c>
    </row>
    <row r="261" spans="1:18" x14ac:dyDescent="0.3">
      <c r="A261" t="s">
        <v>668</v>
      </c>
      <c r="B261" s="6">
        <v>45400</v>
      </c>
      <c r="C261" t="s">
        <v>141</v>
      </c>
      <c r="D261" t="s">
        <v>1115</v>
      </c>
      <c r="E261" t="s">
        <v>196</v>
      </c>
      <c r="F261" t="s">
        <v>918</v>
      </c>
      <c r="G261" t="s">
        <v>82</v>
      </c>
      <c r="H261" t="s">
        <v>1076</v>
      </c>
      <c r="I261" t="s">
        <v>882</v>
      </c>
      <c r="J261" t="s">
        <v>73</v>
      </c>
      <c r="K261">
        <v>2184.5100000000002</v>
      </c>
      <c r="L261">
        <v>6</v>
      </c>
      <c r="M261">
        <v>0</v>
      </c>
      <c r="N261">
        <v>13107.060000000001</v>
      </c>
      <c r="O261">
        <v>13107.060000000001</v>
      </c>
      <c r="P261" t="s">
        <v>670</v>
      </c>
      <c r="Q261" t="s">
        <v>17</v>
      </c>
      <c r="R261" t="s">
        <v>1150</v>
      </c>
    </row>
    <row r="262" spans="1:18" x14ac:dyDescent="0.3">
      <c r="A262" t="s">
        <v>671</v>
      </c>
      <c r="B262" s="6">
        <v>45752</v>
      </c>
      <c r="C262" t="s">
        <v>120</v>
      </c>
      <c r="D262" t="s">
        <v>993</v>
      </c>
      <c r="E262" t="s">
        <v>300</v>
      </c>
      <c r="F262" t="s">
        <v>885</v>
      </c>
      <c r="G262" t="s">
        <v>14</v>
      </c>
      <c r="H262" t="s">
        <v>1080</v>
      </c>
      <c r="I262" t="s">
        <v>896</v>
      </c>
      <c r="J262" t="s">
        <v>73</v>
      </c>
      <c r="K262">
        <v>4174.32</v>
      </c>
      <c r="L262">
        <v>4</v>
      </c>
      <c r="M262">
        <v>0</v>
      </c>
      <c r="N262">
        <v>16697.28</v>
      </c>
      <c r="O262">
        <v>16697.28</v>
      </c>
      <c r="P262" t="s">
        <v>562</v>
      </c>
      <c r="Q262" t="s">
        <v>17</v>
      </c>
      <c r="R262" t="s">
        <v>1150</v>
      </c>
    </row>
    <row r="263" spans="1:18" x14ac:dyDescent="0.3">
      <c r="A263" t="s">
        <v>673</v>
      </c>
      <c r="B263" s="6">
        <v>45685</v>
      </c>
      <c r="C263" t="s">
        <v>234</v>
      </c>
      <c r="D263" t="s">
        <v>1127</v>
      </c>
      <c r="E263" t="s">
        <v>153</v>
      </c>
      <c r="F263" t="s">
        <v>901</v>
      </c>
      <c r="G263" t="s">
        <v>82</v>
      </c>
      <c r="H263" t="s">
        <v>1076</v>
      </c>
      <c r="I263" t="s">
        <v>917</v>
      </c>
      <c r="J263" t="s">
        <v>15</v>
      </c>
      <c r="K263">
        <v>2128.4</v>
      </c>
      <c r="L263">
        <v>10</v>
      </c>
      <c r="M263">
        <v>0.05</v>
      </c>
      <c r="N263">
        <v>21284</v>
      </c>
      <c r="O263">
        <v>20219.8</v>
      </c>
      <c r="P263" t="s">
        <v>674</v>
      </c>
      <c r="Q263" t="s">
        <v>17</v>
      </c>
      <c r="R263" t="s">
        <v>1150</v>
      </c>
    </row>
    <row r="264" spans="1:18" x14ac:dyDescent="0.3">
      <c r="A264" t="s">
        <v>675</v>
      </c>
      <c r="B264" s="6">
        <v>45612</v>
      </c>
      <c r="C264" t="s">
        <v>403</v>
      </c>
      <c r="D264" t="s">
        <v>1135</v>
      </c>
      <c r="E264" t="s">
        <v>454</v>
      </c>
      <c r="F264" t="s">
        <v>916</v>
      </c>
      <c r="G264" t="s">
        <v>82</v>
      </c>
      <c r="H264" t="s">
        <v>1076</v>
      </c>
      <c r="I264" t="s">
        <v>917</v>
      </c>
      <c r="J264" t="s">
        <v>35</v>
      </c>
      <c r="K264">
        <v>1253.57</v>
      </c>
      <c r="L264">
        <v>4</v>
      </c>
      <c r="M264">
        <v>0.2</v>
      </c>
      <c r="N264">
        <v>5014.28</v>
      </c>
      <c r="O264">
        <v>4011.424</v>
      </c>
      <c r="P264" t="s">
        <v>513</v>
      </c>
      <c r="Q264" t="s">
        <v>42</v>
      </c>
      <c r="R264" t="s">
        <v>1150</v>
      </c>
    </row>
    <row r="265" spans="1:18" x14ac:dyDescent="0.3">
      <c r="A265" t="s">
        <v>676</v>
      </c>
      <c r="B265" s="6">
        <v>45770</v>
      </c>
      <c r="C265" t="s">
        <v>199</v>
      </c>
      <c r="D265" t="s">
        <v>1123</v>
      </c>
      <c r="E265" t="s">
        <v>121</v>
      </c>
      <c r="F265" t="s">
        <v>921</v>
      </c>
      <c r="G265" t="s">
        <v>14</v>
      </c>
      <c r="H265" t="s">
        <v>1080</v>
      </c>
      <c r="I265" t="s">
        <v>903</v>
      </c>
      <c r="J265" t="s">
        <v>73</v>
      </c>
      <c r="K265">
        <v>3414.07</v>
      </c>
      <c r="L265">
        <v>8</v>
      </c>
      <c r="M265">
        <v>0</v>
      </c>
      <c r="N265">
        <v>27312.560000000001</v>
      </c>
      <c r="O265">
        <v>27312.560000000001</v>
      </c>
      <c r="P265" t="s">
        <v>55</v>
      </c>
      <c r="Q265" t="s">
        <v>24</v>
      </c>
      <c r="R265" t="s">
        <v>1150</v>
      </c>
    </row>
    <row r="266" spans="1:18" x14ac:dyDescent="0.3">
      <c r="A266" t="s">
        <v>677</v>
      </c>
      <c r="B266" s="6">
        <v>45694</v>
      </c>
      <c r="C266" t="s">
        <v>502</v>
      </c>
      <c r="D266" t="s">
        <v>1138</v>
      </c>
      <c r="E266" t="s">
        <v>206</v>
      </c>
      <c r="F266" t="s">
        <v>906</v>
      </c>
      <c r="G266" t="s">
        <v>34</v>
      </c>
      <c r="H266" t="s">
        <v>1078</v>
      </c>
      <c r="I266" t="s">
        <v>882</v>
      </c>
      <c r="J266" t="s">
        <v>15</v>
      </c>
      <c r="K266">
        <v>2779.58</v>
      </c>
      <c r="L266">
        <v>9</v>
      </c>
      <c r="M266">
        <v>0.05</v>
      </c>
      <c r="N266">
        <v>25016.22</v>
      </c>
      <c r="O266">
        <v>23765.409</v>
      </c>
      <c r="P266" t="s">
        <v>501</v>
      </c>
      <c r="Q266" t="s">
        <v>42</v>
      </c>
      <c r="R266" t="s">
        <v>1150</v>
      </c>
    </row>
    <row r="267" spans="1:18" x14ac:dyDescent="0.3">
      <c r="A267" t="s">
        <v>678</v>
      </c>
      <c r="B267" s="6">
        <v>45653</v>
      </c>
      <c r="C267" t="s">
        <v>12</v>
      </c>
      <c r="D267" t="s">
        <v>1103</v>
      </c>
      <c r="E267" t="s">
        <v>300</v>
      </c>
      <c r="F267" t="s">
        <v>887</v>
      </c>
      <c r="G267" t="s">
        <v>14</v>
      </c>
      <c r="H267" t="s">
        <v>1080</v>
      </c>
      <c r="I267" t="s">
        <v>896</v>
      </c>
      <c r="J267" t="s">
        <v>35</v>
      </c>
      <c r="K267">
        <v>4174.32</v>
      </c>
      <c r="L267">
        <v>1</v>
      </c>
      <c r="M267">
        <v>0</v>
      </c>
      <c r="N267">
        <v>4174.32</v>
      </c>
      <c r="O267">
        <v>4174.32</v>
      </c>
      <c r="P267" t="s">
        <v>438</v>
      </c>
      <c r="Q267" t="s">
        <v>42</v>
      </c>
      <c r="R267" t="s">
        <v>1150</v>
      </c>
    </row>
    <row r="268" spans="1:18" x14ac:dyDescent="0.3">
      <c r="A268" t="s">
        <v>679</v>
      </c>
      <c r="B268" s="6">
        <v>45773</v>
      </c>
      <c r="C268" t="s">
        <v>199</v>
      </c>
      <c r="D268" t="s">
        <v>1123</v>
      </c>
      <c r="E268" t="s">
        <v>164</v>
      </c>
      <c r="F268" t="s">
        <v>901</v>
      </c>
      <c r="G268" t="s">
        <v>34</v>
      </c>
      <c r="H268" t="s">
        <v>1078</v>
      </c>
      <c r="I268" t="s">
        <v>917</v>
      </c>
      <c r="J268" t="s">
        <v>73</v>
      </c>
      <c r="K268">
        <v>2489.91</v>
      </c>
      <c r="L268">
        <v>5</v>
      </c>
      <c r="M268">
        <v>0.1</v>
      </c>
      <c r="N268">
        <v>12449.55</v>
      </c>
      <c r="O268">
        <v>11204.594999999999</v>
      </c>
      <c r="P268" t="s">
        <v>680</v>
      </c>
      <c r="Q268" t="s">
        <v>30</v>
      </c>
      <c r="R268" t="s">
        <v>1150</v>
      </c>
    </row>
    <row r="269" spans="1:18" x14ac:dyDescent="0.3">
      <c r="A269" t="s">
        <v>681</v>
      </c>
      <c r="B269" s="6">
        <v>45429</v>
      </c>
      <c r="C269" t="s">
        <v>124</v>
      </c>
      <c r="D269" t="s">
        <v>1112</v>
      </c>
      <c r="E269" t="s">
        <v>454</v>
      </c>
      <c r="F269" t="s">
        <v>922</v>
      </c>
      <c r="G269" t="s">
        <v>82</v>
      </c>
      <c r="H269" t="s">
        <v>1076</v>
      </c>
      <c r="I269" t="s">
        <v>917</v>
      </c>
      <c r="J269" t="s">
        <v>35</v>
      </c>
      <c r="K269">
        <v>1253.57</v>
      </c>
      <c r="L269">
        <v>5</v>
      </c>
      <c r="M269">
        <v>0.15</v>
      </c>
      <c r="N269">
        <v>6267.8499999999995</v>
      </c>
      <c r="O269">
        <v>5327.6724999999997</v>
      </c>
      <c r="P269" t="s">
        <v>682</v>
      </c>
      <c r="Q269" t="s">
        <v>17</v>
      </c>
      <c r="R269" t="s">
        <v>1150</v>
      </c>
    </row>
    <row r="270" spans="1:18" x14ac:dyDescent="0.3">
      <c r="A270" t="s">
        <v>683</v>
      </c>
      <c r="B270" s="6">
        <v>45338</v>
      </c>
      <c r="C270" t="s">
        <v>27</v>
      </c>
      <c r="D270" t="s">
        <v>1105</v>
      </c>
      <c r="E270" t="s">
        <v>20</v>
      </c>
      <c r="F270" t="s">
        <v>921</v>
      </c>
      <c r="G270" t="s">
        <v>21</v>
      </c>
      <c r="H270" t="s">
        <v>1073</v>
      </c>
      <c r="I270" t="s">
        <v>896</v>
      </c>
      <c r="J270" t="s">
        <v>15</v>
      </c>
      <c r="K270">
        <v>3772.12</v>
      </c>
      <c r="L270">
        <v>7</v>
      </c>
      <c r="M270">
        <v>0</v>
      </c>
      <c r="N270">
        <v>26404.84</v>
      </c>
      <c r="O270">
        <v>26404.84</v>
      </c>
      <c r="P270" t="s">
        <v>684</v>
      </c>
      <c r="Q270" t="s">
        <v>17</v>
      </c>
      <c r="R270" t="s">
        <v>1150</v>
      </c>
    </row>
    <row r="271" spans="1:18" x14ac:dyDescent="0.3">
      <c r="A271" t="s">
        <v>685</v>
      </c>
      <c r="B271" s="6">
        <v>45587</v>
      </c>
      <c r="C271" t="s">
        <v>89</v>
      </c>
      <c r="D271" t="s">
        <v>1059</v>
      </c>
      <c r="E271" t="s">
        <v>260</v>
      </c>
      <c r="F271" t="s">
        <v>899</v>
      </c>
      <c r="G271" t="s">
        <v>34</v>
      </c>
      <c r="H271" t="s">
        <v>1078</v>
      </c>
      <c r="I271" t="s">
        <v>896</v>
      </c>
      <c r="J271" t="s">
        <v>35</v>
      </c>
      <c r="K271">
        <v>3981.64</v>
      </c>
      <c r="L271">
        <v>2</v>
      </c>
      <c r="M271">
        <v>0.05</v>
      </c>
      <c r="N271">
        <v>7963.28</v>
      </c>
      <c r="O271">
        <v>7565.1159999999991</v>
      </c>
      <c r="P271" t="s">
        <v>686</v>
      </c>
      <c r="Q271" t="s">
        <v>42</v>
      </c>
      <c r="R271" t="s">
        <v>1150</v>
      </c>
    </row>
    <row r="272" spans="1:18" x14ac:dyDescent="0.3">
      <c r="A272" t="s">
        <v>687</v>
      </c>
      <c r="B272" s="6">
        <v>45578</v>
      </c>
      <c r="C272" t="s">
        <v>229</v>
      </c>
      <c r="D272" t="s">
        <v>1126</v>
      </c>
      <c r="E272" t="s">
        <v>304</v>
      </c>
      <c r="F272" t="s">
        <v>895</v>
      </c>
      <c r="G272" t="s">
        <v>45</v>
      </c>
      <c r="H272" t="s">
        <v>1096</v>
      </c>
      <c r="I272" t="s">
        <v>889</v>
      </c>
      <c r="J272" t="s">
        <v>73</v>
      </c>
      <c r="K272">
        <v>1498.91</v>
      </c>
      <c r="L272">
        <v>10</v>
      </c>
      <c r="M272">
        <v>0.15</v>
      </c>
      <c r="N272">
        <v>14989.1</v>
      </c>
      <c r="O272">
        <v>12740.735000000001</v>
      </c>
      <c r="P272" t="s">
        <v>361</v>
      </c>
      <c r="Q272" t="s">
        <v>60</v>
      </c>
      <c r="R272" t="s">
        <v>1150</v>
      </c>
    </row>
    <row r="273" spans="1:18" x14ac:dyDescent="0.3">
      <c r="A273" t="s">
        <v>688</v>
      </c>
      <c r="B273" s="6">
        <v>45391</v>
      </c>
      <c r="C273" t="s">
        <v>137</v>
      </c>
      <c r="D273" t="s">
        <v>1114</v>
      </c>
      <c r="E273" t="s">
        <v>13</v>
      </c>
      <c r="F273" t="s">
        <v>890</v>
      </c>
      <c r="G273" t="s">
        <v>14</v>
      </c>
      <c r="H273" t="s">
        <v>1080</v>
      </c>
      <c r="I273" t="s">
        <v>910</v>
      </c>
      <c r="J273" t="s">
        <v>22</v>
      </c>
      <c r="K273">
        <v>3493.54</v>
      </c>
      <c r="L273">
        <v>7</v>
      </c>
      <c r="M273">
        <v>0</v>
      </c>
      <c r="N273">
        <v>24454.78</v>
      </c>
      <c r="O273">
        <v>24454.78</v>
      </c>
      <c r="P273" t="s">
        <v>264</v>
      </c>
      <c r="Q273" t="s">
        <v>60</v>
      </c>
      <c r="R273" t="s">
        <v>1150</v>
      </c>
    </row>
    <row r="274" spans="1:18" x14ac:dyDescent="0.3">
      <c r="A274" t="s">
        <v>689</v>
      </c>
      <c r="B274" s="6">
        <v>45495</v>
      </c>
      <c r="C274" t="s">
        <v>690</v>
      </c>
      <c r="D274" t="s">
        <v>1142</v>
      </c>
      <c r="E274" t="s">
        <v>125</v>
      </c>
      <c r="F274" t="s">
        <v>913</v>
      </c>
      <c r="G274" t="s">
        <v>82</v>
      </c>
      <c r="H274" t="s">
        <v>1076</v>
      </c>
      <c r="I274" t="s">
        <v>931</v>
      </c>
      <c r="J274" t="s">
        <v>73</v>
      </c>
      <c r="K274">
        <v>2458.91</v>
      </c>
      <c r="L274">
        <v>10</v>
      </c>
      <c r="M274">
        <v>0.1</v>
      </c>
      <c r="N274">
        <v>24589.1</v>
      </c>
      <c r="O274">
        <v>22130.19</v>
      </c>
      <c r="P274" t="s">
        <v>612</v>
      </c>
      <c r="Q274" t="s">
        <v>24</v>
      </c>
      <c r="R274" t="s">
        <v>1150</v>
      </c>
    </row>
    <row r="275" spans="1:18" x14ac:dyDescent="0.3">
      <c r="A275" t="s">
        <v>691</v>
      </c>
      <c r="B275" s="6">
        <v>45331</v>
      </c>
      <c r="C275" t="s">
        <v>214</v>
      </c>
      <c r="D275" t="s">
        <v>1125</v>
      </c>
      <c r="E275" t="s">
        <v>254</v>
      </c>
      <c r="F275" t="s">
        <v>930</v>
      </c>
      <c r="G275" t="s">
        <v>82</v>
      </c>
      <c r="H275" t="s">
        <v>1076</v>
      </c>
      <c r="I275" t="s">
        <v>917</v>
      </c>
      <c r="J275" t="s">
        <v>35</v>
      </c>
      <c r="K275">
        <v>605.26</v>
      </c>
      <c r="L275">
        <v>3</v>
      </c>
      <c r="M275">
        <v>0.15</v>
      </c>
      <c r="N275">
        <v>1815.78</v>
      </c>
      <c r="O275">
        <v>1543.413</v>
      </c>
      <c r="P275" t="s">
        <v>693</v>
      </c>
      <c r="Q275" t="s">
        <v>42</v>
      </c>
      <c r="R275" t="s">
        <v>1150</v>
      </c>
    </row>
    <row r="276" spans="1:18" x14ac:dyDescent="0.3">
      <c r="A276" t="s">
        <v>694</v>
      </c>
      <c r="B276" s="6">
        <v>45759</v>
      </c>
      <c r="C276" t="s">
        <v>157</v>
      </c>
      <c r="D276" t="s">
        <v>1117</v>
      </c>
      <c r="E276" t="s">
        <v>77</v>
      </c>
      <c r="F276" t="s">
        <v>918</v>
      </c>
      <c r="G276" t="s">
        <v>34</v>
      </c>
      <c r="H276" t="s">
        <v>1078</v>
      </c>
      <c r="I276" t="s">
        <v>882</v>
      </c>
      <c r="J276" t="s">
        <v>15</v>
      </c>
      <c r="K276">
        <v>3550.89</v>
      </c>
      <c r="L276">
        <v>3</v>
      </c>
      <c r="M276">
        <v>0.1</v>
      </c>
      <c r="N276">
        <v>10652.67</v>
      </c>
      <c r="O276">
        <v>9587.4030000000002</v>
      </c>
      <c r="P276" t="s">
        <v>695</v>
      </c>
      <c r="Q276" t="s">
        <v>17</v>
      </c>
      <c r="R276" t="s">
        <v>1150</v>
      </c>
    </row>
    <row r="277" spans="1:18" x14ac:dyDescent="0.3">
      <c r="A277" t="s">
        <v>696</v>
      </c>
      <c r="B277" s="6">
        <v>45618</v>
      </c>
      <c r="C277" t="s">
        <v>39</v>
      </c>
      <c r="D277" t="s">
        <v>990</v>
      </c>
      <c r="E277" t="s">
        <v>106</v>
      </c>
      <c r="F277" t="s">
        <v>884</v>
      </c>
      <c r="G277" t="s">
        <v>21</v>
      </c>
      <c r="H277" t="s">
        <v>1073</v>
      </c>
      <c r="I277" t="s">
        <v>889</v>
      </c>
      <c r="J277" t="s">
        <v>22</v>
      </c>
      <c r="K277">
        <v>1559.65</v>
      </c>
      <c r="L277">
        <v>3</v>
      </c>
      <c r="M277">
        <v>0.05</v>
      </c>
      <c r="N277">
        <v>4678.9500000000007</v>
      </c>
      <c r="O277">
        <v>4445.0025000000005</v>
      </c>
      <c r="P277" t="s">
        <v>697</v>
      </c>
      <c r="Q277" t="s">
        <v>42</v>
      </c>
      <c r="R277" t="s">
        <v>1150</v>
      </c>
    </row>
    <row r="278" spans="1:18" x14ac:dyDescent="0.3">
      <c r="A278" t="s">
        <v>698</v>
      </c>
      <c r="B278" s="6">
        <v>45636</v>
      </c>
      <c r="C278" t="s">
        <v>115</v>
      </c>
      <c r="D278" t="s">
        <v>996</v>
      </c>
      <c r="E278" t="s">
        <v>44</v>
      </c>
      <c r="F278" t="s">
        <v>894</v>
      </c>
      <c r="G278" t="s">
        <v>21</v>
      </c>
      <c r="H278" t="s">
        <v>1073</v>
      </c>
      <c r="I278" t="s">
        <v>910</v>
      </c>
      <c r="J278" t="s">
        <v>35</v>
      </c>
      <c r="K278">
        <v>973.21</v>
      </c>
      <c r="L278">
        <v>9</v>
      </c>
      <c r="M278">
        <v>0.2</v>
      </c>
      <c r="N278">
        <v>8758.89</v>
      </c>
      <c r="O278">
        <v>7007.1120000000001</v>
      </c>
      <c r="P278" t="s">
        <v>699</v>
      </c>
      <c r="Q278" t="s">
        <v>42</v>
      </c>
      <c r="R278" t="s">
        <v>1150</v>
      </c>
    </row>
    <row r="279" spans="1:18" x14ac:dyDescent="0.3">
      <c r="A279" t="s">
        <v>700</v>
      </c>
      <c r="B279" s="6">
        <v>45598</v>
      </c>
      <c r="C279" t="s">
        <v>110</v>
      </c>
      <c r="D279" t="s">
        <v>983</v>
      </c>
      <c r="E279" t="s">
        <v>125</v>
      </c>
      <c r="F279" t="s">
        <v>911</v>
      </c>
      <c r="G279" t="s">
        <v>45</v>
      </c>
      <c r="H279" t="s">
        <v>1096</v>
      </c>
      <c r="I279" t="s">
        <v>931</v>
      </c>
      <c r="J279" t="s">
        <v>22</v>
      </c>
      <c r="K279">
        <v>2458.91</v>
      </c>
      <c r="L279">
        <v>8</v>
      </c>
      <c r="M279">
        <v>0.2</v>
      </c>
      <c r="N279">
        <v>19671.28</v>
      </c>
      <c r="O279">
        <v>15737.023999999999</v>
      </c>
      <c r="P279" t="s">
        <v>26</v>
      </c>
      <c r="Q279" t="s">
        <v>17</v>
      </c>
      <c r="R279" t="s">
        <v>1150</v>
      </c>
    </row>
    <row r="280" spans="1:18" x14ac:dyDescent="0.3">
      <c r="A280" t="s">
        <v>701</v>
      </c>
      <c r="B280" s="6">
        <v>45404</v>
      </c>
      <c r="C280" t="s">
        <v>199</v>
      </c>
      <c r="D280" t="s">
        <v>1123</v>
      </c>
      <c r="E280" t="s">
        <v>145</v>
      </c>
      <c r="F280" t="s">
        <v>930</v>
      </c>
      <c r="G280" t="s">
        <v>45</v>
      </c>
      <c r="H280" t="s">
        <v>1096</v>
      </c>
      <c r="I280" t="s">
        <v>896</v>
      </c>
      <c r="J280" t="s">
        <v>73</v>
      </c>
      <c r="K280">
        <v>2612.71</v>
      </c>
      <c r="L280">
        <v>7</v>
      </c>
      <c r="M280">
        <v>0.1</v>
      </c>
      <c r="N280">
        <v>18288.97</v>
      </c>
      <c r="O280">
        <v>16460.073</v>
      </c>
      <c r="P280" t="s">
        <v>278</v>
      </c>
      <c r="Q280" t="s">
        <v>42</v>
      </c>
      <c r="R280" t="s">
        <v>1150</v>
      </c>
    </row>
    <row r="281" spans="1:18" x14ac:dyDescent="0.3">
      <c r="A281" t="s">
        <v>702</v>
      </c>
      <c r="B281" s="6">
        <v>45777</v>
      </c>
      <c r="C281" t="s">
        <v>403</v>
      </c>
      <c r="D281" t="s">
        <v>1135</v>
      </c>
      <c r="E281" t="s">
        <v>454</v>
      </c>
      <c r="F281" t="s">
        <v>900</v>
      </c>
      <c r="G281" t="s">
        <v>45</v>
      </c>
      <c r="H281" t="s">
        <v>1096</v>
      </c>
      <c r="I281" t="s">
        <v>917</v>
      </c>
      <c r="J281" t="s">
        <v>15</v>
      </c>
      <c r="K281">
        <v>1253.57</v>
      </c>
      <c r="L281">
        <v>5</v>
      </c>
      <c r="M281">
        <v>0.15</v>
      </c>
      <c r="N281">
        <v>6267.8499999999995</v>
      </c>
      <c r="O281">
        <v>5327.6724999999997</v>
      </c>
      <c r="P281" t="s">
        <v>474</v>
      </c>
      <c r="Q281" t="s">
        <v>24</v>
      </c>
      <c r="R281" t="s">
        <v>1150</v>
      </c>
    </row>
    <row r="282" spans="1:18" x14ac:dyDescent="0.3">
      <c r="A282" t="s">
        <v>703</v>
      </c>
      <c r="B282" s="6">
        <v>45783</v>
      </c>
      <c r="C282" t="s">
        <v>590</v>
      </c>
      <c r="D282" t="s">
        <v>1140</v>
      </c>
      <c r="E282" t="s">
        <v>468</v>
      </c>
      <c r="F282" t="s">
        <v>921</v>
      </c>
      <c r="G282" t="s">
        <v>14</v>
      </c>
      <c r="H282" t="s">
        <v>1080</v>
      </c>
      <c r="I282" t="s">
        <v>924</v>
      </c>
      <c r="J282" t="s">
        <v>35</v>
      </c>
      <c r="K282">
        <v>2113.67</v>
      </c>
      <c r="L282">
        <v>3</v>
      </c>
      <c r="M282">
        <v>0.1</v>
      </c>
      <c r="N282">
        <v>6341.01</v>
      </c>
      <c r="O282">
        <v>5706.9090000000006</v>
      </c>
      <c r="P282" t="s">
        <v>662</v>
      </c>
      <c r="Q282" t="s">
        <v>60</v>
      </c>
      <c r="R282" t="s">
        <v>1150</v>
      </c>
    </row>
    <row r="283" spans="1:18" x14ac:dyDescent="0.3">
      <c r="A283" t="s">
        <v>704</v>
      </c>
      <c r="B283" s="6">
        <v>45540</v>
      </c>
      <c r="C283" t="s">
        <v>187</v>
      </c>
      <c r="D283" t="s">
        <v>1122</v>
      </c>
      <c r="E283" t="s">
        <v>125</v>
      </c>
      <c r="F283" t="s">
        <v>926</v>
      </c>
      <c r="G283" t="s">
        <v>34</v>
      </c>
      <c r="H283" t="s">
        <v>1078</v>
      </c>
      <c r="I283" t="s">
        <v>931</v>
      </c>
      <c r="J283" t="s">
        <v>15</v>
      </c>
      <c r="K283">
        <v>2458.91</v>
      </c>
      <c r="L283">
        <v>1</v>
      </c>
      <c r="M283">
        <v>0.1</v>
      </c>
      <c r="N283">
        <v>2458.91</v>
      </c>
      <c r="O283">
        <v>2213.0189999999998</v>
      </c>
      <c r="P283" t="s">
        <v>705</v>
      </c>
      <c r="Q283" t="s">
        <v>24</v>
      </c>
      <c r="R283" t="s">
        <v>1150</v>
      </c>
    </row>
    <row r="284" spans="1:18" x14ac:dyDescent="0.3">
      <c r="A284" t="s">
        <v>706</v>
      </c>
      <c r="B284" s="6">
        <v>45743</v>
      </c>
      <c r="C284" t="s">
        <v>356</v>
      </c>
      <c r="D284" t="s">
        <v>1133</v>
      </c>
      <c r="E284" t="s">
        <v>125</v>
      </c>
      <c r="F284" t="s">
        <v>930</v>
      </c>
      <c r="G284" t="s">
        <v>14</v>
      </c>
      <c r="H284" t="s">
        <v>1080</v>
      </c>
      <c r="I284" t="s">
        <v>931</v>
      </c>
      <c r="J284" t="s">
        <v>35</v>
      </c>
      <c r="K284">
        <v>2458.91</v>
      </c>
      <c r="L284">
        <v>6</v>
      </c>
      <c r="M284">
        <v>0.05</v>
      </c>
      <c r="N284">
        <v>14753.46</v>
      </c>
      <c r="O284">
        <v>14015.786999999998</v>
      </c>
      <c r="P284" t="s">
        <v>561</v>
      </c>
      <c r="Q284" t="s">
        <v>60</v>
      </c>
      <c r="R284" t="s">
        <v>1150</v>
      </c>
    </row>
    <row r="285" spans="1:18" x14ac:dyDescent="0.3">
      <c r="A285" t="s">
        <v>707</v>
      </c>
      <c r="B285" s="6">
        <v>45712</v>
      </c>
      <c r="C285" t="s">
        <v>66</v>
      </c>
      <c r="D285" t="s">
        <v>1108</v>
      </c>
      <c r="E285" t="s">
        <v>377</v>
      </c>
      <c r="F285" t="s">
        <v>930</v>
      </c>
      <c r="G285" t="s">
        <v>82</v>
      </c>
      <c r="H285" t="s">
        <v>1076</v>
      </c>
      <c r="I285" t="s">
        <v>910</v>
      </c>
      <c r="J285" t="s">
        <v>35</v>
      </c>
      <c r="K285">
        <v>4703.04</v>
      </c>
      <c r="L285">
        <v>9</v>
      </c>
      <c r="M285">
        <v>0.2</v>
      </c>
      <c r="N285">
        <v>42327.360000000001</v>
      </c>
      <c r="O285">
        <v>33861.887999999999</v>
      </c>
      <c r="P285" t="s">
        <v>708</v>
      </c>
      <c r="Q285" t="s">
        <v>24</v>
      </c>
      <c r="R285" t="s">
        <v>1150</v>
      </c>
    </row>
    <row r="286" spans="1:18" x14ac:dyDescent="0.3">
      <c r="A286" t="s">
        <v>709</v>
      </c>
      <c r="B286" s="6">
        <v>45433</v>
      </c>
      <c r="C286" t="s">
        <v>279</v>
      </c>
      <c r="D286" t="s">
        <v>1130</v>
      </c>
      <c r="E286" t="s">
        <v>116</v>
      </c>
      <c r="F286" t="s">
        <v>909</v>
      </c>
      <c r="G286" t="s">
        <v>82</v>
      </c>
      <c r="H286" t="s">
        <v>1076</v>
      </c>
      <c r="I286" t="s">
        <v>889</v>
      </c>
      <c r="J286" t="s">
        <v>22</v>
      </c>
      <c r="K286">
        <v>1156.02</v>
      </c>
      <c r="L286">
        <v>9</v>
      </c>
      <c r="M286">
        <v>0</v>
      </c>
      <c r="N286">
        <v>10404.18</v>
      </c>
      <c r="O286">
        <v>10404.18</v>
      </c>
      <c r="P286" t="s">
        <v>710</v>
      </c>
      <c r="Q286" t="s">
        <v>30</v>
      </c>
      <c r="R286" t="s">
        <v>1150</v>
      </c>
    </row>
    <row r="287" spans="1:18" x14ac:dyDescent="0.3">
      <c r="A287" t="s">
        <v>711</v>
      </c>
      <c r="B287" s="6">
        <v>45830</v>
      </c>
      <c r="C287" t="s">
        <v>80</v>
      </c>
      <c r="D287" t="s">
        <v>1109</v>
      </c>
      <c r="E287" t="s">
        <v>304</v>
      </c>
      <c r="F287" t="s">
        <v>892</v>
      </c>
      <c r="G287" t="s">
        <v>82</v>
      </c>
      <c r="H287" t="s">
        <v>1076</v>
      </c>
      <c r="I287" t="s">
        <v>889</v>
      </c>
      <c r="J287" t="s">
        <v>35</v>
      </c>
      <c r="K287">
        <v>1498.91</v>
      </c>
      <c r="L287">
        <v>7</v>
      </c>
      <c r="M287">
        <v>0</v>
      </c>
      <c r="N287">
        <v>10492.37</v>
      </c>
      <c r="O287">
        <v>10492.37</v>
      </c>
      <c r="P287" t="s">
        <v>538</v>
      </c>
      <c r="Q287" t="s">
        <v>42</v>
      </c>
      <c r="R287" t="s">
        <v>1150</v>
      </c>
    </row>
    <row r="288" spans="1:18" x14ac:dyDescent="0.3">
      <c r="A288" t="s">
        <v>712</v>
      </c>
      <c r="B288" s="6">
        <v>45642</v>
      </c>
      <c r="C288" t="s">
        <v>199</v>
      </c>
      <c r="D288" t="s">
        <v>1123</v>
      </c>
      <c r="E288" t="s">
        <v>345</v>
      </c>
      <c r="F288" t="s">
        <v>890</v>
      </c>
      <c r="G288" t="s">
        <v>21</v>
      </c>
      <c r="H288" t="s">
        <v>1073</v>
      </c>
      <c r="I288" t="s">
        <v>924</v>
      </c>
      <c r="J288" t="s">
        <v>35</v>
      </c>
      <c r="K288">
        <v>1212.79</v>
      </c>
      <c r="L288">
        <v>9</v>
      </c>
      <c r="M288">
        <v>0</v>
      </c>
      <c r="N288">
        <v>10915.11</v>
      </c>
      <c r="O288">
        <v>10915.11</v>
      </c>
      <c r="P288" t="s">
        <v>713</v>
      </c>
      <c r="Q288" t="s">
        <v>60</v>
      </c>
      <c r="R288" t="s">
        <v>1150</v>
      </c>
    </row>
    <row r="289" spans="1:18" x14ac:dyDescent="0.3">
      <c r="A289" t="s">
        <v>714</v>
      </c>
      <c r="B289" s="6">
        <v>45544</v>
      </c>
      <c r="C289" t="s">
        <v>550</v>
      </c>
      <c r="D289" t="s">
        <v>1127</v>
      </c>
      <c r="E289" t="s">
        <v>130</v>
      </c>
      <c r="F289" t="s">
        <v>927</v>
      </c>
      <c r="G289" t="s">
        <v>45</v>
      </c>
      <c r="H289" t="s">
        <v>1096</v>
      </c>
      <c r="I289" t="s">
        <v>910</v>
      </c>
      <c r="J289" t="s">
        <v>15</v>
      </c>
      <c r="K289">
        <v>3128.51</v>
      </c>
      <c r="L289">
        <v>5</v>
      </c>
      <c r="M289">
        <v>0.1</v>
      </c>
      <c r="N289">
        <v>15642.550000000001</v>
      </c>
      <c r="O289">
        <v>14078.295000000002</v>
      </c>
      <c r="P289" t="s">
        <v>225</v>
      </c>
      <c r="Q289" t="s">
        <v>17</v>
      </c>
      <c r="R289" t="s">
        <v>1150</v>
      </c>
    </row>
    <row r="290" spans="1:18" x14ac:dyDescent="0.3">
      <c r="A290" t="s">
        <v>715</v>
      </c>
      <c r="B290" s="6">
        <v>45587</v>
      </c>
      <c r="C290" t="s">
        <v>550</v>
      </c>
      <c r="D290" t="s">
        <v>1127</v>
      </c>
      <c r="E290" t="s">
        <v>389</v>
      </c>
      <c r="F290" t="s">
        <v>912</v>
      </c>
      <c r="G290" t="s">
        <v>82</v>
      </c>
      <c r="H290" t="s">
        <v>1076</v>
      </c>
      <c r="I290" t="s">
        <v>882</v>
      </c>
      <c r="J290" t="s">
        <v>22</v>
      </c>
      <c r="K290">
        <v>991.59</v>
      </c>
      <c r="L290">
        <v>4</v>
      </c>
      <c r="M290">
        <v>0.15</v>
      </c>
      <c r="N290">
        <v>3966.36</v>
      </c>
      <c r="O290">
        <v>3371.4059999999999</v>
      </c>
      <c r="P290" t="s">
        <v>716</v>
      </c>
      <c r="Q290" t="s">
        <v>30</v>
      </c>
      <c r="R290" t="s">
        <v>1150</v>
      </c>
    </row>
    <row r="291" spans="1:18" x14ac:dyDescent="0.3">
      <c r="A291" t="s">
        <v>717</v>
      </c>
      <c r="B291" s="6">
        <v>45649</v>
      </c>
      <c r="C291" t="s">
        <v>49</v>
      </c>
      <c r="D291" t="s">
        <v>1107</v>
      </c>
      <c r="E291" t="s">
        <v>50</v>
      </c>
      <c r="F291" t="s">
        <v>883</v>
      </c>
      <c r="G291" t="s">
        <v>82</v>
      </c>
      <c r="H291" t="s">
        <v>1076</v>
      </c>
      <c r="I291" t="s">
        <v>931</v>
      </c>
      <c r="J291" t="s">
        <v>22</v>
      </c>
      <c r="K291">
        <v>2041.83</v>
      </c>
      <c r="L291">
        <v>9</v>
      </c>
      <c r="M291">
        <v>0.2</v>
      </c>
      <c r="N291">
        <v>18376.47</v>
      </c>
      <c r="O291">
        <v>14701.176000000001</v>
      </c>
      <c r="P291" t="s">
        <v>305</v>
      </c>
      <c r="Q291" t="s">
        <v>24</v>
      </c>
      <c r="R291" t="s">
        <v>1150</v>
      </c>
    </row>
    <row r="292" spans="1:18" x14ac:dyDescent="0.3">
      <c r="A292" t="s">
        <v>718</v>
      </c>
      <c r="B292" s="6">
        <v>45680</v>
      </c>
      <c r="C292" t="s">
        <v>27</v>
      </c>
      <c r="D292" t="s">
        <v>1105</v>
      </c>
      <c r="E292" t="s">
        <v>389</v>
      </c>
      <c r="F292" t="s">
        <v>936</v>
      </c>
      <c r="G292" t="s">
        <v>14</v>
      </c>
      <c r="H292" t="s">
        <v>1080</v>
      </c>
      <c r="I292" t="s">
        <v>882</v>
      </c>
      <c r="J292" t="s">
        <v>15</v>
      </c>
      <c r="K292">
        <v>991.59</v>
      </c>
      <c r="L292">
        <v>7</v>
      </c>
      <c r="M292">
        <v>0.2</v>
      </c>
      <c r="N292">
        <v>6941.13</v>
      </c>
      <c r="O292">
        <v>5552.9040000000005</v>
      </c>
      <c r="P292" t="s">
        <v>719</v>
      </c>
      <c r="Q292" t="s">
        <v>17</v>
      </c>
      <c r="R292" t="s">
        <v>1150</v>
      </c>
    </row>
    <row r="293" spans="1:18" x14ac:dyDescent="0.3">
      <c r="A293" t="s">
        <v>720</v>
      </c>
      <c r="B293" s="6">
        <v>45335</v>
      </c>
      <c r="C293" t="s">
        <v>124</v>
      </c>
      <c r="D293" t="s">
        <v>1112</v>
      </c>
      <c r="E293" t="s">
        <v>13</v>
      </c>
      <c r="F293" t="s">
        <v>883</v>
      </c>
      <c r="G293" t="s">
        <v>21</v>
      </c>
      <c r="H293" t="s">
        <v>1073</v>
      </c>
      <c r="I293" t="s">
        <v>910</v>
      </c>
      <c r="J293" t="s">
        <v>22</v>
      </c>
      <c r="K293">
        <v>3493.54</v>
      </c>
      <c r="L293">
        <v>5</v>
      </c>
      <c r="M293">
        <v>0.15</v>
      </c>
      <c r="N293">
        <v>17467.7</v>
      </c>
      <c r="O293">
        <v>14847.545</v>
      </c>
      <c r="P293" t="s">
        <v>693</v>
      </c>
      <c r="Q293" t="s">
        <v>30</v>
      </c>
      <c r="R293" t="s">
        <v>1150</v>
      </c>
    </row>
    <row r="294" spans="1:18" x14ac:dyDescent="0.3">
      <c r="A294" t="s">
        <v>721</v>
      </c>
      <c r="B294" s="6">
        <v>45554</v>
      </c>
      <c r="C294" t="s">
        <v>476</v>
      </c>
      <c r="D294" t="s">
        <v>983</v>
      </c>
      <c r="E294" t="s">
        <v>465</v>
      </c>
      <c r="F294" t="s">
        <v>913</v>
      </c>
      <c r="G294" t="s">
        <v>45</v>
      </c>
      <c r="H294" t="s">
        <v>1096</v>
      </c>
      <c r="I294" t="s">
        <v>903</v>
      </c>
      <c r="J294" t="s">
        <v>22</v>
      </c>
      <c r="K294">
        <v>1140.8</v>
      </c>
      <c r="L294">
        <v>8</v>
      </c>
      <c r="M294">
        <v>0</v>
      </c>
      <c r="N294">
        <v>9126.4</v>
      </c>
      <c r="O294">
        <v>9126.4</v>
      </c>
      <c r="P294" t="s">
        <v>143</v>
      </c>
      <c r="Q294" t="s">
        <v>42</v>
      </c>
      <c r="R294" t="s">
        <v>1150</v>
      </c>
    </row>
    <row r="295" spans="1:18" x14ac:dyDescent="0.3">
      <c r="A295" t="s">
        <v>722</v>
      </c>
      <c r="B295" s="6">
        <v>45570</v>
      </c>
      <c r="C295" t="s">
        <v>476</v>
      </c>
      <c r="D295" t="s">
        <v>983</v>
      </c>
      <c r="E295" t="s">
        <v>67</v>
      </c>
      <c r="F295" t="s">
        <v>908</v>
      </c>
      <c r="G295" t="s">
        <v>82</v>
      </c>
      <c r="H295" t="s">
        <v>1076</v>
      </c>
      <c r="I295" t="s">
        <v>924</v>
      </c>
      <c r="J295" t="s">
        <v>15</v>
      </c>
      <c r="K295">
        <v>3205.14</v>
      </c>
      <c r="L295">
        <v>3</v>
      </c>
      <c r="M295">
        <v>0</v>
      </c>
      <c r="N295">
        <v>9615.42</v>
      </c>
      <c r="O295">
        <v>9615.42</v>
      </c>
      <c r="P295" t="s">
        <v>723</v>
      </c>
      <c r="Q295" t="s">
        <v>60</v>
      </c>
      <c r="R295" t="s">
        <v>1150</v>
      </c>
    </row>
    <row r="296" spans="1:18" x14ac:dyDescent="0.3">
      <c r="A296" t="s">
        <v>724</v>
      </c>
      <c r="B296" s="6">
        <v>45343</v>
      </c>
      <c r="C296" t="s">
        <v>605</v>
      </c>
      <c r="D296" t="s">
        <v>1023</v>
      </c>
      <c r="E296" t="s">
        <v>454</v>
      </c>
      <c r="F296" t="s">
        <v>925</v>
      </c>
      <c r="G296" t="s">
        <v>34</v>
      </c>
      <c r="H296" t="s">
        <v>1078</v>
      </c>
      <c r="I296" t="s">
        <v>917</v>
      </c>
      <c r="J296" t="s">
        <v>73</v>
      </c>
      <c r="K296">
        <v>1253.57</v>
      </c>
      <c r="L296">
        <v>9</v>
      </c>
      <c r="M296">
        <v>0</v>
      </c>
      <c r="N296">
        <v>11282.13</v>
      </c>
      <c r="O296">
        <v>11282.13</v>
      </c>
      <c r="P296" t="s">
        <v>726</v>
      </c>
      <c r="Q296" t="s">
        <v>24</v>
      </c>
      <c r="R296" t="s">
        <v>1150</v>
      </c>
    </row>
    <row r="297" spans="1:18" x14ac:dyDescent="0.3">
      <c r="A297" t="s">
        <v>727</v>
      </c>
      <c r="B297" s="6">
        <v>45715</v>
      </c>
      <c r="C297" t="s">
        <v>590</v>
      </c>
      <c r="D297" t="s">
        <v>1140</v>
      </c>
      <c r="E297" t="s">
        <v>206</v>
      </c>
      <c r="F297" t="s">
        <v>921</v>
      </c>
      <c r="G297" t="s">
        <v>34</v>
      </c>
      <c r="H297" t="s">
        <v>1078</v>
      </c>
      <c r="I297" t="s">
        <v>882</v>
      </c>
      <c r="J297" t="s">
        <v>73</v>
      </c>
      <c r="K297">
        <v>2779.58</v>
      </c>
      <c r="L297">
        <v>6</v>
      </c>
      <c r="M297">
        <v>0.15</v>
      </c>
      <c r="N297">
        <v>16677.48</v>
      </c>
      <c r="O297">
        <v>14175.857999999998</v>
      </c>
      <c r="P297" t="s">
        <v>591</v>
      </c>
      <c r="Q297" t="s">
        <v>60</v>
      </c>
      <c r="R297" t="s">
        <v>1150</v>
      </c>
    </row>
    <row r="298" spans="1:18" x14ac:dyDescent="0.3">
      <c r="A298" t="s">
        <v>728</v>
      </c>
      <c r="B298" s="6">
        <v>45297</v>
      </c>
      <c r="C298" t="s">
        <v>605</v>
      </c>
      <c r="D298" t="s">
        <v>1023</v>
      </c>
      <c r="E298" t="s">
        <v>729</v>
      </c>
      <c r="F298" t="s">
        <v>887</v>
      </c>
      <c r="G298" t="s">
        <v>14</v>
      </c>
      <c r="H298" t="s">
        <v>1080</v>
      </c>
      <c r="I298" t="s">
        <v>889</v>
      </c>
      <c r="J298" t="s">
        <v>35</v>
      </c>
      <c r="K298">
        <v>2208.33</v>
      </c>
      <c r="L298">
        <v>9</v>
      </c>
      <c r="M298">
        <v>0</v>
      </c>
      <c r="N298">
        <v>19874.97</v>
      </c>
      <c r="O298">
        <v>19874.97</v>
      </c>
      <c r="P298" t="s">
        <v>270</v>
      </c>
      <c r="Q298" t="s">
        <v>30</v>
      </c>
      <c r="R298" t="s">
        <v>1150</v>
      </c>
    </row>
    <row r="299" spans="1:18" x14ac:dyDescent="0.3">
      <c r="A299" t="s">
        <v>730</v>
      </c>
      <c r="B299" s="6">
        <v>45496</v>
      </c>
      <c r="C299" t="s">
        <v>202</v>
      </c>
      <c r="D299" t="s">
        <v>1124</v>
      </c>
      <c r="E299" t="s">
        <v>465</v>
      </c>
      <c r="F299" t="s">
        <v>888</v>
      </c>
      <c r="G299" t="s">
        <v>34</v>
      </c>
      <c r="H299" t="s">
        <v>1078</v>
      </c>
      <c r="I299" t="s">
        <v>903</v>
      </c>
      <c r="J299" t="s">
        <v>73</v>
      </c>
      <c r="K299">
        <v>1140.8</v>
      </c>
      <c r="L299">
        <v>5</v>
      </c>
      <c r="M299">
        <v>0</v>
      </c>
      <c r="N299">
        <v>5704</v>
      </c>
      <c r="O299">
        <v>5704</v>
      </c>
      <c r="P299" t="s">
        <v>731</v>
      </c>
      <c r="Q299" t="s">
        <v>24</v>
      </c>
      <c r="R299" t="s">
        <v>1150</v>
      </c>
    </row>
    <row r="300" spans="1:18" x14ac:dyDescent="0.3">
      <c r="A300" t="s">
        <v>732</v>
      </c>
      <c r="B300" s="6">
        <v>45529</v>
      </c>
      <c r="C300" t="s">
        <v>27</v>
      </c>
      <c r="D300" t="s">
        <v>1105</v>
      </c>
      <c r="E300" t="s">
        <v>153</v>
      </c>
      <c r="F300" t="s">
        <v>908</v>
      </c>
      <c r="G300" t="s">
        <v>34</v>
      </c>
      <c r="H300" t="s">
        <v>1078</v>
      </c>
      <c r="I300" t="s">
        <v>917</v>
      </c>
      <c r="J300" t="s">
        <v>15</v>
      </c>
      <c r="K300">
        <v>2128.4</v>
      </c>
      <c r="L300">
        <v>9</v>
      </c>
      <c r="M300">
        <v>0.15</v>
      </c>
      <c r="N300">
        <v>19155.600000000002</v>
      </c>
      <c r="O300">
        <v>16282.260000000002</v>
      </c>
      <c r="P300" t="s">
        <v>733</v>
      </c>
      <c r="Q300" t="s">
        <v>30</v>
      </c>
      <c r="R300" t="s">
        <v>1150</v>
      </c>
    </row>
    <row r="301" spans="1:18" x14ac:dyDescent="0.3">
      <c r="A301" t="s">
        <v>734</v>
      </c>
      <c r="B301" s="6">
        <v>45472</v>
      </c>
      <c r="C301" t="s">
        <v>547</v>
      </c>
      <c r="D301" t="s">
        <v>1139</v>
      </c>
      <c r="E301" t="s">
        <v>164</v>
      </c>
      <c r="F301" t="s">
        <v>916</v>
      </c>
      <c r="G301" t="s">
        <v>45</v>
      </c>
      <c r="H301" t="s">
        <v>1096</v>
      </c>
      <c r="I301" t="s">
        <v>917</v>
      </c>
      <c r="J301" t="s">
        <v>35</v>
      </c>
      <c r="K301">
        <v>2489.91</v>
      </c>
      <c r="L301">
        <v>1</v>
      </c>
      <c r="M301">
        <v>0.2</v>
      </c>
      <c r="N301">
        <v>2489.91</v>
      </c>
      <c r="O301">
        <v>1991.9279999999999</v>
      </c>
      <c r="P301" t="s">
        <v>735</v>
      </c>
      <c r="Q301" t="s">
        <v>60</v>
      </c>
      <c r="R301" t="s">
        <v>1150</v>
      </c>
    </row>
    <row r="302" spans="1:18" x14ac:dyDescent="0.3">
      <c r="A302" t="s">
        <v>736</v>
      </c>
      <c r="B302" s="6">
        <v>45588</v>
      </c>
      <c r="C302" t="s">
        <v>32</v>
      </c>
      <c r="D302" t="s">
        <v>1106</v>
      </c>
      <c r="E302" t="s">
        <v>389</v>
      </c>
      <c r="F302" t="s">
        <v>922</v>
      </c>
      <c r="G302" t="s">
        <v>14</v>
      </c>
      <c r="H302" t="s">
        <v>1080</v>
      </c>
      <c r="I302" t="s">
        <v>882</v>
      </c>
      <c r="J302" t="s">
        <v>73</v>
      </c>
      <c r="K302">
        <v>991.59</v>
      </c>
      <c r="L302">
        <v>1</v>
      </c>
      <c r="M302">
        <v>0</v>
      </c>
      <c r="N302">
        <v>991.59</v>
      </c>
      <c r="O302">
        <v>991.59</v>
      </c>
      <c r="P302" t="s">
        <v>737</v>
      </c>
      <c r="Q302" t="s">
        <v>17</v>
      </c>
      <c r="R302" t="s">
        <v>1150</v>
      </c>
    </row>
    <row r="303" spans="1:18" x14ac:dyDescent="0.3">
      <c r="A303" t="s">
        <v>738</v>
      </c>
      <c r="B303" s="6">
        <v>45583</v>
      </c>
      <c r="C303" t="s">
        <v>547</v>
      </c>
      <c r="D303" t="s">
        <v>1139</v>
      </c>
      <c r="E303" t="s">
        <v>40</v>
      </c>
      <c r="F303" t="s">
        <v>883</v>
      </c>
      <c r="G303" t="s">
        <v>45</v>
      </c>
      <c r="H303" t="s">
        <v>1096</v>
      </c>
      <c r="I303" t="s">
        <v>924</v>
      </c>
      <c r="J303" t="s">
        <v>35</v>
      </c>
      <c r="K303">
        <v>136.91</v>
      </c>
      <c r="L303">
        <v>8</v>
      </c>
      <c r="M303">
        <v>0.15</v>
      </c>
      <c r="N303">
        <v>1095.28</v>
      </c>
      <c r="O303">
        <v>930.98799999999994</v>
      </c>
      <c r="P303" t="s">
        <v>641</v>
      </c>
      <c r="Q303" t="s">
        <v>60</v>
      </c>
      <c r="R303" t="s">
        <v>1150</v>
      </c>
    </row>
    <row r="304" spans="1:18" x14ac:dyDescent="0.3">
      <c r="A304" t="s">
        <v>739</v>
      </c>
      <c r="B304" s="6">
        <v>45808</v>
      </c>
      <c r="C304" t="s">
        <v>550</v>
      </c>
      <c r="D304" t="s">
        <v>1127</v>
      </c>
      <c r="E304" t="s">
        <v>468</v>
      </c>
      <c r="F304" t="s">
        <v>928</v>
      </c>
      <c r="G304" t="s">
        <v>14</v>
      </c>
      <c r="H304" t="s">
        <v>1080</v>
      </c>
      <c r="I304" t="s">
        <v>924</v>
      </c>
      <c r="J304" t="s">
        <v>73</v>
      </c>
      <c r="K304">
        <v>2113.67</v>
      </c>
      <c r="L304">
        <v>8</v>
      </c>
      <c r="M304">
        <v>0</v>
      </c>
      <c r="N304">
        <v>16909.36</v>
      </c>
      <c r="O304">
        <v>16909.36</v>
      </c>
      <c r="P304" t="s">
        <v>288</v>
      </c>
      <c r="Q304" t="s">
        <v>17</v>
      </c>
      <c r="R304" t="s">
        <v>1150</v>
      </c>
    </row>
    <row r="305" spans="1:18" x14ac:dyDescent="0.3">
      <c r="A305" t="s">
        <v>740</v>
      </c>
      <c r="B305" s="6">
        <v>45458</v>
      </c>
      <c r="C305" t="s">
        <v>89</v>
      </c>
      <c r="D305" t="s">
        <v>1059</v>
      </c>
      <c r="E305" t="s">
        <v>153</v>
      </c>
      <c r="F305" t="s">
        <v>926</v>
      </c>
      <c r="G305" t="s">
        <v>21</v>
      </c>
      <c r="H305" t="s">
        <v>1073</v>
      </c>
      <c r="I305" t="s">
        <v>917</v>
      </c>
      <c r="J305" t="s">
        <v>15</v>
      </c>
      <c r="K305">
        <v>2128.4</v>
      </c>
      <c r="L305">
        <v>8</v>
      </c>
      <c r="M305">
        <v>0.15</v>
      </c>
      <c r="N305">
        <v>17027.2</v>
      </c>
      <c r="O305">
        <v>14473.12</v>
      </c>
      <c r="P305" t="s">
        <v>741</v>
      </c>
      <c r="Q305" t="s">
        <v>24</v>
      </c>
      <c r="R305" t="s">
        <v>1150</v>
      </c>
    </row>
    <row r="306" spans="1:18" x14ac:dyDescent="0.3">
      <c r="A306" t="s">
        <v>742</v>
      </c>
      <c r="B306" s="6">
        <v>45637</v>
      </c>
      <c r="C306" t="s">
        <v>311</v>
      </c>
      <c r="D306" t="s">
        <v>1132</v>
      </c>
      <c r="E306" t="s">
        <v>33</v>
      </c>
      <c r="F306" t="s">
        <v>916</v>
      </c>
      <c r="G306" t="s">
        <v>34</v>
      </c>
      <c r="H306" t="s">
        <v>1078</v>
      </c>
      <c r="I306" t="s">
        <v>931</v>
      </c>
      <c r="J306" t="s">
        <v>15</v>
      </c>
      <c r="K306">
        <v>620.89</v>
      </c>
      <c r="L306">
        <v>5</v>
      </c>
      <c r="M306">
        <v>0.1</v>
      </c>
      <c r="N306">
        <v>3104.45</v>
      </c>
      <c r="O306">
        <v>2794.0050000000001</v>
      </c>
      <c r="P306" t="s">
        <v>743</v>
      </c>
      <c r="Q306" t="s">
        <v>42</v>
      </c>
      <c r="R306" t="s">
        <v>1150</v>
      </c>
    </row>
    <row r="307" spans="1:18" x14ac:dyDescent="0.3">
      <c r="A307" t="s">
        <v>744</v>
      </c>
      <c r="B307" s="6">
        <v>45707</v>
      </c>
      <c r="C307" t="s">
        <v>80</v>
      </c>
      <c r="D307" t="s">
        <v>1109</v>
      </c>
      <c r="E307" t="s">
        <v>77</v>
      </c>
      <c r="F307" t="s">
        <v>932</v>
      </c>
      <c r="G307" t="s">
        <v>82</v>
      </c>
      <c r="H307" t="s">
        <v>1076</v>
      </c>
      <c r="I307" t="s">
        <v>882</v>
      </c>
      <c r="J307" t="s">
        <v>73</v>
      </c>
      <c r="K307">
        <v>3550.89</v>
      </c>
      <c r="L307">
        <v>7</v>
      </c>
      <c r="M307">
        <v>0.1</v>
      </c>
      <c r="N307">
        <v>24856.23</v>
      </c>
      <c r="O307">
        <v>22370.607</v>
      </c>
      <c r="P307" t="s">
        <v>746</v>
      </c>
      <c r="Q307" t="s">
        <v>30</v>
      </c>
      <c r="R307" t="s">
        <v>1150</v>
      </c>
    </row>
    <row r="308" spans="1:18" x14ac:dyDescent="0.3">
      <c r="A308" t="s">
        <v>747</v>
      </c>
      <c r="B308" s="6">
        <v>45389</v>
      </c>
      <c r="C308" t="s">
        <v>311</v>
      </c>
      <c r="D308" t="s">
        <v>1132</v>
      </c>
      <c r="E308" t="s">
        <v>240</v>
      </c>
      <c r="F308" t="s">
        <v>884</v>
      </c>
      <c r="G308" t="s">
        <v>34</v>
      </c>
      <c r="H308" t="s">
        <v>1078</v>
      </c>
      <c r="I308" t="s">
        <v>917</v>
      </c>
      <c r="J308" t="s">
        <v>22</v>
      </c>
      <c r="K308">
        <v>2036.67</v>
      </c>
      <c r="L308">
        <v>3</v>
      </c>
      <c r="M308">
        <v>0</v>
      </c>
      <c r="N308">
        <v>6110.01</v>
      </c>
      <c r="O308">
        <v>6110.01</v>
      </c>
      <c r="P308" t="s">
        <v>264</v>
      </c>
      <c r="Q308" t="s">
        <v>60</v>
      </c>
      <c r="R308" t="s">
        <v>1150</v>
      </c>
    </row>
    <row r="309" spans="1:18" x14ac:dyDescent="0.3">
      <c r="A309" t="s">
        <v>748</v>
      </c>
      <c r="B309" s="6">
        <v>45298</v>
      </c>
      <c r="C309" t="s">
        <v>144</v>
      </c>
      <c r="D309" t="s">
        <v>1116</v>
      </c>
      <c r="E309" t="s">
        <v>111</v>
      </c>
      <c r="F309" t="s">
        <v>920</v>
      </c>
      <c r="G309" t="s">
        <v>34</v>
      </c>
      <c r="H309" t="s">
        <v>1078</v>
      </c>
      <c r="I309" t="s">
        <v>924</v>
      </c>
      <c r="J309" t="s">
        <v>35</v>
      </c>
      <c r="K309">
        <v>4390.62</v>
      </c>
      <c r="L309">
        <v>5</v>
      </c>
      <c r="M309">
        <v>0.05</v>
      </c>
      <c r="N309">
        <v>21953.1</v>
      </c>
      <c r="O309">
        <v>20855.444999999996</v>
      </c>
      <c r="P309" t="s">
        <v>750</v>
      </c>
      <c r="Q309" t="s">
        <v>17</v>
      </c>
      <c r="R309" t="s">
        <v>1150</v>
      </c>
    </row>
    <row r="310" spans="1:18" x14ac:dyDescent="0.3">
      <c r="A310" t="s">
        <v>751</v>
      </c>
      <c r="B310" s="6">
        <v>45629</v>
      </c>
      <c r="C310" t="s">
        <v>476</v>
      </c>
      <c r="D310" t="s">
        <v>983</v>
      </c>
      <c r="E310" t="s">
        <v>111</v>
      </c>
      <c r="F310" t="s">
        <v>929</v>
      </c>
      <c r="G310" t="s">
        <v>34</v>
      </c>
      <c r="H310" t="s">
        <v>1078</v>
      </c>
      <c r="I310" t="s">
        <v>924</v>
      </c>
      <c r="J310" t="s">
        <v>73</v>
      </c>
      <c r="K310">
        <v>4390.62</v>
      </c>
      <c r="L310">
        <v>5</v>
      </c>
      <c r="M310">
        <v>0.1</v>
      </c>
      <c r="N310">
        <v>21953.1</v>
      </c>
      <c r="O310">
        <v>19757.79</v>
      </c>
      <c r="P310" t="s">
        <v>59</v>
      </c>
      <c r="Q310" t="s">
        <v>17</v>
      </c>
      <c r="R310" t="s">
        <v>1150</v>
      </c>
    </row>
    <row r="311" spans="1:18" x14ac:dyDescent="0.3">
      <c r="A311" t="s">
        <v>752</v>
      </c>
      <c r="B311" s="6">
        <v>45660</v>
      </c>
      <c r="C311" t="s">
        <v>180</v>
      </c>
      <c r="D311" t="s">
        <v>1121</v>
      </c>
      <c r="E311" t="s">
        <v>148</v>
      </c>
      <c r="F311" t="s">
        <v>929</v>
      </c>
      <c r="G311" t="s">
        <v>82</v>
      </c>
      <c r="H311" t="s">
        <v>1076</v>
      </c>
      <c r="I311" t="s">
        <v>931</v>
      </c>
      <c r="J311" t="s">
        <v>35</v>
      </c>
      <c r="K311">
        <v>3576.75</v>
      </c>
      <c r="L311">
        <v>4</v>
      </c>
      <c r="M311">
        <v>0</v>
      </c>
      <c r="N311">
        <v>14307</v>
      </c>
      <c r="O311">
        <v>14307</v>
      </c>
      <c r="P311" t="s">
        <v>753</v>
      </c>
      <c r="Q311" t="s">
        <v>17</v>
      </c>
      <c r="R311" t="s">
        <v>1150</v>
      </c>
    </row>
    <row r="312" spans="1:18" x14ac:dyDescent="0.3">
      <c r="A312" t="s">
        <v>754</v>
      </c>
      <c r="B312" s="6">
        <v>45455</v>
      </c>
      <c r="C312" t="s">
        <v>605</v>
      </c>
      <c r="D312" t="s">
        <v>1023</v>
      </c>
      <c r="E312" t="s">
        <v>316</v>
      </c>
      <c r="F312" t="s">
        <v>933</v>
      </c>
      <c r="G312" t="s">
        <v>21</v>
      </c>
      <c r="H312" t="s">
        <v>1073</v>
      </c>
      <c r="I312" t="s">
        <v>903</v>
      </c>
      <c r="J312" t="s">
        <v>22</v>
      </c>
      <c r="K312">
        <v>2405.98</v>
      </c>
      <c r="L312">
        <v>7</v>
      </c>
      <c r="M312">
        <v>0.15</v>
      </c>
      <c r="N312">
        <v>16841.86</v>
      </c>
      <c r="O312">
        <v>14315.581</v>
      </c>
      <c r="P312" t="s">
        <v>755</v>
      </c>
      <c r="Q312" t="s">
        <v>24</v>
      </c>
      <c r="R312" t="s">
        <v>1150</v>
      </c>
    </row>
    <row r="313" spans="1:18" x14ac:dyDescent="0.3">
      <c r="A313" t="s">
        <v>756</v>
      </c>
      <c r="B313" s="6">
        <v>45594</v>
      </c>
      <c r="C313" t="s">
        <v>66</v>
      </c>
      <c r="D313" t="s">
        <v>1108</v>
      </c>
      <c r="E313" t="s">
        <v>377</v>
      </c>
      <c r="F313" t="s">
        <v>907</v>
      </c>
      <c r="G313" t="s">
        <v>21</v>
      </c>
      <c r="H313" t="s">
        <v>1073</v>
      </c>
      <c r="I313" t="s">
        <v>910</v>
      </c>
      <c r="J313" t="s">
        <v>15</v>
      </c>
      <c r="K313">
        <v>4703.04</v>
      </c>
      <c r="L313">
        <v>6</v>
      </c>
      <c r="M313">
        <v>0.1</v>
      </c>
      <c r="N313">
        <v>28218.239999999998</v>
      </c>
      <c r="O313">
        <v>25396.415999999997</v>
      </c>
      <c r="P313" t="s">
        <v>36</v>
      </c>
      <c r="Q313" t="s">
        <v>60</v>
      </c>
      <c r="R313" t="s">
        <v>1150</v>
      </c>
    </row>
    <row r="314" spans="1:18" x14ac:dyDescent="0.3">
      <c r="A314" t="s">
        <v>757</v>
      </c>
      <c r="B314" s="6">
        <v>45781</v>
      </c>
      <c r="C314" t="s">
        <v>476</v>
      </c>
      <c r="D314" t="s">
        <v>983</v>
      </c>
      <c r="E314" t="s">
        <v>145</v>
      </c>
      <c r="F314" t="s">
        <v>909</v>
      </c>
      <c r="G314" t="s">
        <v>45</v>
      </c>
      <c r="H314" t="s">
        <v>1096</v>
      </c>
      <c r="I314" t="s">
        <v>896</v>
      </c>
      <c r="J314" t="s">
        <v>22</v>
      </c>
      <c r="K314">
        <v>2612.71</v>
      </c>
      <c r="L314">
        <v>3</v>
      </c>
      <c r="M314">
        <v>0.05</v>
      </c>
      <c r="N314">
        <v>7838.13</v>
      </c>
      <c r="O314">
        <v>7446.2235000000001</v>
      </c>
      <c r="P314" t="s">
        <v>359</v>
      </c>
      <c r="Q314" t="s">
        <v>30</v>
      </c>
      <c r="R314" t="s">
        <v>1150</v>
      </c>
    </row>
    <row r="315" spans="1:18" x14ac:dyDescent="0.3">
      <c r="A315" t="s">
        <v>758</v>
      </c>
      <c r="B315" s="6">
        <v>45774</v>
      </c>
      <c r="C315" t="s">
        <v>199</v>
      </c>
      <c r="D315" t="s">
        <v>1123</v>
      </c>
      <c r="E315" t="s">
        <v>226</v>
      </c>
      <c r="F315" t="s">
        <v>900</v>
      </c>
      <c r="G315" t="s">
        <v>34</v>
      </c>
      <c r="H315" t="s">
        <v>1078</v>
      </c>
      <c r="I315" t="s">
        <v>903</v>
      </c>
      <c r="J315" t="s">
        <v>15</v>
      </c>
      <c r="K315">
        <v>2359.5</v>
      </c>
      <c r="L315">
        <v>9</v>
      </c>
      <c r="M315">
        <v>0.2</v>
      </c>
      <c r="N315">
        <v>21235.5</v>
      </c>
      <c r="O315">
        <v>16988.400000000001</v>
      </c>
      <c r="P315" t="s">
        <v>55</v>
      </c>
      <c r="Q315" t="s">
        <v>42</v>
      </c>
      <c r="R315" t="s">
        <v>1150</v>
      </c>
    </row>
    <row r="316" spans="1:18" x14ac:dyDescent="0.3">
      <c r="A316" t="s">
        <v>759</v>
      </c>
      <c r="B316" s="6">
        <v>45375</v>
      </c>
      <c r="C316" t="s">
        <v>80</v>
      </c>
      <c r="D316" t="s">
        <v>1109</v>
      </c>
      <c r="E316" t="s">
        <v>389</v>
      </c>
      <c r="F316" t="s">
        <v>904</v>
      </c>
      <c r="G316" t="s">
        <v>21</v>
      </c>
      <c r="H316" t="s">
        <v>1073</v>
      </c>
      <c r="I316" t="s">
        <v>882</v>
      </c>
      <c r="J316" t="s">
        <v>22</v>
      </c>
      <c r="K316">
        <v>991.59</v>
      </c>
      <c r="L316">
        <v>9</v>
      </c>
      <c r="M316">
        <v>0.05</v>
      </c>
      <c r="N316">
        <v>8924.31</v>
      </c>
      <c r="O316">
        <v>8478.0944999999992</v>
      </c>
      <c r="P316" t="s">
        <v>395</v>
      </c>
      <c r="Q316" t="s">
        <v>24</v>
      </c>
      <c r="R316" t="s">
        <v>1150</v>
      </c>
    </row>
    <row r="317" spans="1:18" x14ac:dyDescent="0.3">
      <c r="A317" t="s">
        <v>761</v>
      </c>
      <c r="B317" s="6">
        <v>45406</v>
      </c>
      <c r="C317" t="s">
        <v>392</v>
      </c>
      <c r="D317" t="s">
        <v>1134</v>
      </c>
      <c r="E317" t="s">
        <v>72</v>
      </c>
      <c r="F317" t="s">
        <v>883</v>
      </c>
      <c r="G317" t="s">
        <v>34</v>
      </c>
      <c r="H317" t="s">
        <v>1078</v>
      </c>
      <c r="I317" t="s">
        <v>917</v>
      </c>
      <c r="J317" t="s">
        <v>15</v>
      </c>
      <c r="K317">
        <v>2316.1999999999998</v>
      </c>
      <c r="L317">
        <v>1</v>
      </c>
      <c r="M317">
        <v>0.2</v>
      </c>
      <c r="N317">
        <v>2316.1999999999998</v>
      </c>
      <c r="O317">
        <v>1852.96</v>
      </c>
      <c r="P317" t="s">
        <v>762</v>
      </c>
      <c r="Q317" t="s">
        <v>42</v>
      </c>
      <c r="R317" t="s">
        <v>1150</v>
      </c>
    </row>
    <row r="318" spans="1:18" x14ac:dyDescent="0.3">
      <c r="A318" t="s">
        <v>763</v>
      </c>
      <c r="B318" s="6">
        <v>45445</v>
      </c>
      <c r="C318" t="s">
        <v>53</v>
      </c>
      <c r="D318" t="s">
        <v>1047</v>
      </c>
      <c r="E318" t="s">
        <v>54</v>
      </c>
      <c r="F318" t="s">
        <v>919</v>
      </c>
      <c r="G318" t="s">
        <v>14</v>
      </c>
      <c r="H318" t="s">
        <v>1080</v>
      </c>
      <c r="I318" t="s">
        <v>889</v>
      </c>
      <c r="J318" t="s">
        <v>35</v>
      </c>
      <c r="K318">
        <v>3929.31</v>
      </c>
      <c r="L318">
        <v>3</v>
      </c>
      <c r="M318">
        <v>0</v>
      </c>
      <c r="N318">
        <v>11787.93</v>
      </c>
      <c r="O318">
        <v>11787.93</v>
      </c>
      <c r="P318" t="s">
        <v>327</v>
      </c>
      <c r="Q318" t="s">
        <v>24</v>
      </c>
      <c r="R318" t="s">
        <v>1150</v>
      </c>
    </row>
    <row r="319" spans="1:18" x14ac:dyDescent="0.3">
      <c r="A319" t="s">
        <v>764</v>
      </c>
      <c r="B319" s="6">
        <v>45502</v>
      </c>
      <c r="C319" t="s">
        <v>590</v>
      </c>
      <c r="D319" t="s">
        <v>1140</v>
      </c>
      <c r="E319" t="s">
        <v>130</v>
      </c>
      <c r="F319" t="s">
        <v>891</v>
      </c>
      <c r="G319" t="s">
        <v>34</v>
      </c>
      <c r="H319" t="s">
        <v>1078</v>
      </c>
      <c r="I319" t="s">
        <v>910</v>
      </c>
      <c r="J319" t="s">
        <v>35</v>
      </c>
      <c r="K319">
        <v>3128.51</v>
      </c>
      <c r="L319">
        <v>10</v>
      </c>
      <c r="M319">
        <v>0.05</v>
      </c>
      <c r="N319">
        <v>31285.100000000002</v>
      </c>
      <c r="O319">
        <v>29720.845000000001</v>
      </c>
      <c r="P319" t="s">
        <v>432</v>
      </c>
      <c r="Q319" t="s">
        <v>24</v>
      </c>
      <c r="R319" t="s">
        <v>1150</v>
      </c>
    </row>
    <row r="320" spans="1:18" x14ac:dyDescent="0.3">
      <c r="A320" t="s">
        <v>765</v>
      </c>
      <c r="B320" s="6">
        <v>45756</v>
      </c>
      <c r="C320" t="s">
        <v>392</v>
      </c>
      <c r="D320" t="s">
        <v>1134</v>
      </c>
      <c r="E320" t="s">
        <v>254</v>
      </c>
      <c r="F320" t="s">
        <v>912</v>
      </c>
      <c r="G320" t="s">
        <v>14</v>
      </c>
      <c r="H320" t="s">
        <v>1080</v>
      </c>
      <c r="I320" t="s">
        <v>917</v>
      </c>
      <c r="J320" t="s">
        <v>35</v>
      </c>
      <c r="K320">
        <v>605.26</v>
      </c>
      <c r="L320">
        <v>3</v>
      </c>
      <c r="M320">
        <v>0.1</v>
      </c>
      <c r="N320">
        <v>1815.78</v>
      </c>
      <c r="O320">
        <v>1634.202</v>
      </c>
      <c r="P320" t="s">
        <v>509</v>
      </c>
      <c r="Q320" t="s">
        <v>42</v>
      </c>
      <c r="R320" t="s">
        <v>1150</v>
      </c>
    </row>
    <row r="321" spans="1:18" x14ac:dyDescent="0.3">
      <c r="A321" t="s">
        <v>766</v>
      </c>
      <c r="B321" s="6">
        <v>45351</v>
      </c>
      <c r="C321" t="s">
        <v>49</v>
      </c>
      <c r="D321" t="s">
        <v>1107</v>
      </c>
      <c r="E321" t="s">
        <v>121</v>
      </c>
      <c r="F321" t="s">
        <v>918</v>
      </c>
      <c r="G321" t="s">
        <v>45</v>
      </c>
      <c r="H321" t="s">
        <v>1096</v>
      </c>
      <c r="I321" t="s">
        <v>903</v>
      </c>
      <c r="J321" t="s">
        <v>73</v>
      </c>
      <c r="K321">
        <v>3414.07</v>
      </c>
      <c r="L321">
        <v>9</v>
      </c>
      <c r="M321">
        <v>0.05</v>
      </c>
      <c r="N321">
        <v>30726.63</v>
      </c>
      <c r="O321">
        <v>29190.298500000001</v>
      </c>
      <c r="P321" t="s">
        <v>767</v>
      </c>
      <c r="Q321" t="s">
        <v>30</v>
      </c>
      <c r="R321" t="s">
        <v>1150</v>
      </c>
    </row>
    <row r="322" spans="1:18" x14ac:dyDescent="0.3">
      <c r="A322" t="s">
        <v>768</v>
      </c>
      <c r="B322" s="6">
        <v>45552</v>
      </c>
      <c r="C322" t="s">
        <v>49</v>
      </c>
      <c r="D322" t="s">
        <v>1107</v>
      </c>
      <c r="E322" t="s">
        <v>465</v>
      </c>
      <c r="F322" t="s">
        <v>906</v>
      </c>
      <c r="G322" t="s">
        <v>21</v>
      </c>
      <c r="H322" t="s">
        <v>1073</v>
      </c>
      <c r="I322" t="s">
        <v>903</v>
      </c>
      <c r="J322" t="s">
        <v>73</v>
      </c>
      <c r="K322">
        <v>1140.8</v>
      </c>
      <c r="L322">
        <v>1</v>
      </c>
      <c r="M322">
        <v>0.15</v>
      </c>
      <c r="N322">
        <v>1140.8</v>
      </c>
      <c r="O322">
        <v>969.68</v>
      </c>
      <c r="P322" t="s">
        <v>770</v>
      </c>
      <c r="Q322" t="s">
        <v>24</v>
      </c>
      <c r="R322" t="s">
        <v>1150</v>
      </c>
    </row>
    <row r="323" spans="1:18" x14ac:dyDescent="0.3">
      <c r="A323" t="s">
        <v>771</v>
      </c>
      <c r="B323" s="6">
        <v>45725</v>
      </c>
      <c r="C323" t="s">
        <v>124</v>
      </c>
      <c r="D323" t="s">
        <v>1112</v>
      </c>
      <c r="E323" t="s">
        <v>67</v>
      </c>
      <c r="F323" t="s">
        <v>908</v>
      </c>
      <c r="G323" t="s">
        <v>34</v>
      </c>
      <c r="H323" t="s">
        <v>1078</v>
      </c>
      <c r="I323" t="s">
        <v>924</v>
      </c>
      <c r="J323" t="s">
        <v>73</v>
      </c>
      <c r="K323">
        <v>3205.14</v>
      </c>
      <c r="L323">
        <v>6</v>
      </c>
      <c r="M323">
        <v>0.15</v>
      </c>
      <c r="N323">
        <v>19230.84</v>
      </c>
      <c r="O323">
        <v>16346.214</v>
      </c>
      <c r="P323" t="s">
        <v>76</v>
      </c>
      <c r="Q323" t="s">
        <v>24</v>
      </c>
      <c r="R323" t="s">
        <v>1150</v>
      </c>
    </row>
    <row r="324" spans="1:18" x14ac:dyDescent="0.3">
      <c r="A324" t="s">
        <v>772</v>
      </c>
      <c r="B324" s="6">
        <v>45775</v>
      </c>
      <c r="C324" t="s">
        <v>690</v>
      </c>
      <c r="D324" t="s">
        <v>1142</v>
      </c>
      <c r="E324" t="s">
        <v>304</v>
      </c>
      <c r="F324" t="s">
        <v>925</v>
      </c>
      <c r="G324" t="s">
        <v>45</v>
      </c>
      <c r="H324" t="s">
        <v>1096</v>
      </c>
      <c r="I324" t="s">
        <v>889</v>
      </c>
      <c r="J324" t="s">
        <v>15</v>
      </c>
      <c r="K324">
        <v>1498.91</v>
      </c>
      <c r="L324">
        <v>1</v>
      </c>
      <c r="M324">
        <v>0</v>
      </c>
      <c r="N324">
        <v>1498.91</v>
      </c>
      <c r="O324">
        <v>1498.91</v>
      </c>
      <c r="P324" t="s">
        <v>154</v>
      </c>
      <c r="Q324" t="s">
        <v>60</v>
      </c>
      <c r="R324" t="s">
        <v>1150</v>
      </c>
    </row>
    <row r="325" spans="1:18" x14ac:dyDescent="0.3">
      <c r="A325" t="s">
        <v>773</v>
      </c>
      <c r="B325" s="6">
        <v>45722</v>
      </c>
      <c r="C325" t="s">
        <v>19</v>
      </c>
      <c r="D325" t="s">
        <v>1104</v>
      </c>
      <c r="E325" t="s">
        <v>389</v>
      </c>
      <c r="F325" t="s">
        <v>890</v>
      </c>
      <c r="G325" t="s">
        <v>14</v>
      </c>
      <c r="H325" t="s">
        <v>1080</v>
      </c>
      <c r="I325" t="s">
        <v>882</v>
      </c>
      <c r="J325" t="s">
        <v>35</v>
      </c>
      <c r="K325">
        <v>991.59</v>
      </c>
      <c r="L325">
        <v>6</v>
      </c>
      <c r="M325">
        <v>0.05</v>
      </c>
      <c r="N325">
        <v>5949.54</v>
      </c>
      <c r="O325">
        <v>5652.0630000000001</v>
      </c>
      <c r="P325" t="s">
        <v>140</v>
      </c>
      <c r="Q325" t="s">
        <v>30</v>
      </c>
      <c r="R325" t="s">
        <v>1150</v>
      </c>
    </row>
    <row r="326" spans="1:18" x14ac:dyDescent="0.3">
      <c r="A326" t="s">
        <v>774</v>
      </c>
      <c r="B326" s="6">
        <v>45374</v>
      </c>
      <c r="C326" t="s">
        <v>392</v>
      </c>
      <c r="D326" t="s">
        <v>1134</v>
      </c>
      <c r="E326" t="s">
        <v>111</v>
      </c>
      <c r="F326" t="s">
        <v>883</v>
      </c>
      <c r="G326" t="s">
        <v>21</v>
      </c>
      <c r="H326" t="s">
        <v>1073</v>
      </c>
      <c r="I326" t="s">
        <v>924</v>
      </c>
      <c r="J326" t="s">
        <v>73</v>
      </c>
      <c r="K326">
        <v>4390.62</v>
      </c>
      <c r="L326">
        <v>9</v>
      </c>
      <c r="M326">
        <v>0</v>
      </c>
      <c r="N326">
        <v>39515.58</v>
      </c>
      <c r="O326">
        <v>39515.58</v>
      </c>
      <c r="P326" t="s">
        <v>775</v>
      </c>
      <c r="Q326" t="s">
        <v>60</v>
      </c>
      <c r="R326" t="s">
        <v>1150</v>
      </c>
    </row>
    <row r="327" spans="1:18" x14ac:dyDescent="0.3">
      <c r="A327" t="s">
        <v>776</v>
      </c>
      <c r="B327" s="6">
        <v>45694</v>
      </c>
      <c r="C327" t="s">
        <v>214</v>
      </c>
      <c r="D327" t="s">
        <v>1125</v>
      </c>
      <c r="E327" t="s">
        <v>54</v>
      </c>
      <c r="F327" t="s">
        <v>929</v>
      </c>
      <c r="G327" t="s">
        <v>34</v>
      </c>
      <c r="H327" t="s">
        <v>1078</v>
      </c>
      <c r="I327" t="s">
        <v>889</v>
      </c>
      <c r="J327" t="s">
        <v>73</v>
      </c>
      <c r="K327">
        <v>3929.31</v>
      </c>
      <c r="L327">
        <v>9</v>
      </c>
      <c r="M327">
        <v>0</v>
      </c>
      <c r="N327">
        <v>35363.79</v>
      </c>
      <c r="O327">
        <v>35363.79</v>
      </c>
      <c r="P327" t="s">
        <v>501</v>
      </c>
      <c r="Q327" t="s">
        <v>24</v>
      </c>
      <c r="R327" t="s">
        <v>1150</v>
      </c>
    </row>
    <row r="328" spans="1:18" x14ac:dyDescent="0.3">
      <c r="A328" t="s">
        <v>777</v>
      </c>
      <c r="B328" s="6">
        <v>45597</v>
      </c>
      <c r="C328" t="s">
        <v>39</v>
      </c>
      <c r="D328" t="s">
        <v>990</v>
      </c>
      <c r="E328" t="s">
        <v>125</v>
      </c>
      <c r="F328" t="s">
        <v>891</v>
      </c>
      <c r="G328" t="s">
        <v>34</v>
      </c>
      <c r="H328" t="s">
        <v>1078</v>
      </c>
      <c r="I328" t="s">
        <v>931</v>
      </c>
      <c r="J328" t="s">
        <v>35</v>
      </c>
      <c r="K328">
        <v>2458.91</v>
      </c>
      <c r="L328">
        <v>8</v>
      </c>
      <c r="M328">
        <v>0.15</v>
      </c>
      <c r="N328">
        <v>19671.28</v>
      </c>
      <c r="O328">
        <v>16720.588</v>
      </c>
      <c r="P328" t="s">
        <v>29</v>
      </c>
      <c r="Q328" t="s">
        <v>42</v>
      </c>
      <c r="R328" t="s">
        <v>1150</v>
      </c>
    </row>
    <row r="329" spans="1:18" x14ac:dyDescent="0.3">
      <c r="A329" t="s">
        <v>778</v>
      </c>
      <c r="B329" s="6">
        <v>45680</v>
      </c>
      <c r="C329" t="s">
        <v>590</v>
      </c>
      <c r="D329" t="s">
        <v>1140</v>
      </c>
      <c r="E329" t="s">
        <v>249</v>
      </c>
      <c r="F329" t="s">
        <v>930</v>
      </c>
      <c r="G329" t="s">
        <v>45</v>
      </c>
      <c r="H329" t="s">
        <v>1096</v>
      </c>
      <c r="I329" t="s">
        <v>889</v>
      </c>
      <c r="J329" t="s">
        <v>22</v>
      </c>
      <c r="K329">
        <v>1309.58</v>
      </c>
      <c r="L329">
        <v>4</v>
      </c>
      <c r="M329">
        <v>0</v>
      </c>
      <c r="N329">
        <v>5238.32</v>
      </c>
      <c r="O329">
        <v>5238.32</v>
      </c>
      <c r="P329" t="s">
        <v>540</v>
      </c>
      <c r="Q329" t="s">
        <v>60</v>
      </c>
      <c r="R329" t="s">
        <v>1150</v>
      </c>
    </row>
    <row r="330" spans="1:18" x14ac:dyDescent="0.3">
      <c r="A330" t="s">
        <v>779</v>
      </c>
      <c r="B330" s="6">
        <v>45574</v>
      </c>
      <c r="C330" t="s">
        <v>590</v>
      </c>
      <c r="D330" t="s">
        <v>1140</v>
      </c>
      <c r="E330" t="s">
        <v>130</v>
      </c>
      <c r="F330" t="s">
        <v>893</v>
      </c>
      <c r="G330" t="s">
        <v>82</v>
      </c>
      <c r="H330" t="s">
        <v>1076</v>
      </c>
      <c r="I330" t="s">
        <v>910</v>
      </c>
      <c r="J330" t="s">
        <v>73</v>
      </c>
      <c r="K330">
        <v>3128.51</v>
      </c>
      <c r="L330">
        <v>4</v>
      </c>
      <c r="M330">
        <v>0.15</v>
      </c>
      <c r="N330">
        <v>12514.04</v>
      </c>
      <c r="O330">
        <v>10636.934000000001</v>
      </c>
      <c r="P330" t="s">
        <v>780</v>
      </c>
      <c r="Q330" t="s">
        <v>30</v>
      </c>
      <c r="R330" t="s">
        <v>1150</v>
      </c>
    </row>
    <row r="331" spans="1:18" x14ac:dyDescent="0.3">
      <c r="A331" t="s">
        <v>781</v>
      </c>
      <c r="B331" s="6">
        <v>45308</v>
      </c>
      <c r="C331" t="s">
        <v>53</v>
      </c>
      <c r="D331" t="s">
        <v>1047</v>
      </c>
      <c r="E331" t="s">
        <v>345</v>
      </c>
      <c r="F331" t="s">
        <v>912</v>
      </c>
      <c r="G331" t="s">
        <v>14</v>
      </c>
      <c r="H331" t="s">
        <v>1080</v>
      </c>
      <c r="I331" t="s">
        <v>924</v>
      </c>
      <c r="J331" t="s">
        <v>73</v>
      </c>
      <c r="K331">
        <v>1212.79</v>
      </c>
      <c r="L331">
        <v>4</v>
      </c>
      <c r="M331">
        <v>0</v>
      </c>
      <c r="N331">
        <v>4851.16</v>
      </c>
      <c r="O331">
        <v>4851.16</v>
      </c>
      <c r="P331" t="s">
        <v>375</v>
      </c>
      <c r="Q331" t="s">
        <v>42</v>
      </c>
      <c r="R331" t="s">
        <v>1150</v>
      </c>
    </row>
    <row r="332" spans="1:18" x14ac:dyDescent="0.3">
      <c r="A332" t="s">
        <v>1154</v>
      </c>
      <c r="B332" s="6">
        <v>45308</v>
      </c>
      <c r="C332" t="s">
        <v>53</v>
      </c>
      <c r="D332" t="s">
        <v>1047</v>
      </c>
      <c r="E332" t="s">
        <v>345</v>
      </c>
      <c r="F332" t="s">
        <v>892</v>
      </c>
      <c r="G332" t="s">
        <v>14</v>
      </c>
      <c r="H332" t="s">
        <v>1080</v>
      </c>
      <c r="I332" t="s">
        <v>924</v>
      </c>
      <c r="J332" t="s">
        <v>73</v>
      </c>
      <c r="K332">
        <v>1212.79</v>
      </c>
      <c r="L332">
        <v>4</v>
      </c>
      <c r="M332">
        <v>0</v>
      </c>
      <c r="N332">
        <v>4851.16</v>
      </c>
      <c r="O332">
        <v>4851.16</v>
      </c>
      <c r="P332" t="s">
        <v>375</v>
      </c>
      <c r="Q332" t="s">
        <v>42</v>
      </c>
      <c r="R332" t="s">
        <v>1150</v>
      </c>
    </row>
    <row r="333" spans="1:18" x14ac:dyDescent="0.3">
      <c r="A333" t="s">
        <v>782</v>
      </c>
      <c r="B333" s="6">
        <v>45326</v>
      </c>
      <c r="C333" t="s">
        <v>245</v>
      </c>
      <c r="D333" t="s">
        <v>1128</v>
      </c>
      <c r="E333" t="s">
        <v>130</v>
      </c>
      <c r="F333" t="s">
        <v>927</v>
      </c>
      <c r="G333" t="s">
        <v>21</v>
      </c>
      <c r="H333" t="s">
        <v>1073</v>
      </c>
      <c r="I333" t="s">
        <v>910</v>
      </c>
      <c r="J333" t="s">
        <v>15</v>
      </c>
      <c r="K333">
        <v>3128.51</v>
      </c>
      <c r="L333">
        <v>8</v>
      </c>
      <c r="M333">
        <v>0.1</v>
      </c>
      <c r="N333">
        <v>25028.080000000002</v>
      </c>
      <c r="O333">
        <v>22525.272000000001</v>
      </c>
      <c r="P333" t="s">
        <v>200</v>
      </c>
      <c r="Q333" t="s">
        <v>24</v>
      </c>
      <c r="R333" t="s">
        <v>1150</v>
      </c>
    </row>
    <row r="334" spans="1:18" x14ac:dyDescent="0.3">
      <c r="A334" t="s">
        <v>783</v>
      </c>
      <c r="B334" s="6">
        <v>45703</v>
      </c>
      <c r="C334" t="s">
        <v>171</v>
      </c>
      <c r="D334" t="s">
        <v>1010</v>
      </c>
      <c r="E334" t="s">
        <v>172</v>
      </c>
      <c r="F334" t="s">
        <v>927</v>
      </c>
      <c r="G334" t="s">
        <v>21</v>
      </c>
      <c r="H334" t="s">
        <v>1073</v>
      </c>
      <c r="I334" t="s">
        <v>896</v>
      </c>
      <c r="J334" t="s">
        <v>15</v>
      </c>
      <c r="K334">
        <v>2849.53</v>
      </c>
      <c r="L334">
        <v>8</v>
      </c>
      <c r="M334">
        <v>0</v>
      </c>
      <c r="N334">
        <v>22796.240000000002</v>
      </c>
      <c r="O334">
        <v>22796.240000000002</v>
      </c>
      <c r="P334" t="s">
        <v>470</v>
      </c>
      <c r="Q334" t="s">
        <v>24</v>
      </c>
      <c r="R334" t="s">
        <v>1150</v>
      </c>
    </row>
    <row r="335" spans="1:18" x14ac:dyDescent="0.3">
      <c r="A335" t="s">
        <v>785</v>
      </c>
      <c r="B335" s="6">
        <v>45435</v>
      </c>
      <c r="C335" t="s">
        <v>392</v>
      </c>
      <c r="D335" t="s">
        <v>1134</v>
      </c>
      <c r="E335" t="s">
        <v>196</v>
      </c>
      <c r="F335" t="s">
        <v>912</v>
      </c>
      <c r="G335" t="s">
        <v>14</v>
      </c>
      <c r="H335" t="s">
        <v>1080</v>
      </c>
      <c r="I335" t="s">
        <v>882</v>
      </c>
      <c r="J335" t="s">
        <v>22</v>
      </c>
      <c r="K335">
        <v>2184.5100000000002</v>
      </c>
      <c r="L335">
        <v>9</v>
      </c>
      <c r="M335">
        <v>0</v>
      </c>
      <c r="N335">
        <v>19660.590000000004</v>
      </c>
      <c r="O335">
        <v>19660.590000000004</v>
      </c>
      <c r="P335" t="s">
        <v>786</v>
      </c>
      <c r="Q335" t="s">
        <v>42</v>
      </c>
      <c r="R335" t="s">
        <v>1150</v>
      </c>
    </row>
    <row r="336" spans="1:18" x14ac:dyDescent="0.3">
      <c r="A336" t="s">
        <v>787</v>
      </c>
      <c r="B336" s="6">
        <v>45620</v>
      </c>
      <c r="C336" t="s">
        <v>245</v>
      </c>
      <c r="D336" t="s">
        <v>1128</v>
      </c>
      <c r="E336" t="s">
        <v>389</v>
      </c>
      <c r="F336" t="s">
        <v>898</v>
      </c>
      <c r="G336" t="s">
        <v>82</v>
      </c>
      <c r="H336" t="s">
        <v>1076</v>
      </c>
      <c r="I336" t="s">
        <v>882</v>
      </c>
      <c r="J336" t="s">
        <v>15</v>
      </c>
      <c r="K336">
        <v>991.59</v>
      </c>
      <c r="L336">
        <v>4</v>
      </c>
      <c r="M336">
        <v>0</v>
      </c>
      <c r="N336">
        <v>3966.36</v>
      </c>
      <c r="O336">
        <v>3966.36</v>
      </c>
      <c r="P336" t="s">
        <v>788</v>
      </c>
      <c r="Q336" t="s">
        <v>30</v>
      </c>
      <c r="R336" t="s">
        <v>1150</v>
      </c>
    </row>
    <row r="337" spans="1:18" x14ac:dyDescent="0.3">
      <c r="A337" t="s">
        <v>789</v>
      </c>
      <c r="B337" s="6">
        <v>45599</v>
      </c>
      <c r="C337" t="s">
        <v>49</v>
      </c>
      <c r="D337" t="s">
        <v>1107</v>
      </c>
      <c r="E337" t="s">
        <v>111</v>
      </c>
      <c r="F337" t="s">
        <v>885</v>
      </c>
      <c r="G337" t="s">
        <v>82</v>
      </c>
      <c r="H337" t="s">
        <v>1076</v>
      </c>
      <c r="I337" t="s">
        <v>924</v>
      </c>
      <c r="J337" t="s">
        <v>15</v>
      </c>
      <c r="K337">
        <v>4390.62</v>
      </c>
      <c r="L337">
        <v>5</v>
      </c>
      <c r="M337">
        <v>0</v>
      </c>
      <c r="N337">
        <v>21953.1</v>
      </c>
      <c r="O337">
        <v>21953.1</v>
      </c>
      <c r="P337" t="s">
        <v>391</v>
      </c>
      <c r="Q337" t="s">
        <v>30</v>
      </c>
      <c r="R337" t="s">
        <v>1150</v>
      </c>
    </row>
    <row r="338" spans="1:18" x14ac:dyDescent="0.3">
      <c r="A338" t="s">
        <v>790</v>
      </c>
      <c r="B338" s="6">
        <v>45799</v>
      </c>
      <c r="C338" t="s">
        <v>605</v>
      </c>
      <c r="D338" t="s">
        <v>1023</v>
      </c>
      <c r="E338" t="s">
        <v>172</v>
      </c>
      <c r="F338" t="s">
        <v>883</v>
      </c>
      <c r="G338" t="s">
        <v>34</v>
      </c>
      <c r="H338" t="s">
        <v>1078</v>
      </c>
      <c r="I338" t="s">
        <v>896</v>
      </c>
      <c r="J338" t="s">
        <v>22</v>
      </c>
      <c r="K338">
        <v>2849.53</v>
      </c>
      <c r="L338">
        <v>1</v>
      </c>
      <c r="M338">
        <v>0</v>
      </c>
      <c r="N338">
        <v>2849.53</v>
      </c>
      <c r="O338">
        <v>2849.53</v>
      </c>
      <c r="P338" t="s">
        <v>579</v>
      </c>
      <c r="Q338" t="s">
        <v>30</v>
      </c>
      <c r="R338" t="s">
        <v>1150</v>
      </c>
    </row>
    <row r="339" spans="1:18" x14ac:dyDescent="0.3">
      <c r="A339" t="s">
        <v>791</v>
      </c>
      <c r="B339" s="6">
        <v>45710</v>
      </c>
      <c r="C339" t="s">
        <v>171</v>
      </c>
      <c r="D339" t="s">
        <v>1010</v>
      </c>
      <c r="E339" t="s">
        <v>161</v>
      </c>
      <c r="F339" t="s">
        <v>929</v>
      </c>
      <c r="G339" t="s">
        <v>34</v>
      </c>
      <c r="H339" t="s">
        <v>1078</v>
      </c>
      <c r="I339" t="s">
        <v>903</v>
      </c>
      <c r="J339" t="s">
        <v>15</v>
      </c>
      <c r="K339">
        <v>1513.99</v>
      </c>
      <c r="L339">
        <v>3</v>
      </c>
      <c r="M339">
        <v>0</v>
      </c>
      <c r="N339">
        <v>4541.97</v>
      </c>
      <c r="O339">
        <v>4541.97</v>
      </c>
      <c r="P339" t="s">
        <v>792</v>
      </c>
      <c r="Q339" t="s">
        <v>42</v>
      </c>
      <c r="R339" t="s">
        <v>1150</v>
      </c>
    </row>
    <row r="340" spans="1:18" x14ac:dyDescent="0.3">
      <c r="A340" t="s">
        <v>793</v>
      </c>
      <c r="B340" s="6">
        <v>45776</v>
      </c>
      <c r="C340" t="s">
        <v>234</v>
      </c>
      <c r="D340" t="s">
        <v>1127</v>
      </c>
      <c r="E340" t="s">
        <v>20</v>
      </c>
      <c r="F340" t="s">
        <v>898</v>
      </c>
      <c r="G340" t="s">
        <v>14</v>
      </c>
      <c r="H340" t="s">
        <v>1080</v>
      </c>
      <c r="I340" t="s">
        <v>896</v>
      </c>
      <c r="J340" t="s">
        <v>22</v>
      </c>
      <c r="K340">
        <v>3772.12</v>
      </c>
      <c r="L340">
        <v>4</v>
      </c>
      <c r="M340">
        <v>0.2</v>
      </c>
      <c r="N340">
        <v>15088.48</v>
      </c>
      <c r="O340">
        <v>12070.784</v>
      </c>
      <c r="P340" t="s">
        <v>165</v>
      </c>
      <c r="Q340" t="s">
        <v>60</v>
      </c>
      <c r="R340" t="s">
        <v>1150</v>
      </c>
    </row>
    <row r="341" spans="1:18" x14ac:dyDescent="0.3">
      <c r="A341" t="s">
        <v>794</v>
      </c>
      <c r="B341" s="6">
        <v>45766</v>
      </c>
      <c r="C341" t="s">
        <v>171</v>
      </c>
      <c r="D341" t="s">
        <v>1010</v>
      </c>
      <c r="E341" t="s">
        <v>20</v>
      </c>
      <c r="F341" t="s">
        <v>905</v>
      </c>
      <c r="G341" t="s">
        <v>21</v>
      </c>
      <c r="H341" t="s">
        <v>1073</v>
      </c>
      <c r="I341" t="s">
        <v>896</v>
      </c>
      <c r="J341" t="s">
        <v>35</v>
      </c>
      <c r="K341">
        <v>3772.12</v>
      </c>
      <c r="L341">
        <v>1</v>
      </c>
      <c r="M341">
        <v>0.1</v>
      </c>
      <c r="N341">
        <v>3772.12</v>
      </c>
      <c r="O341">
        <v>3394.9079999999999</v>
      </c>
      <c r="P341" t="s">
        <v>151</v>
      </c>
      <c r="Q341" t="s">
        <v>42</v>
      </c>
      <c r="R341" t="s">
        <v>1150</v>
      </c>
    </row>
    <row r="342" spans="1:18" x14ac:dyDescent="0.3">
      <c r="A342" t="s">
        <v>795</v>
      </c>
      <c r="B342" s="6">
        <v>45834</v>
      </c>
      <c r="C342" t="s">
        <v>462</v>
      </c>
      <c r="D342" t="s">
        <v>1137</v>
      </c>
      <c r="E342" t="s">
        <v>254</v>
      </c>
      <c r="F342" t="s">
        <v>899</v>
      </c>
      <c r="G342" t="s">
        <v>14</v>
      </c>
      <c r="H342" t="s">
        <v>1080</v>
      </c>
      <c r="I342" t="s">
        <v>917</v>
      </c>
      <c r="J342" t="s">
        <v>22</v>
      </c>
      <c r="K342">
        <v>605.26</v>
      </c>
      <c r="L342">
        <v>3</v>
      </c>
      <c r="M342">
        <v>0.05</v>
      </c>
      <c r="N342">
        <v>1815.78</v>
      </c>
      <c r="O342">
        <v>1724.991</v>
      </c>
      <c r="P342" t="s">
        <v>548</v>
      </c>
      <c r="Q342" t="s">
        <v>60</v>
      </c>
      <c r="R342" t="s">
        <v>1150</v>
      </c>
    </row>
    <row r="343" spans="1:18" x14ac:dyDescent="0.3">
      <c r="A343" t="s">
        <v>796</v>
      </c>
      <c r="B343" s="6">
        <v>45630</v>
      </c>
      <c r="C343" t="s">
        <v>168</v>
      </c>
      <c r="D343" t="s">
        <v>1119</v>
      </c>
      <c r="E343" t="s">
        <v>206</v>
      </c>
      <c r="F343" t="s">
        <v>899</v>
      </c>
      <c r="G343" t="s">
        <v>45</v>
      </c>
      <c r="H343" t="s">
        <v>1096</v>
      </c>
      <c r="I343" t="s">
        <v>882</v>
      </c>
      <c r="J343" t="s">
        <v>73</v>
      </c>
      <c r="K343">
        <v>2779.58</v>
      </c>
      <c r="L343">
        <v>2</v>
      </c>
      <c r="M343">
        <v>0.05</v>
      </c>
      <c r="N343">
        <v>5559.16</v>
      </c>
      <c r="O343">
        <v>5281.2019999999993</v>
      </c>
      <c r="P343" t="s">
        <v>133</v>
      </c>
      <c r="Q343" t="s">
        <v>42</v>
      </c>
      <c r="R343" t="s">
        <v>1150</v>
      </c>
    </row>
    <row r="344" spans="1:18" x14ac:dyDescent="0.3">
      <c r="A344" t="s">
        <v>1155</v>
      </c>
      <c r="B344" s="6">
        <v>45630</v>
      </c>
      <c r="C344" t="s">
        <v>168</v>
      </c>
      <c r="D344" t="s">
        <v>1119</v>
      </c>
      <c r="E344" t="s">
        <v>206</v>
      </c>
      <c r="F344" t="s">
        <v>921</v>
      </c>
      <c r="G344" t="s">
        <v>45</v>
      </c>
      <c r="H344" t="s">
        <v>1096</v>
      </c>
      <c r="I344" t="s">
        <v>882</v>
      </c>
      <c r="J344" t="s">
        <v>73</v>
      </c>
      <c r="K344">
        <v>2779.58</v>
      </c>
      <c r="L344">
        <v>2</v>
      </c>
      <c r="M344">
        <v>0.05</v>
      </c>
      <c r="N344">
        <v>5559.16</v>
      </c>
      <c r="O344">
        <v>5281.2019999999993</v>
      </c>
      <c r="P344" t="s">
        <v>133</v>
      </c>
      <c r="Q344" t="s">
        <v>42</v>
      </c>
      <c r="R344" t="s">
        <v>1150</v>
      </c>
    </row>
    <row r="345" spans="1:18" x14ac:dyDescent="0.3">
      <c r="A345" t="s">
        <v>797</v>
      </c>
      <c r="B345" s="6">
        <v>45487</v>
      </c>
      <c r="C345" t="s">
        <v>66</v>
      </c>
      <c r="D345" t="s">
        <v>1108</v>
      </c>
      <c r="E345" t="s">
        <v>389</v>
      </c>
      <c r="F345" t="s">
        <v>918</v>
      </c>
      <c r="G345" t="s">
        <v>21</v>
      </c>
      <c r="H345" t="s">
        <v>1073</v>
      </c>
      <c r="I345" t="s">
        <v>882</v>
      </c>
      <c r="J345" t="s">
        <v>73</v>
      </c>
      <c r="K345">
        <v>991.59</v>
      </c>
      <c r="L345">
        <v>1</v>
      </c>
      <c r="M345">
        <v>0</v>
      </c>
      <c r="N345">
        <v>991.59</v>
      </c>
      <c r="O345">
        <v>991.59</v>
      </c>
      <c r="P345" t="s">
        <v>519</v>
      </c>
      <c r="Q345" t="s">
        <v>24</v>
      </c>
      <c r="R345" t="s">
        <v>1150</v>
      </c>
    </row>
    <row r="346" spans="1:18" x14ac:dyDescent="0.3">
      <c r="A346" t="s">
        <v>798</v>
      </c>
      <c r="B346" s="6">
        <v>45484</v>
      </c>
      <c r="C346" t="s">
        <v>32</v>
      </c>
      <c r="D346" t="s">
        <v>1106</v>
      </c>
      <c r="E346" t="s">
        <v>121</v>
      </c>
      <c r="F346" t="s">
        <v>887</v>
      </c>
      <c r="G346" t="s">
        <v>14</v>
      </c>
      <c r="H346" t="s">
        <v>1080</v>
      </c>
      <c r="I346" t="s">
        <v>903</v>
      </c>
      <c r="J346" t="s">
        <v>15</v>
      </c>
      <c r="K346">
        <v>3414.07</v>
      </c>
      <c r="L346">
        <v>10</v>
      </c>
      <c r="M346">
        <v>0.15</v>
      </c>
      <c r="N346">
        <v>34140.700000000004</v>
      </c>
      <c r="O346">
        <v>29019.595000000001</v>
      </c>
      <c r="P346" t="s">
        <v>655</v>
      </c>
      <c r="Q346" t="s">
        <v>30</v>
      </c>
      <c r="R346" t="s">
        <v>1150</v>
      </c>
    </row>
    <row r="347" spans="1:18" x14ac:dyDescent="0.3">
      <c r="A347" t="s">
        <v>799</v>
      </c>
      <c r="B347" s="6">
        <v>45505</v>
      </c>
      <c r="C347" t="s">
        <v>311</v>
      </c>
      <c r="D347" t="s">
        <v>1132</v>
      </c>
      <c r="E347" t="s">
        <v>389</v>
      </c>
      <c r="F347" t="s">
        <v>887</v>
      </c>
      <c r="G347" t="s">
        <v>45</v>
      </c>
      <c r="H347" t="s">
        <v>1096</v>
      </c>
      <c r="I347" t="s">
        <v>882</v>
      </c>
      <c r="J347" t="s">
        <v>15</v>
      </c>
      <c r="K347">
        <v>991.59</v>
      </c>
      <c r="L347">
        <v>6</v>
      </c>
      <c r="M347">
        <v>0</v>
      </c>
      <c r="N347">
        <v>5949.54</v>
      </c>
      <c r="O347">
        <v>5949.54</v>
      </c>
      <c r="P347" t="s">
        <v>800</v>
      </c>
      <c r="Q347" t="s">
        <v>60</v>
      </c>
      <c r="R347" t="s">
        <v>1150</v>
      </c>
    </row>
    <row r="348" spans="1:18" x14ac:dyDescent="0.3">
      <c r="A348" t="s">
        <v>801</v>
      </c>
      <c r="B348" s="6">
        <v>45412</v>
      </c>
      <c r="C348" t="s">
        <v>134</v>
      </c>
      <c r="D348" t="s">
        <v>1047</v>
      </c>
      <c r="E348" t="s">
        <v>254</v>
      </c>
      <c r="F348" t="s">
        <v>883</v>
      </c>
      <c r="G348" t="s">
        <v>14</v>
      </c>
      <c r="H348" t="s">
        <v>1080</v>
      </c>
      <c r="I348" t="s">
        <v>917</v>
      </c>
      <c r="J348" t="s">
        <v>15</v>
      </c>
      <c r="K348">
        <v>605.26</v>
      </c>
      <c r="L348">
        <v>8</v>
      </c>
      <c r="M348">
        <v>0</v>
      </c>
      <c r="N348">
        <v>4842.08</v>
      </c>
      <c r="O348">
        <v>4842.08</v>
      </c>
      <c r="P348" t="s">
        <v>238</v>
      </c>
      <c r="Q348" t="s">
        <v>30</v>
      </c>
      <c r="R348" t="s">
        <v>1150</v>
      </c>
    </row>
    <row r="349" spans="1:18" x14ac:dyDescent="0.3">
      <c r="A349" t="s">
        <v>802</v>
      </c>
      <c r="B349" s="6">
        <v>45537</v>
      </c>
      <c r="C349" t="s">
        <v>460</v>
      </c>
      <c r="D349" t="s">
        <v>1136</v>
      </c>
      <c r="E349" t="s">
        <v>465</v>
      </c>
      <c r="F349" t="s">
        <v>906</v>
      </c>
      <c r="G349" t="s">
        <v>14</v>
      </c>
      <c r="H349" t="s">
        <v>1080</v>
      </c>
      <c r="I349" t="s">
        <v>903</v>
      </c>
      <c r="J349" t="s">
        <v>35</v>
      </c>
      <c r="K349">
        <v>1140.8</v>
      </c>
      <c r="L349">
        <v>9</v>
      </c>
      <c r="M349">
        <v>0</v>
      </c>
      <c r="N349">
        <v>10267.199999999999</v>
      </c>
      <c r="O349">
        <v>10267.199999999999</v>
      </c>
      <c r="P349" t="s">
        <v>705</v>
      </c>
      <c r="Q349" t="s">
        <v>30</v>
      </c>
      <c r="R349" t="s">
        <v>1150</v>
      </c>
    </row>
    <row r="350" spans="1:18" x14ac:dyDescent="0.3">
      <c r="A350" t="s">
        <v>803</v>
      </c>
      <c r="B350" s="6">
        <v>45659</v>
      </c>
      <c r="C350" t="s">
        <v>129</v>
      </c>
      <c r="D350" t="s">
        <v>1113</v>
      </c>
      <c r="E350" t="s">
        <v>54</v>
      </c>
      <c r="F350" t="s">
        <v>883</v>
      </c>
      <c r="G350" t="s">
        <v>45</v>
      </c>
      <c r="H350" t="s">
        <v>1096</v>
      </c>
      <c r="I350" t="s">
        <v>889</v>
      </c>
      <c r="J350" t="s">
        <v>35</v>
      </c>
      <c r="K350">
        <v>3929.31</v>
      </c>
      <c r="L350">
        <v>5</v>
      </c>
      <c r="M350">
        <v>0</v>
      </c>
      <c r="N350">
        <v>19646.55</v>
      </c>
      <c r="O350">
        <v>19646.55</v>
      </c>
      <c r="P350" t="s">
        <v>804</v>
      </c>
      <c r="Q350" t="s">
        <v>30</v>
      </c>
      <c r="R350" t="s">
        <v>1150</v>
      </c>
    </row>
    <row r="351" spans="1:18" x14ac:dyDescent="0.3">
      <c r="A351" t="s">
        <v>805</v>
      </c>
      <c r="B351" s="6">
        <v>45392</v>
      </c>
      <c r="C351" t="s">
        <v>605</v>
      </c>
      <c r="D351" t="s">
        <v>1023</v>
      </c>
      <c r="E351" t="s">
        <v>13</v>
      </c>
      <c r="F351" t="s">
        <v>918</v>
      </c>
      <c r="G351" t="s">
        <v>21</v>
      </c>
      <c r="H351" t="s">
        <v>1073</v>
      </c>
      <c r="I351" t="s">
        <v>910</v>
      </c>
      <c r="J351" t="s">
        <v>15</v>
      </c>
      <c r="K351">
        <v>3493.54</v>
      </c>
      <c r="L351">
        <v>8</v>
      </c>
      <c r="M351">
        <v>0.2</v>
      </c>
      <c r="N351">
        <v>27948.32</v>
      </c>
      <c r="O351">
        <v>22358.656000000003</v>
      </c>
      <c r="P351" t="s">
        <v>604</v>
      </c>
      <c r="Q351" t="s">
        <v>17</v>
      </c>
      <c r="R351" t="s">
        <v>1150</v>
      </c>
    </row>
    <row r="352" spans="1:18" x14ac:dyDescent="0.3">
      <c r="A352" t="s">
        <v>806</v>
      </c>
      <c r="B352" s="6">
        <v>45612</v>
      </c>
      <c r="C352" t="s">
        <v>476</v>
      </c>
      <c r="D352" t="s">
        <v>983</v>
      </c>
      <c r="E352" t="s">
        <v>304</v>
      </c>
      <c r="F352" t="s">
        <v>908</v>
      </c>
      <c r="G352" t="s">
        <v>14</v>
      </c>
      <c r="H352" t="s">
        <v>1080</v>
      </c>
      <c r="I352" t="s">
        <v>889</v>
      </c>
      <c r="J352" t="s">
        <v>15</v>
      </c>
      <c r="K352">
        <v>1498.91</v>
      </c>
      <c r="L352">
        <v>0</v>
      </c>
      <c r="M352">
        <v>0</v>
      </c>
      <c r="N352">
        <v>0</v>
      </c>
      <c r="O352">
        <v>0</v>
      </c>
      <c r="P352" t="s">
        <v>505</v>
      </c>
      <c r="Q352" t="s">
        <v>60</v>
      </c>
      <c r="R352" t="s">
        <v>1151</v>
      </c>
    </row>
    <row r="353" spans="1:18" x14ac:dyDescent="0.3">
      <c r="A353" t="s">
        <v>807</v>
      </c>
      <c r="B353" s="6">
        <v>45308</v>
      </c>
      <c r="C353" t="s">
        <v>605</v>
      </c>
      <c r="D353" t="s">
        <v>1023</v>
      </c>
      <c r="E353" t="s">
        <v>121</v>
      </c>
      <c r="F353" t="s">
        <v>891</v>
      </c>
      <c r="G353" t="s">
        <v>82</v>
      </c>
      <c r="H353" t="s">
        <v>1076</v>
      </c>
      <c r="I353" t="s">
        <v>903</v>
      </c>
      <c r="J353" t="s">
        <v>35</v>
      </c>
      <c r="K353">
        <v>3414.07</v>
      </c>
      <c r="L353">
        <v>5</v>
      </c>
      <c r="M353">
        <v>0.1</v>
      </c>
      <c r="N353">
        <v>17070.350000000002</v>
      </c>
      <c r="O353">
        <v>15363.315000000002</v>
      </c>
      <c r="P353" t="s">
        <v>478</v>
      </c>
      <c r="Q353" t="s">
        <v>17</v>
      </c>
      <c r="R353" t="s">
        <v>1150</v>
      </c>
    </row>
    <row r="354" spans="1:18" x14ac:dyDescent="0.3">
      <c r="A354" t="s">
        <v>808</v>
      </c>
      <c r="B354" s="6">
        <v>45448</v>
      </c>
      <c r="C354" t="s">
        <v>53</v>
      </c>
      <c r="D354" t="s">
        <v>1047</v>
      </c>
      <c r="E354" t="s">
        <v>13</v>
      </c>
      <c r="F354" t="s">
        <v>913</v>
      </c>
      <c r="G354" t="s">
        <v>14</v>
      </c>
      <c r="H354" t="s">
        <v>1080</v>
      </c>
      <c r="I354" t="s">
        <v>910</v>
      </c>
      <c r="J354" t="s">
        <v>35</v>
      </c>
      <c r="K354">
        <v>3493.54</v>
      </c>
      <c r="L354">
        <v>4</v>
      </c>
      <c r="M354">
        <v>0</v>
      </c>
      <c r="N354">
        <v>13974.16</v>
      </c>
      <c r="O354">
        <v>13974.16</v>
      </c>
      <c r="P354" t="s">
        <v>266</v>
      </c>
      <c r="Q354" t="s">
        <v>42</v>
      </c>
      <c r="R354" t="s">
        <v>1150</v>
      </c>
    </row>
    <row r="355" spans="1:18" x14ac:dyDescent="0.3">
      <c r="A355" t="s">
        <v>809</v>
      </c>
      <c r="B355" s="6">
        <v>45543</v>
      </c>
      <c r="C355" t="s">
        <v>80</v>
      </c>
      <c r="D355" t="s">
        <v>1109</v>
      </c>
      <c r="E355" t="s">
        <v>377</v>
      </c>
      <c r="F355" t="s">
        <v>890</v>
      </c>
      <c r="G355" t="s">
        <v>82</v>
      </c>
      <c r="H355" t="s">
        <v>1076</v>
      </c>
      <c r="I355" t="s">
        <v>910</v>
      </c>
      <c r="J355" t="s">
        <v>22</v>
      </c>
      <c r="K355">
        <v>4703.04</v>
      </c>
      <c r="L355">
        <v>8</v>
      </c>
      <c r="M355">
        <v>0.1</v>
      </c>
      <c r="N355">
        <v>37624.32</v>
      </c>
      <c r="O355">
        <v>33861.887999999999</v>
      </c>
      <c r="P355" t="s">
        <v>225</v>
      </c>
      <c r="Q355" t="s">
        <v>30</v>
      </c>
      <c r="R355" t="s">
        <v>1150</v>
      </c>
    </row>
    <row r="356" spans="1:18" x14ac:dyDescent="0.3">
      <c r="A356" t="s">
        <v>811</v>
      </c>
      <c r="B356" s="6">
        <v>45794</v>
      </c>
      <c r="C356" t="s">
        <v>152</v>
      </c>
      <c r="D356" t="s">
        <v>944</v>
      </c>
      <c r="E356" t="s">
        <v>67</v>
      </c>
      <c r="F356" t="s">
        <v>906</v>
      </c>
      <c r="G356" t="s">
        <v>45</v>
      </c>
      <c r="H356" t="s">
        <v>1096</v>
      </c>
      <c r="I356" t="s">
        <v>924</v>
      </c>
      <c r="J356" t="s">
        <v>15</v>
      </c>
      <c r="K356">
        <v>3205.14</v>
      </c>
      <c r="L356">
        <v>8</v>
      </c>
      <c r="M356">
        <v>0</v>
      </c>
      <c r="N356">
        <v>25641.119999999999</v>
      </c>
      <c r="O356">
        <v>25641.119999999999</v>
      </c>
      <c r="P356" t="s">
        <v>386</v>
      </c>
      <c r="Q356" t="s">
        <v>60</v>
      </c>
      <c r="R356" t="s">
        <v>1150</v>
      </c>
    </row>
    <row r="357" spans="1:18" x14ac:dyDescent="0.3">
      <c r="A357" t="s">
        <v>812</v>
      </c>
      <c r="B357" s="6">
        <v>45792</v>
      </c>
      <c r="C357" t="s">
        <v>291</v>
      </c>
      <c r="D357" t="s">
        <v>1131</v>
      </c>
      <c r="E357" t="s">
        <v>77</v>
      </c>
      <c r="F357" t="s">
        <v>913</v>
      </c>
      <c r="G357" t="s">
        <v>14</v>
      </c>
      <c r="H357" t="s">
        <v>1080</v>
      </c>
      <c r="I357" t="s">
        <v>882</v>
      </c>
      <c r="J357" t="s">
        <v>73</v>
      </c>
      <c r="K357">
        <v>3550.89</v>
      </c>
      <c r="L357">
        <v>3</v>
      </c>
      <c r="M357">
        <v>0.1</v>
      </c>
      <c r="N357">
        <v>10652.67</v>
      </c>
      <c r="O357">
        <v>9587.4030000000002</v>
      </c>
      <c r="P357" t="s">
        <v>662</v>
      </c>
      <c r="Q357" t="s">
        <v>24</v>
      </c>
      <c r="R357" t="s">
        <v>1150</v>
      </c>
    </row>
    <row r="358" spans="1:18" x14ac:dyDescent="0.3">
      <c r="A358" t="s">
        <v>814</v>
      </c>
      <c r="B358" s="6">
        <v>45341</v>
      </c>
      <c r="C358" t="s">
        <v>245</v>
      </c>
      <c r="D358" t="s">
        <v>1128</v>
      </c>
      <c r="E358" t="s">
        <v>72</v>
      </c>
      <c r="F358" t="s">
        <v>909</v>
      </c>
      <c r="G358" t="s">
        <v>21</v>
      </c>
      <c r="H358" t="s">
        <v>1073</v>
      </c>
      <c r="I358" t="s">
        <v>917</v>
      </c>
      <c r="J358" t="s">
        <v>15</v>
      </c>
      <c r="K358">
        <v>2316.1999999999998</v>
      </c>
      <c r="L358">
        <v>1</v>
      </c>
      <c r="M358">
        <v>0.05</v>
      </c>
      <c r="N358">
        <v>2316.1999999999998</v>
      </c>
      <c r="O358">
        <v>2200.39</v>
      </c>
      <c r="P358" t="s">
        <v>815</v>
      </c>
      <c r="Q358" t="s">
        <v>24</v>
      </c>
      <c r="R358" t="s">
        <v>1150</v>
      </c>
    </row>
    <row r="359" spans="1:18" x14ac:dyDescent="0.3">
      <c r="A359" t="s">
        <v>816</v>
      </c>
      <c r="B359" s="6">
        <v>45446</v>
      </c>
      <c r="C359" t="s">
        <v>590</v>
      </c>
      <c r="D359" t="s">
        <v>1140</v>
      </c>
      <c r="E359" t="s">
        <v>454</v>
      </c>
      <c r="F359" t="s">
        <v>925</v>
      </c>
      <c r="G359" t="s">
        <v>45</v>
      </c>
      <c r="H359" t="s">
        <v>1096</v>
      </c>
      <c r="I359" t="s">
        <v>917</v>
      </c>
      <c r="J359" t="s">
        <v>35</v>
      </c>
      <c r="K359">
        <v>1253.57</v>
      </c>
      <c r="L359">
        <v>1</v>
      </c>
      <c r="M359">
        <v>0</v>
      </c>
      <c r="N359">
        <v>1253.57</v>
      </c>
      <c r="O359">
        <v>1253.57</v>
      </c>
      <c r="P359" t="s">
        <v>353</v>
      </c>
      <c r="Q359" t="s">
        <v>17</v>
      </c>
      <c r="R359" t="s">
        <v>1150</v>
      </c>
    </row>
    <row r="360" spans="1:18" x14ac:dyDescent="0.3">
      <c r="A360" t="s">
        <v>817</v>
      </c>
      <c r="B360" s="6">
        <v>45353</v>
      </c>
      <c r="C360" t="s">
        <v>141</v>
      </c>
      <c r="D360" t="s">
        <v>1115</v>
      </c>
      <c r="E360" t="s">
        <v>260</v>
      </c>
      <c r="F360" t="s">
        <v>884</v>
      </c>
      <c r="G360" t="s">
        <v>82</v>
      </c>
      <c r="H360" t="s">
        <v>1076</v>
      </c>
      <c r="I360" t="s">
        <v>896</v>
      </c>
      <c r="J360" t="s">
        <v>35</v>
      </c>
      <c r="K360">
        <v>3981.64</v>
      </c>
      <c r="L360">
        <v>10</v>
      </c>
      <c r="M360">
        <v>0.15</v>
      </c>
      <c r="N360">
        <v>39816.400000000001</v>
      </c>
      <c r="O360">
        <v>33843.94</v>
      </c>
      <c r="P360" t="s">
        <v>818</v>
      </c>
      <c r="Q360" t="s">
        <v>30</v>
      </c>
      <c r="R360" t="s">
        <v>1150</v>
      </c>
    </row>
    <row r="361" spans="1:18" x14ac:dyDescent="0.3">
      <c r="A361" t="s">
        <v>819</v>
      </c>
      <c r="B361" s="6">
        <v>45308</v>
      </c>
      <c r="C361" t="s">
        <v>311</v>
      </c>
      <c r="D361" t="s">
        <v>1132</v>
      </c>
      <c r="E361" t="s">
        <v>40</v>
      </c>
      <c r="F361" t="s">
        <v>919</v>
      </c>
      <c r="G361" t="s">
        <v>82</v>
      </c>
      <c r="H361" t="s">
        <v>1076</v>
      </c>
      <c r="I361" t="s">
        <v>924</v>
      </c>
      <c r="J361" t="s">
        <v>35</v>
      </c>
      <c r="K361">
        <v>136.91</v>
      </c>
      <c r="L361">
        <v>1</v>
      </c>
      <c r="M361">
        <v>0.1</v>
      </c>
      <c r="N361">
        <v>136.91</v>
      </c>
      <c r="O361">
        <v>123.21899999999999</v>
      </c>
      <c r="P361" t="s">
        <v>820</v>
      </c>
      <c r="Q361" t="s">
        <v>24</v>
      </c>
      <c r="R361" t="s">
        <v>1150</v>
      </c>
    </row>
    <row r="362" spans="1:18" x14ac:dyDescent="0.3">
      <c r="A362" t="s">
        <v>821</v>
      </c>
      <c r="B362" s="6">
        <v>45309</v>
      </c>
      <c r="C362" t="s">
        <v>202</v>
      </c>
      <c r="D362" t="s">
        <v>1124</v>
      </c>
      <c r="E362" t="s">
        <v>20</v>
      </c>
      <c r="F362" t="s">
        <v>921</v>
      </c>
      <c r="G362" t="s">
        <v>34</v>
      </c>
      <c r="H362" t="s">
        <v>1078</v>
      </c>
      <c r="I362" t="s">
        <v>896</v>
      </c>
      <c r="J362" t="s">
        <v>22</v>
      </c>
      <c r="K362">
        <v>3772.12</v>
      </c>
      <c r="L362">
        <v>9</v>
      </c>
      <c r="M362">
        <v>0.15</v>
      </c>
      <c r="N362">
        <v>33949.08</v>
      </c>
      <c r="O362">
        <v>28856.718000000001</v>
      </c>
      <c r="P362" t="s">
        <v>383</v>
      </c>
      <c r="Q362" t="s">
        <v>24</v>
      </c>
      <c r="R362" t="s">
        <v>1150</v>
      </c>
    </row>
    <row r="363" spans="1:18" x14ac:dyDescent="0.3">
      <c r="A363" t="s">
        <v>823</v>
      </c>
      <c r="B363" s="6">
        <v>45806</v>
      </c>
      <c r="C363" t="s">
        <v>392</v>
      </c>
      <c r="D363" t="s">
        <v>1134</v>
      </c>
      <c r="E363" t="s">
        <v>172</v>
      </c>
      <c r="F363" t="s">
        <v>895</v>
      </c>
      <c r="G363" t="s">
        <v>45</v>
      </c>
      <c r="H363" t="s">
        <v>1096</v>
      </c>
      <c r="I363" t="s">
        <v>896</v>
      </c>
      <c r="J363" t="s">
        <v>73</v>
      </c>
      <c r="K363">
        <v>2849.53</v>
      </c>
      <c r="L363">
        <v>7</v>
      </c>
      <c r="M363">
        <v>0.2</v>
      </c>
      <c r="N363">
        <v>19946.710000000003</v>
      </c>
      <c r="O363">
        <v>15957.368000000002</v>
      </c>
      <c r="P363" t="s">
        <v>824</v>
      </c>
      <c r="Q363" t="s">
        <v>24</v>
      </c>
      <c r="R363" t="s">
        <v>1150</v>
      </c>
    </row>
    <row r="364" spans="1:18" x14ac:dyDescent="0.3">
      <c r="A364" t="s">
        <v>825</v>
      </c>
      <c r="B364" s="6">
        <v>45828</v>
      </c>
      <c r="C364" t="s">
        <v>214</v>
      </c>
      <c r="D364" t="s">
        <v>1125</v>
      </c>
      <c r="E364" t="s">
        <v>304</v>
      </c>
      <c r="F364" t="s">
        <v>928</v>
      </c>
      <c r="G364" t="s">
        <v>34</v>
      </c>
      <c r="H364" t="s">
        <v>1078</v>
      </c>
      <c r="I364" t="s">
        <v>889</v>
      </c>
      <c r="J364" t="s">
        <v>22</v>
      </c>
      <c r="K364">
        <v>1498.91</v>
      </c>
      <c r="L364">
        <v>3</v>
      </c>
      <c r="M364">
        <v>0</v>
      </c>
      <c r="N364">
        <v>4496.7300000000005</v>
      </c>
      <c r="O364">
        <v>4496.7300000000005</v>
      </c>
      <c r="P364" t="s">
        <v>568</v>
      </c>
      <c r="Q364" t="s">
        <v>17</v>
      </c>
      <c r="R364" t="s">
        <v>1150</v>
      </c>
    </row>
    <row r="365" spans="1:18" x14ac:dyDescent="0.3">
      <c r="A365" t="s">
        <v>826</v>
      </c>
      <c r="B365" s="6">
        <v>45565</v>
      </c>
      <c r="C365" t="s">
        <v>53</v>
      </c>
      <c r="D365" t="s">
        <v>1047</v>
      </c>
      <c r="E365" t="s">
        <v>90</v>
      </c>
      <c r="F365" t="s">
        <v>899</v>
      </c>
      <c r="G365" t="s">
        <v>82</v>
      </c>
      <c r="H365" t="s">
        <v>1076</v>
      </c>
      <c r="I365" t="s">
        <v>903</v>
      </c>
      <c r="J365" t="s">
        <v>35</v>
      </c>
      <c r="K365">
        <v>928.72</v>
      </c>
      <c r="L365">
        <v>7</v>
      </c>
      <c r="M365">
        <v>0</v>
      </c>
      <c r="N365">
        <v>6501.04</v>
      </c>
      <c r="O365">
        <v>6501.04</v>
      </c>
      <c r="P365" t="s">
        <v>480</v>
      </c>
      <c r="Q365" t="s">
        <v>30</v>
      </c>
      <c r="R365" t="s">
        <v>1150</v>
      </c>
    </row>
    <row r="366" spans="1:18" x14ac:dyDescent="0.3">
      <c r="A366" t="s">
        <v>827</v>
      </c>
      <c r="B366" s="6">
        <v>45541</v>
      </c>
      <c r="C366" t="s">
        <v>110</v>
      </c>
      <c r="D366" t="s">
        <v>983</v>
      </c>
      <c r="E366" t="s">
        <v>148</v>
      </c>
      <c r="F366" t="s">
        <v>898</v>
      </c>
      <c r="G366" t="s">
        <v>82</v>
      </c>
      <c r="H366" t="s">
        <v>1076</v>
      </c>
      <c r="I366" t="s">
        <v>931</v>
      </c>
      <c r="J366" t="s">
        <v>73</v>
      </c>
      <c r="K366">
        <v>3576.75</v>
      </c>
      <c r="L366">
        <v>4</v>
      </c>
      <c r="M366">
        <v>0</v>
      </c>
      <c r="N366">
        <v>14307</v>
      </c>
      <c r="O366">
        <v>14307</v>
      </c>
      <c r="P366" t="s">
        <v>810</v>
      </c>
      <c r="Q366" t="s">
        <v>24</v>
      </c>
      <c r="R366" t="s">
        <v>1150</v>
      </c>
    </row>
    <row r="367" spans="1:18" x14ac:dyDescent="0.3">
      <c r="A367" t="s">
        <v>828</v>
      </c>
      <c r="B367" s="6">
        <v>45707</v>
      </c>
      <c r="C367" t="s">
        <v>690</v>
      </c>
      <c r="D367" t="s">
        <v>1142</v>
      </c>
      <c r="E367" t="s">
        <v>77</v>
      </c>
      <c r="F367" t="s">
        <v>890</v>
      </c>
      <c r="G367" t="s">
        <v>82</v>
      </c>
      <c r="H367" t="s">
        <v>1076</v>
      </c>
      <c r="I367" t="s">
        <v>882</v>
      </c>
      <c r="J367" t="s">
        <v>35</v>
      </c>
      <c r="K367">
        <v>3550.89</v>
      </c>
      <c r="L367">
        <v>7</v>
      </c>
      <c r="M367">
        <v>0.05</v>
      </c>
      <c r="N367">
        <v>24856.23</v>
      </c>
      <c r="O367">
        <v>23613.4185</v>
      </c>
      <c r="P367" t="s">
        <v>109</v>
      </c>
      <c r="Q367" t="s">
        <v>24</v>
      </c>
      <c r="R367" t="s">
        <v>1150</v>
      </c>
    </row>
    <row r="368" spans="1:18" x14ac:dyDescent="0.3">
      <c r="A368" t="s">
        <v>829</v>
      </c>
      <c r="B368" s="6">
        <v>45301</v>
      </c>
      <c r="C368" t="s">
        <v>690</v>
      </c>
      <c r="D368" t="s">
        <v>1142</v>
      </c>
      <c r="E368" t="s">
        <v>28</v>
      </c>
      <c r="F368" t="s">
        <v>902</v>
      </c>
      <c r="G368" t="s">
        <v>34</v>
      </c>
      <c r="H368" t="s">
        <v>1078</v>
      </c>
      <c r="I368" t="s">
        <v>896</v>
      </c>
      <c r="J368" t="s">
        <v>35</v>
      </c>
      <c r="K368">
        <v>733.33</v>
      </c>
      <c r="L368">
        <v>3</v>
      </c>
      <c r="M368">
        <v>0</v>
      </c>
      <c r="N368">
        <v>2199.9900000000002</v>
      </c>
      <c r="O368">
        <v>2199.9900000000002</v>
      </c>
      <c r="P368" t="s">
        <v>822</v>
      </c>
      <c r="Q368" t="s">
        <v>17</v>
      </c>
      <c r="R368" t="s">
        <v>1150</v>
      </c>
    </row>
    <row r="369" spans="1:18" x14ac:dyDescent="0.3">
      <c r="A369" t="s">
        <v>830</v>
      </c>
      <c r="B369" s="6">
        <v>45389</v>
      </c>
      <c r="C369" t="s">
        <v>311</v>
      </c>
      <c r="D369" t="s">
        <v>1132</v>
      </c>
      <c r="E369" t="s">
        <v>81</v>
      </c>
      <c r="F369" t="s">
        <v>933</v>
      </c>
      <c r="G369" t="s">
        <v>34</v>
      </c>
      <c r="H369" t="s">
        <v>1078</v>
      </c>
      <c r="I369" t="s">
        <v>882</v>
      </c>
      <c r="J369" t="s">
        <v>15</v>
      </c>
      <c r="K369">
        <v>1044.7</v>
      </c>
      <c r="L369">
        <v>9</v>
      </c>
      <c r="M369">
        <v>0</v>
      </c>
      <c r="N369">
        <v>9402.3000000000011</v>
      </c>
      <c r="O369">
        <v>9402.3000000000011</v>
      </c>
      <c r="P369" t="s">
        <v>263</v>
      </c>
      <c r="Q369" t="s">
        <v>42</v>
      </c>
      <c r="R369" t="s">
        <v>1150</v>
      </c>
    </row>
    <row r="370" spans="1:18" x14ac:dyDescent="0.3">
      <c r="A370" t="s">
        <v>831</v>
      </c>
      <c r="B370" s="6">
        <v>45778</v>
      </c>
      <c r="C370" t="s">
        <v>71</v>
      </c>
      <c r="D370" t="s">
        <v>980</v>
      </c>
      <c r="E370" t="s">
        <v>254</v>
      </c>
      <c r="F370" t="s">
        <v>884</v>
      </c>
      <c r="G370" t="s">
        <v>21</v>
      </c>
      <c r="H370" t="s">
        <v>1073</v>
      </c>
      <c r="I370" t="s">
        <v>917</v>
      </c>
      <c r="J370" t="s">
        <v>22</v>
      </c>
      <c r="K370">
        <v>605.26</v>
      </c>
      <c r="L370">
        <v>5</v>
      </c>
      <c r="M370">
        <v>0</v>
      </c>
      <c r="N370">
        <v>3026.3</v>
      </c>
      <c r="O370">
        <v>3026.3</v>
      </c>
      <c r="P370" t="s">
        <v>165</v>
      </c>
      <c r="Q370" t="s">
        <v>42</v>
      </c>
      <c r="R370" t="s">
        <v>1150</v>
      </c>
    </row>
    <row r="371" spans="1:18" x14ac:dyDescent="0.3">
      <c r="A371" t="s">
        <v>832</v>
      </c>
      <c r="B371" s="6">
        <v>45325</v>
      </c>
      <c r="C371" t="s">
        <v>180</v>
      </c>
      <c r="D371" t="s">
        <v>1121</v>
      </c>
      <c r="E371" t="s">
        <v>161</v>
      </c>
      <c r="F371" t="s">
        <v>897</v>
      </c>
      <c r="G371" t="s">
        <v>14</v>
      </c>
      <c r="H371" t="s">
        <v>1080</v>
      </c>
      <c r="I371" t="s">
        <v>903</v>
      </c>
      <c r="J371" t="s">
        <v>73</v>
      </c>
      <c r="K371">
        <v>1513.99</v>
      </c>
      <c r="L371">
        <v>3</v>
      </c>
      <c r="M371">
        <v>0.2</v>
      </c>
      <c r="N371">
        <v>4541.97</v>
      </c>
      <c r="O371">
        <v>3633.5760000000005</v>
      </c>
      <c r="P371" t="s">
        <v>692</v>
      </c>
      <c r="Q371" t="s">
        <v>60</v>
      </c>
      <c r="R371" t="s">
        <v>1150</v>
      </c>
    </row>
    <row r="372" spans="1:18" x14ac:dyDescent="0.3">
      <c r="A372" t="s">
        <v>833</v>
      </c>
      <c r="B372" s="6">
        <v>45439</v>
      </c>
      <c r="C372" t="s">
        <v>550</v>
      </c>
      <c r="D372" t="s">
        <v>1127</v>
      </c>
      <c r="E372" t="s">
        <v>345</v>
      </c>
      <c r="F372" t="s">
        <v>886</v>
      </c>
      <c r="G372" t="s">
        <v>14</v>
      </c>
      <c r="H372" t="s">
        <v>1080</v>
      </c>
      <c r="I372" t="s">
        <v>924</v>
      </c>
      <c r="J372" t="s">
        <v>15</v>
      </c>
      <c r="K372">
        <v>1212.79</v>
      </c>
      <c r="L372">
        <v>7</v>
      </c>
      <c r="M372">
        <v>0</v>
      </c>
      <c r="N372">
        <v>8489.5299999999988</v>
      </c>
      <c r="O372">
        <v>8489.5299999999988</v>
      </c>
      <c r="P372" t="s">
        <v>834</v>
      </c>
      <c r="Q372" t="s">
        <v>42</v>
      </c>
      <c r="R372" t="s">
        <v>1150</v>
      </c>
    </row>
    <row r="373" spans="1:18" x14ac:dyDescent="0.3">
      <c r="A373" t="s">
        <v>835</v>
      </c>
      <c r="B373" s="6">
        <v>45538</v>
      </c>
      <c r="C373" t="s">
        <v>273</v>
      </c>
      <c r="D373" t="s">
        <v>1129</v>
      </c>
      <c r="E373" t="s">
        <v>44</v>
      </c>
      <c r="F373" t="s">
        <v>918</v>
      </c>
      <c r="G373" t="s">
        <v>14</v>
      </c>
      <c r="H373" t="s">
        <v>1080</v>
      </c>
      <c r="I373" t="s">
        <v>910</v>
      </c>
      <c r="J373" t="s">
        <v>22</v>
      </c>
      <c r="K373">
        <v>973.21</v>
      </c>
      <c r="L373">
        <v>10</v>
      </c>
      <c r="M373">
        <v>0.2</v>
      </c>
      <c r="N373">
        <v>9732.1</v>
      </c>
      <c r="O373">
        <v>7785.68</v>
      </c>
      <c r="P373" t="s">
        <v>93</v>
      </c>
      <c r="Q373" t="s">
        <v>30</v>
      </c>
      <c r="R373" t="s">
        <v>1150</v>
      </c>
    </row>
    <row r="374" spans="1:18" x14ac:dyDescent="0.3">
      <c r="A374" t="s">
        <v>836</v>
      </c>
      <c r="B374" s="6">
        <v>45435</v>
      </c>
      <c r="C374" t="s">
        <v>291</v>
      </c>
      <c r="D374" t="s">
        <v>1131</v>
      </c>
      <c r="E374" t="s">
        <v>20</v>
      </c>
      <c r="F374" t="s">
        <v>905</v>
      </c>
      <c r="G374" t="s">
        <v>21</v>
      </c>
      <c r="H374" t="s">
        <v>1073</v>
      </c>
      <c r="I374" t="s">
        <v>896</v>
      </c>
      <c r="J374" t="s">
        <v>73</v>
      </c>
      <c r="K374">
        <v>3772.12</v>
      </c>
      <c r="L374">
        <v>2</v>
      </c>
      <c r="M374">
        <v>0.1</v>
      </c>
      <c r="N374">
        <v>7544.24</v>
      </c>
      <c r="O374">
        <v>6789.8159999999998</v>
      </c>
      <c r="P374" t="s">
        <v>367</v>
      </c>
      <c r="Q374" t="s">
        <v>24</v>
      </c>
      <c r="R374" t="s">
        <v>1150</v>
      </c>
    </row>
    <row r="375" spans="1:18" x14ac:dyDescent="0.3">
      <c r="A375" t="s">
        <v>837</v>
      </c>
      <c r="B375" s="6">
        <v>45739</v>
      </c>
      <c r="C375" t="s">
        <v>245</v>
      </c>
      <c r="D375" t="s">
        <v>1128</v>
      </c>
      <c r="E375" t="s">
        <v>85</v>
      </c>
      <c r="F375" t="s">
        <v>927</v>
      </c>
      <c r="G375" t="s">
        <v>45</v>
      </c>
      <c r="H375" t="s">
        <v>1096</v>
      </c>
      <c r="I375" t="s">
        <v>931</v>
      </c>
      <c r="J375" t="s">
        <v>22</v>
      </c>
      <c r="K375">
        <v>3457.28</v>
      </c>
      <c r="L375">
        <v>4</v>
      </c>
      <c r="M375">
        <v>0.2</v>
      </c>
      <c r="N375">
        <v>13829.12</v>
      </c>
      <c r="O375">
        <v>11063.296000000002</v>
      </c>
      <c r="P375" t="s">
        <v>261</v>
      </c>
      <c r="Q375" t="s">
        <v>42</v>
      </c>
      <c r="R375" t="s">
        <v>1150</v>
      </c>
    </row>
    <row r="376" spans="1:18" x14ac:dyDescent="0.3">
      <c r="A376" t="s">
        <v>838</v>
      </c>
      <c r="B376" s="6">
        <v>45698</v>
      </c>
      <c r="C376" t="s">
        <v>124</v>
      </c>
      <c r="D376" t="s">
        <v>1112</v>
      </c>
      <c r="E376" t="s">
        <v>121</v>
      </c>
      <c r="F376" t="s">
        <v>911</v>
      </c>
      <c r="G376" t="s">
        <v>34</v>
      </c>
      <c r="H376" t="s">
        <v>1078</v>
      </c>
      <c r="I376" t="s">
        <v>903</v>
      </c>
      <c r="J376" t="s">
        <v>35</v>
      </c>
      <c r="K376">
        <v>3414.07</v>
      </c>
      <c r="L376">
        <v>6</v>
      </c>
      <c r="M376">
        <v>0</v>
      </c>
      <c r="N376">
        <v>20484.420000000002</v>
      </c>
      <c r="O376">
        <v>20484.420000000002</v>
      </c>
      <c r="P376" t="s">
        <v>784</v>
      </c>
      <c r="Q376" t="s">
        <v>30</v>
      </c>
      <c r="R376" t="s">
        <v>1150</v>
      </c>
    </row>
    <row r="377" spans="1:18" x14ac:dyDescent="0.3">
      <c r="A377" t="s">
        <v>839</v>
      </c>
      <c r="B377" s="6">
        <v>45525</v>
      </c>
      <c r="C377" t="s">
        <v>187</v>
      </c>
      <c r="D377" t="s">
        <v>1122</v>
      </c>
      <c r="E377" t="s">
        <v>20</v>
      </c>
      <c r="F377" t="s">
        <v>899</v>
      </c>
      <c r="G377" t="s">
        <v>45</v>
      </c>
      <c r="H377" t="s">
        <v>1096</v>
      </c>
      <c r="I377" t="s">
        <v>896</v>
      </c>
      <c r="J377" t="s">
        <v>35</v>
      </c>
      <c r="K377">
        <v>3772.12</v>
      </c>
      <c r="L377">
        <v>6</v>
      </c>
      <c r="M377">
        <v>0.1</v>
      </c>
      <c r="N377">
        <v>22632.720000000001</v>
      </c>
      <c r="O377">
        <v>20369.448</v>
      </c>
      <c r="P377" t="s">
        <v>840</v>
      </c>
      <c r="Q377" t="s">
        <v>60</v>
      </c>
      <c r="R377" t="s">
        <v>1150</v>
      </c>
    </row>
    <row r="378" spans="1:18" x14ac:dyDescent="0.3">
      <c r="A378" t="s">
        <v>841</v>
      </c>
      <c r="B378" s="6">
        <v>45681</v>
      </c>
      <c r="C378" t="s">
        <v>141</v>
      </c>
      <c r="D378" t="s">
        <v>1115</v>
      </c>
      <c r="E378" t="s">
        <v>90</v>
      </c>
      <c r="F378" t="s">
        <v>934</v>
      </c>
      <c r="G378" t="s">
        <v>45</v>
      </c>
      <c r="H378" t="s">
        <v>1096</v>
      </c>
      <c r="I378" t="s">
        <v>903</v>
      </c>
      <c r="J378" t="s">
        <v>22</v>
      </c>
      <c r="K378">
        <v>928.72</v>
      </c>
      <c r="L378">
        <v>2</v>
      </c>
      <c r="M378">
        <v>0.2</v>
      </c>
      <c r="N378">
        <v>1857.44</v>
      </c>
      <c r="O378">
        <v>1485.9520000000002</v>
      </c>
      <c r="P378" t="s">
        <v>343</v>
      </c>
      <c r="Q378" t="s">
        <v>60</v>
      </c>
      <c r="R378" t="s">
        <v>1150</v>
      </c>
    </row>
    <row r="379" spans="1:18" x14ac:dyDescent="0.3">
      <c r="A379" t="s">
        <v>842</v>
      </c>
      <c r="B379" s="6">
        <v>45367</v>
      </c>
      <c r="C379" t="s">
        <v>279</v>
      </c>
      <c r="D379" t="s">
        <v>1130</v>
      </c>
      <c r="E379" t="s">
        <v>106</v>
      </c>
      <c r="F379" t="s">
        <v>906</v>
      </c>
      <c r="G379" t="s">
        <v>45</v>
      </c>
      <c r="H379" t="s">
        <v>1096</v>
      </c>
      <c r="I379" t="s">
        <v>889</v>
      </c>
      <c r="J379" t="s">
        <v>35</v>
      </c>
      <c r="K379">
        <v>1559.65</v>
      </c>
      <c r="L379">
        <v>2</v>
      </c>
      <c r="M379">
        <v>0</v>
      </c>
      <c r="N379">
        <v>3119.3</v>
      </c>
      <c r="O379">
        <v>3119.3</v>
      </c>
      <c r="P379" t="s">
        <v>282</v>
      </c>
      <c r="Q379" t="s">
        <v>60</v>
      </c>
      <c r="R379" t="s">
        <v>1150</v>
      </c>
    </row>
    <row r="380" spans="1:18" x14ac:dyDescent="0.3">
      <c r="A380" t="s">
        <v>843</v>
      </c>
      <c r="B380" s="6">
        <v>45690</v>
      </c>
      <c r="C380" t="s">
        <v>209</v>
      </c>
      <c r="D380" t="s">
        <v>966</v>
      </c>
      <c r="E380" t="s">
        <v>99</v>
      </c>
      <c r="F380" t="s">
        <v>899</v>
      </c>
      <c r="G380" t="s">
        <v>34</v>
      </c>
      <c r="H380" t="s">
        <v>1078</v>
      </c>
      <c r="I380" t="s">
        <v>882</v>
      </c>
      <c r="J380" t="s">
        <v>73</v>
      </c>
      <c r="K380">
        <v>2352.63</v>
      </c>
      <c r="L380">
        <v>6</v>
      </c>
      <c r="M380">
        <v>0</v>
      </c>
      <c r="N380">
        <v>14115.78</v>
      </c>
      <c r="O380">
        <v>14115.78</v>
      </c>
      <c r="P380" t="s">
        <v>845</v>
      </c>
      <c r="Q380" t="s">
        <v>24</v>
      </c>
      <c r="R380" t="s">
        <v>1150</v>
      </c>
    </row>
    <row r="381" spans="1:18" x14ac:dyDescent="0.3">
      <c r="A381" t="s">
        <v>846</v>
      </c>
      <c r="B381" s="6">
        <v>45607</v>
      </c>
      <c r="C381" t="s">
        <v>547</v>
      </c>
      <c r="D381" t="s">
        <v>1139</v>
      </c>
      <c r="E381" t="s">
        <v>111</v>
      </c>
      <c r="F381" t="s">
        <v>902</v>
      </c>
      <c r="G381" t="s">
        <v>21</v>
      </c>
      <c r="H381" t="s">
        <v>1073</v>
      </c>
      <c r="I381" t="s">
        <v>924</v>
      </c>
      <c r="J381" t="s">
        <v>73</v>
      </c>
      <c r="K381">
        <v>4390.62</v>
      </c>
      <c r="L381">
        <v>8</v>
      </c>
      <c r="M381">
        <v>0</v>
      </c>
      <c r="N381">
        <v>35124.959999999999</v>
      </c>
      <c r="O381">
        <v>35124.959999999999</v>
      </c>
      <c r="P381" t="s">
        <v>504</v>
      </c>
      <c r="Q381" t="s">
        <v>60</v>
      </c>
      <c r="R381" t="s">
        <v>1150</v>
      </c>
    </row>
    <row r="382" spans="1:18" x14ac:dyDescent="0.3">
      <c r="A382" t="s">
        <v>848</v>
      </c>
      <c r="B382" s="6">
        <v>45381</v>
      </c>
      <c r="C382" t="s">
        <v>12</v>
      </c>
      <c r="D382" t="s">
        <v>1103</v>
      </c>
      <c r="E382" t="s">
        <v>94</v>
      </c>
      <c r="F382" t="s">
        <v>894</v>
      </c>
      <c r="G382" t="s">
        <v>45</v>
      </c>
      <c r="H382" t="s">
        <v>1096</v>
      </c>
      <c r="I382" t="s">
        <v>931</v>
      </c>
      <c r="J382" t="s">
        <v>35</v>
      </c>
      <c r="K382">
        <v>3610.44</v>
      </c>
      <c r="L382">
        <v>3</v>
      </c>
      <c r="M382">
        <v>0.05</v>
      </c>
      <c r="N382">
        <v>10831.32</v>
      </c>
      <c r="O382">
        <v>10289.753999999999</v>
      </c>
      <c r="P382" t="s">
        <v>459</v>
      </c>
      <c r="Q382" t="s">
        <v>24</v>
      </c>
      <c r="R382" t="s">
        <v>1150</v>
      </c>
    </row>
    <row r="383" spans="1:18" x14ac:dyDescent="0.3">
      <c r="A383" t="s">
        <v>849</v>
      </c>
      <c r="B383" s="6">
        <v>45318</v>
      </c>
      <c r="C383" t="s">
        <v>80</v>
      </c>
      <c r="D383" t="s">
        <v>1109</v>
      </c>
      <c r="E383" t="s">
        <v>90</v>
      </c>
      <c r="F383" t="s">
        <v>881</v>
      </c>
      <c r="G383" t="s">
        <v>45</v>
      </c>
      <c r="H383" t="s">
        <v>1096</v>
      </c>
      <c r="I383" t="s">
        <v>903</v>
      </c>
      <c r="J383" t="s">
        <v>73</v>
      </c>
      <c r="K383">
        <v>928.72</v>
      </c>
      <c r="L383">
        <v>2</v>
      </c>
      <c r="M383">
        <v>0</v>
      </c>
      <c r="N383">
        <v>1857.44</v>
      </c>
      <c r="O383">
        <v>1857.44</v>
      </c>
      <c r="P383" t="s">
        <v>200</v>
      </c>
      <c r="Q383" t="s">
        <v>42</v>
      </c>
      <c r="R383" t="s">
        <v>1150</v>
      </c>
    </row>
    <row r="384" spans="1:18" x14ac:dyDescent="0.3">
      <c r="A384" t="s">
        <v>850</v>
      </c>
      <c r="B384" s="6">
        <v>45624</v>
      </c>
      <c r="C384" t="s">
        <v>502</v>
      </c>
      <c r="D384" t="s">
        <v>1138</v>
      </c>
      <c r="E384" t="s">
        <v>116</v>
      </c>
      <c r="F384" t="s">
        <v>929</v>
      </c>
      <c r="G384" t="s">
        <v>82</v>
      </c>
      <c r="H384" t="s">
        <v>1076</v>
      </c>
      <c r="I384" t="s">
        <v>889</v>
      </c>
      <c r="J384" t="s">
        <v>35</v>
      </c>
      <c r="K384">
        <v>1156.02</v>
      </c>
      <c r="L384">
        <v>7</v>
      </c>
      <c r="M384">
        <v>0</v>
      </c>
      <c r="N384">
        <v>8092.1399999999994</v>
      </c>
      <c r="O384">
        <v>8092.1399999999994</v>
      </c>
      <c r="P384" t="s">
        <v>51</v>
      </c>
      <c r="Q384" t="s">
        <v>30</v>
      </c>
      <c r="R384" t="s">
        <v>1150</v>
      </c>
    </row>
    <row r="385" spans="1:18" x14ac:dyDescent="0.3">
      <c r="A385" t="s">
        <v>851</v>
      </c>
      <c r="B385" s="6">
        <v>45378</v>
      </c>
      <c r="C385" t="s">
        <v>190</v>
      </c>
      <c r="D385" t="s">
        <v>1119</v>
      </c>
      <c r="E385" t="s">
        <v>72</v>
      </c>
      <c r="F385" t="s">
        <v>935</v>
      </c>
      <c r="G385" t="s">
        <v>14</v>
      </c>
      <c r="H385" t="s">
        <v>1080</v>
      </c>
      <c r="I385" t="s">
        <v>917</v>
      </c>
      <c r="J385" t="s">
        <v>15</v>
      </c>
      <c r="K385">
        <v>2316.1999999999998</v>
      </c>
      <c r="L385">
        <v>9</v>
      </c>
      <c r="M385">
        <v>0</v>
      </c>
      <c r="N385">
        <v>20845.8</v>
      </c>
      <c r="O385">
        <v>20845.8</v>
      </c>
      <c r="P385" t="s">
        <v>852</v>
      </c>
      <c r="Q385" t="s">
        <v>30</v>
      </c>
      <c r="R385" t="s">
        <v>1150</v>
      </c>
    </row>
    <row r="386" spans="1:18" x14ac:dyDescent="0.3">
      <c r="A386" t="s">
        <v>853</v>
      </c>
      <c r="B386" s="6">
        <v>45465</v>
      </c>
      <c r="C386" t="s">
        <v>202</v>
      </c>
      <c r="D386" t="s">
        <v>1124</v>
      </c>
      <c r="E386" t="s">
        <v>44</v>
      </c>
      <c r="F386" t="s">
        <v>902</v>
      </c>
      <c r="G386" t="s">
        <v>45</v>
      </c>
      <c r="H386" t="s">
        <v>1096</v>
      </c>
      <c r="I386" t="s">
        <v>910</v>
      </c>
      <c r="J386" t="s">
        <v>22</v>
      </c>
      <c r="K386">
        <v>973.21</v>
      </c>
      <c r="L386">
        <v>3</v>
      </c>
      <c r="M386">
        <v>0</v>
      </c>
      <c r="N386">
        <v>2919.63</v>
      </c>
      <c r="O386">
        <v>2919.63</v>
      </c>
      <c r="P386" t="s">
        <v>38</v>
      </c>
      <c r="Q386" t="s">
        <v>30</v>
      </c>
      <c r="R386" t="s">
        <v>1150</v>
      </c>
    </row>
    <row r="387" spans="1:18" x14ac:dyDescent="0.3">
      <c r="A387" t="s">
        <v>854</v>
      </c>
      <c r="B387" s="6">
        <v>45441</v>
      </c>
      <c r="C387" t="s">
        <v>253</v>
      </c>
      <c r="D387" t="s">
        <v>1044</v>
      </c>
      <c r="E387" t="s">
        <v>260</v>
      </c>
      <c r="F387" t="s">
        <v>892</v>
      </c>
      <c r="G387" t="s">
        <v>34</v>
      </c>
      <c r="H387" t="s">
        <v>1078</v>
      </c>
      <c r="I387" t="s">
        <v>896</v>
      </c>
      <c r="J387" t="s">
        <v>22</v>
      </c>
      <c r="K387">
        <v>3981.64</v>
      </c>
      <c r="L387">
        <v>2</v>
      </c>
      <c r="M387">
        <v>0</v>
      </c>
      <c r="N387">
        <v>7963.28</v>
      </c>
      <c r="O387">
        <v>7963.28</v>
      </c>
      <c r="P387" t="s">
        <v>368</v>
      </c>
      <c r="Q387" t="s">
        <v>30</v>
      </c>
      <c r="R387" t="s">
        <v>1150</v>
      </c>
    </row>
    <row r="388" spans="1:18" x14ac:dyDescent="0.3">
      <c r="A388" t="s">
        <v>855</v>
      </c>
      <c r="B388" s="6">
        <v>45598</v>
      </c>
      <c r="C388" t="s">
        <v>403</v>
      </c>
      <c r="D388" t="s">
        <v>1135</v>
      </c>
      <c r="E388" t="s">
        <v>164</v>
      </c>
      <c r="F388" t="s">
        <v>919</v>
      </c>
      <c r="G388" t="s">
        <v>82</v>
      </c>
      <c r="H388" t="s">
        <v>1076</v>
      </c>
      <c r="I388" t="s">
        <v>917</v>
      </c>
      <c r="J388" t="s">
        <v>22</v>
      </c>
      <c r="K388">
        <v>2489.91</v>
      </c>
      <c r="L388">
        <v>8</v>
      </c>
      <c r="M388">
        <v>0.2</v>
      </c>
      <c r="N388">
        <v>19919.28</v>
      </c>
      <c r="O388">
        <v>15935.423999999999</v>
      </c>
      <c r="P388" t="s">
        <v>496</v>
      </c>
      <c r="Q388" t="s">
        <v>17</v>
      </c>
      <c r="R388" t="s">
        <v>1150</v>
      </c>
    </row>
    <row r="389" spans="1:18" x14ac:dyDescent="0.3">
      <c r="A389" t="s">
        <v>856</v>
      </c>
      <c r="B389" s="6">
        <v>45544</v>
      </c>
      <c r="C389" t="s">
        <v>120</v>
      </c>
      <c r="D389" t="s">
        <v>993</v>
      </c>
      <c r="E389" t="s">
        <v>77</v>
      </c>
      <c r="F389" t="s">
        <v>911</v>
      </c>
      <c r="G389" t="s">
        <v>45</v>
      </c>
      <c r="H389" t="s">
        <v>1096</v>
      </c>
      <c r="I389" t="s">
        <v>882</v>
      </c>
      <c r="J389" t="s">
        <v>15</v>
      </c>
      <c r="K389">
        <v>3550.89</v>
      </c>
      <c r="L389">
        <v>8</v>
      </c>
      <c r="M389">
        <v>0.1</v>
      </c>
      <c r="N389">
        <v>28407.119999999999</v>
      </c>
      <c r="O389">
        <v>25566.407999999999</v>
      </c>
      <c r="P389" t="s">
        <v>95</v>
      </c>
      <c r="Q389" t="s">
        <v>30</v>
      </c>
      <c r="R389" t="s">
        <v>1150</v>
      </c>
    </row>
    <row r="390" spans="1:18" x14ac:dyDescent="0.3">
      <c r="A390" t="s">
        <v>857</v>
      </c>
      <c r="B390" s="6">
        <v>45401</v>
      </c>
      <c r="C390" t="s">
        <v>66</v>
      </c>
      <c r="D390" t="s">
        <v>1108</v>
      </c>
      <c r="E390" t="s">
        <v>125</v>
      </c>
      <c r="F390" t="s">
        <v>895</v>
      </c>
      <c r="G390" t="s">
        <v>34</v>
      </c>
      <c r="H390" t="s">
        <v>1078</v>
      </c>
      <c r="I390" t="s">
        <v>931</v>
      </c>
      <c r="J390" t="s">
        <v>35</v>
      </c>
      <c r="K390">
        <v>2458.91</v>
      </c>
      <c r="L390">
        <v>3</v>
      </c>
      <c r="M390">
        <v>0</v>
      </c>
      <c r="N390">
        <v>7376.73</v>
      </c>
      <c r="O390">
        <v>7376.73</v>
      </c>
      <c r="P390" t="s">
        <v>412</v>
      </c>
      <c r="Q390" t="s">
        <v>17</v>
      </c>
      <c r="R390" t="s">
        <v>1150</v>
      </c>
    </row>
    <row r="391" spans="1:18" x14ac:dyDescent="0.3">
      <c r="A391" t="s">
        <v>858</v>
      </c>
      <c r="B391" s="6">
        <v>45681</v>
      </c>
      <c r="C391" t="s">
        <v>110</v>
      </c>
      <c r="D391" t="s">
        <v>983</v>
      </c>
      <c r="E391" t="s">
        <v>240</v>
      </c>
      <c r="F391" t="s">
        <v>922</v>
      </c>
      <c r="G391" t="s">
        <v>45</v>
      </c>
      <c r="H391" t="s">
        <v>1096</v>
      </c>
      <c r="I391" t="s">
        <v>917</v>
      </c>
      <c r="J391" t="s">
        <v>35</v>
      </c>
      <c r="K391">
        <v>2036.67</v>
      </c>
      <c r="L391">
        <v>6</v>
      </c>
      <c r="M391">
        <v>0.05</v>
      </c>
      <c r="N391">
        <v>12220.02</v>
      </c>
      <c r="O391">
        <v>11609.019</v>
      </c>
      <c r="P391" t="s">
        <v>859</v>
      </c>
      <c r="Q391" t="s">
        <v>42</v>
      </c>
      <c r="R391" t="s">
        <v>1150</v>
      </c>
    </row>
    <row r="392" spans="1:18" x14ac:dyDescent="0.3">
      <c r="A392" t="s">
        <v>860</v>
      </c>
      <c r="B392" s="6">
        <v>45431</v>
      </c>
      <c r="C392" t="s">
        <v>273</v>
      </c>
      <c r="D392" t="s">
        <v>1129</v>
      </c>
      <c r="E392" t="s">
        <v>13</v>
      </c>
      <c r="F392" t="s">
        <v>884</v>
      </c>
      <c r="G392" t="s">
        <v>14</v>
      </c>
      <c r="H392" t="s">
        <v>1080</v>
      </c>
      <c r="I392" t="s">
        <v>910</v>
      </c>
      <c r="J392" t="s">
        <v>15</v>
      </c>
      <c r="K392">
        <v>3493.54</v>
      </c>
      <c r="L392">
        <v>5</v>
      </c>
      <c r="M392">
        <v>0</v>
      </c>
      <c r="N392">
        <v>17467.7</v>
      </c>
      <c r="O392">
        <v>17467.7</v>
      </c>
      <c r="P392" t="s">
        <v>367</v>
      </c>
      <c r="Q392" t="s">
        <v>30</v>
      </c>
      <c r="R392" t="s">
        <v>1150</v>
      </c>
    </row>
    <row r="393" spans="1:18" x14ac:dyDescent="0.3">
      <c r="A393" t="s">
        <v>861</v>
      </c>
      <c r="B393" s="6">
        <v>45613</v>
      </c>
      <c r="C393" t="s">
        <v>137</v>
      </c>
      <c r="D393" t="s">
        <v>1114</v>
      </c>
      <c r="E393" t="s">
        <v>13</v>
      </c>
      <c r="F393" t="s">
        <v>930</v>
      </c>
      <c r="G393" t="s">
        <v>82</v>
      </c>
      <c r="H393" t="s">
        <v>1076</v>
      </c>
      <c r="I393" t="s">
        <v>910</v>
      </c>
      <c r="J393" t="s">
        <v>22</v>
      </c>
      <c r="K393">
        <v>3493.54</v>
      </c>
      <c r="L393">
        <v>3</v>
      </c>
      <c r="M393">
        <v>0.05</v>
      </c>
      <c r="N393">
        <v>10480.619999999999</v>
      </c>
      <c r="O393">
        <v>9956.5889999999981</v>
      </c>
      <c r="P393" t="s">
        <v>862</v>
      </c>
      <c r="Q393" t="s">
        <v>30</v>
      </c>
      <c r="R393" t="s">
        <v>1150</v>
      </c>
    </row>
    <row r="394" spans="1:18" x14ac:dyDescent="0.3">
      <c r="A394" t="s">
        <v>863</v>
      </c>
      <c r="B394" s="6">
        <v>45540</v>
      </c>
      <c r="C394" t="s">
        <v>120</v>
      </c>
      <c r="D394" t="s">
        <v>993</v>
      </c>
      <c r="E394" t="s">
        <v>33</v>
      </c>
      <c r="F394" t="s">
        <v>920</v>
      </c>
      <c r="G394" t="s">
        <v>21</v>
      </c>
      <c r="H394" t="s">
        <v>1073</v>
      </c>
      <c r="I394" t="s">
        <v>931</v>
      </c>
      <c r="J394" t="s">
        <v>35</v>
      </c>
      <c r="K394">
        <v>620.89</v>
      </c>
      <c r="L394">
        <v>6</v>
      </c>
      <c r="M394">
        <v>0.05</v>
      </c>
      <c r="N394">
        <v>3725.34</v>
      </c>
      <c r="O394">
        <v>3539.0729999999999</v>
      </c>
      <c r="P394" t="s">
        <v>93</v>
      </c>
      <c r="Q394" t="s">
        <v>17</v>
      </c>
      <c r="R394" t="s">
        <v>1150</v>
      </c>
    </row>
    <row r="395" spans="1:18" x14ac:dyDescent="0.3">
      <c r="A395" t="s">
        <v>864</v>
      </c>
      <c r="B395" s="6">
        <v>45408</v>
      </c>
      <c r="C395" t="s">
        <v>202</v>
      </c>
      <c r="D395" t="s">
        <v>1124</v>
      </c>
      <c r="E395" t="s">
        <v>40</v>
      </c>
      <c r="F395" t="s">
        <v>913</v>
      </c>
      <c r="G395" t="s">
        <v>21</v>
      </c>
      <c r="H395" t="s">
        <v>1073</v>
      </c>
      <c r="I395" t="s">
        <v>924</v>
      </c>
      <c r="J395" t="s">
        <v>15</v>
      </c>
      <c r="K395">
        <v>136.91</v>
      </c>
      <c r="L395">
        <v>10</v>
      </c>
      <c r="M395">
        <v>0</v>
      </c>
      <c r="N395">
        <v>1369.1</v>
      </c>
      <c r="O395">
        <v>1369.1</v>
      </c>
      <c r="P395" t="s">
        <v>409</v>
      </c>
      <c r="Q395" t="s">
        <v>42</v>
      </c>
      <c r="R395" t="s">
        <v>1150</v>
      </c>
    </row>
    <row r="396" spans="1:18" x14ac:dyDescent="0.3">
      <c r="A396" t="s">
        <v>865</v>
      </c>
      <c r="B396" s="6">
        <v>45319</v>
      </c>
      <c r="C396" t="s">
        <v>12</v>
      </c>
      <c r="D396" t="s">
        <v>1103</v>
      </c>
      <c r="E396" t="s">
        <v>13</v>
      </c>
      <c r="F396" t="s">
        <v>913</v>
      </c>
      <c r="G396" t="s">
        <v>14</v>
      </c>
      <c r="H396" t="s">
        <v>1080</v>
      </c>
      <c r="I396" t="s">
        <v>910</v>
      </c>
      <c r="J396" t="s">
        <v>35</v>
      </c>
      <c r="K396">
        <v>3493.54</v>
      </c>
      <c r="L396">
        <v>8</v>
      </c>
      <c r="M396">
        <v>0.15</v>
      </c>
      <c r="N396">
        <v>27948.32</v>
      </c>
      <c r="O396">
        <v>23756.072</v>
      </c>
      <c r="P396" t="s">
        <v>447</v>
      </c>
      <c r="Q396" t="s">
        <v>17</v>
      </c>
      <c r="R396" t="s">
        <v>1150</v>
      </c>
    </row>
    <row r="397" spans="1:18" x14ac:dyDescent="0.3">
      <c r="A397" t="s">
        <v>866</v>
      </c>
      <c r="B397" s="6">
        <v>45362</v>
      </c>
      <c r="C397" t="s">
        <v>462</v>
      </c>
      <c r="D397" t="s">
        <v>1137</v>
      </c>
      <c r="E397" t="s">
        <v>67</v>
      </c>
      <c r="F397" t="s">
        <v>932</v>
      </c>
      <c r="G397" t="s">
        <v>45</v>
      </c>
      <c r="H397" t="s">
        <v>1096</v>
      </c>
      <c r="I397" t="s">
        <v>924</v>
      </c>
      <c r="J397" t="s">
        <v>15</v>
      </c>
      <c r="K397">
        <v>3205.14</v>
      </c>
      <c r="L397">
        <v>7</v>
      </c>
      <c r="M397">
        <v>0.15</v>
      </c>
      <c r="N397">
        <v>22435.98</v>
      </c>
      <c r="O397">
        <v>19070.582999999999</v>
      </c>
      <c r="P397" t="s">
        <v>282</v>
      </c>
      <c r="Q397" t="s">
        <v>17</v>
      </c>
      <c r="R397" t="s">
        <v>1150</v>
      </c>
    </row>
    <row r="398" spans="1:18" x14ac:dyDescent="0.3">
      <c r="A398" t="s">
        <v>867</v>
      </c>
      <c r="B398" s="6">
        <v>45539</v>
      </c>
      <c r="C398" t="s">
        <v>403</v>
      </c>
      <c r="D398" t="s">
        <v>1135</v>
      </c>
      <c r="E398" t="s">
        <v>196</v>
      </c>
      <c r="F398" t="s">
        <v>928</v>
      </c>
      <c r="G398" t="s">
        <v>14</v>
      </c>
      <c r="H398" t="s">
        <v>1080</v>
      </c>
      <c r="I398" t="s">
        <v>882</v>
      </c>
      <c r="J398" t="s">
        <v>35</v>
      </c>
      <c r="K398">
        <v>2184.5100000000002</v>
      </c>
      <c r="L398">
        <v>5</v>
      </c>
      <c r="M398">
        <v>0.15</v>
      </c>
      <c r="N398">
        <v>10922.550000000001</v>
      </c>
      <c r="O398">
        <v>9284.1675000000014</v>
      </c>
      <c r="P398" t="s">
        <v>705</v>
      </c>
      <c r="Q398" t="s">
        <v>30</v>
      </c>
      <c r="R398" t="s">
        <v>1150</v>
      </c>
    </row>
    <row r="399" spans="1:18" x14ac:dyDescent="0.3">
      <c r="A399" t="s">
        <v>868</v>
      </c>
      <c r="B399" s="6">
        <v>45367</v>
      </c>
      <c r="C399" t="s">
        <v>279</v>
      </c>
      <c r="D399" t="s">
        <v>1130</v>
      </c>
      <c r="E399" t="s">
        <v>116</v>
      </c>
      <c r="F399" t="s">
        <v>913</v>
      </c>
      <c r="G399" t="s">
        <v>14</v>
      </c>
      <c r="H399" t="s">
        <v>1080</v>
      </c>
      <c r="I399" t="s">
        <v>889</v>
      </c>
      <c r="J399" t="s">
        <v>35</v>
      </c>
      <c r="K399">
        <v>1156.02</v>
      </c>
      <c r="L399">
        <v>8</v>
      </c>
      <c r="M399">
        <v>0.1</v>
      </c>
      <c r="N399">
        <v>9248.16</v>
      </c>
      <c r="O399">
        <v>8323.344000000001</v>
      </c>
      <c r="P399" t="s">
        <v>760</v>
      </c>
      <c r="Q399" t="s">
        <v>42</v>
      </c>
      <c r="R399" t="s">
        <v>1150</v>
      </c>
    </row>
    <row r="400" spans="1:18" x14ac:dyDescent="0.3">
      <c r="A400" t="s">
        <v>869</v>
      </c>
      <c r="B400" s="6">
        <v>45810</v>
      </c>
      <c r="C400" t="s">
        <v>66</v>
      </c>
      <c r="D400" t="s">
        <v>1108</v>
      </c>
      <c r="E400" t="s">
        <v>226</v>
      </c>
      <c r="F400" t="s">
        <v>925</v>
      </c>
      <c r="G400" t="s">
        <v>14</v>
      </c>
      <c r="H400" t="s">
        <v>1080</v>
      </c>
      <c r="I400" t="s">
        <v>903</v>
      </c>
      <c r="J400" t="s">
        <v>22</v>
      </c>
      <c r="K400">
        <v>2359.5</v>
      </c>
      <c r="L400">
        <v>0</v>
      </c>
      <c r="M400">
        <v>0.1</v>
      </c>
      <c r="N400">
        <v>0</v>
      </c>
      <c r="O400">
        <v>0</v>
      </c>
      <c r="P400" t="s">
        <v>525</v>
      </c>
      <c r="Q400" t="s">
        <v>42</v>
      </c>
      <c r="R400" t="s">
        <v>1151</v>
      </c>
    </row>
    <row r="401" spans="1:18" x14ac:dyDescent="0.3">
      <c r="A401" t="s">
        <v>870</v>
      </c>
      <c r="B401" s="6">
        <v>45379</v>
      </c>
      <c r="C401" t="s">
        <v>19</v>
      </c>
      <c r="D401" t="s">
        <v>1104</v>
      </c>
      <c r="E401" t="s">
        <v>345</v>
      </c>
      <c r="F401" t="s">
        <v>885</v>
      </c>
      <c r="G401" t="s">
        <v>34</v>
      </c>
      <c r="H401" t="s">
        <v>1078</v>
      </c>
      <c r="I401" t="s">
        <v>924</v>
      </c>
      <c r="J401" t="s">
        <v>22</v>
      </c>
      <c r="K401">
        <v>1212.79</v>
      </c>
      <c r="L401">
        <v>2</v>
      </c>
      <c r="M401">
        <v>0.2</v>
      </c>
      <c r="N401">
        <v>2425.58</v>
      </c>
      <c r="O401">
        <v>1940.4639999999999</v>
      </c>
      <c r="P401" t="s">
        <v>871</v>
      </c>
      <c r="Q401" t="s">
        <v>60</v>
      </c>
      <c r="R401" t="s">
        <v>1150</v>
      </c>
    </row>
    <row r="402" spans="1:18" x14ac:dyDescent="0.3">
      <c r="A402" t="s">
        <v>872</v>
      </c>
      <c r="B402" s="6">
        <v>45337</v>
      </c>
      <c r="C402" t="s">
        <v>690</v>
      </c>
      <c r="D402" t="s">
        <v>1142</v>
      </c>
      <c r="E402" t="s">
        <v>316</v>
      </c>
      <c r="F402" t="s">
        <v>892</v>
      </c>
      <c r="G402" t="s">
        <v>21</v>
      </c>
      <c r="H402" t="s">
        <v>1073</v>
      </c>
      <c r="I402" t="s">
        <v>903</v>
      </c>
      <c r="J402" t="s">
        <v>22</v>
      </c>
      <c r="K402">
        <v>2405.98</v>
      </c>
      <c r="L402">
        <v>10</v>
      </c>
      <c r="M402">
        <v>0.15</v>
      </c>
      <c r="N402">
        <v>24059.8</v>
      </c>
      <c r="O402">
        <v>20450.829999999998</v>
      </c>
      <c r="P402" t="s">
        <v>815</v>
      </c>
      <c r="Q402" t="s">
        <v>30</v>
      </c>
      <c r="R402" t="s">
        <v>1150</v>
      </c>
    </row>
    <row r="403" spans="1:18" x14ac:dyDescent="0.3">
      <c r="A403" t="s">
        <v>873</v>
      </c>
      <c r="B403" s="6">
        <v>45400</v>
      </c>
      <c r="C403" t="s">
        <v>218</v>
      </c>
      <c r="D403" t="s">
        <v>1003</v>
      </c>
      <c r="E403" t="s">
        <v>116</v>
      </c>
      <c r="F403" t="s">
        <v>904</v>
      </c>
      <c r="G403" t="s">
        <v>21</v>
      </c>
      <c r="H403" t="s">
        <v>1073</v>
      </c>
      <c r="I403" t="s">
        <v>889</v>
      </c>
      <c r="J403" t="s">
        <v>15</v>
      </c>
      <c r="K403">
        <v>1156.02</v>
      </c>
      <c r="L403">
        <v>1</v>
      </c>
      <c r="M403">
        <v>0</v>
      </c>
      <c r="N403">
        <v>1156.02</v>
      </c>
      <c r="O403">
        <v>1156.02</v>
      </c>
      <c r="P403" t="s">
        <v>874</v>
      </c>
      <c r="Q403" t="s">
        <v>42</v>
      </c>
      <c r="R403" t="s">
        <v>1150</v>
      </c>
    </row>
    <row r="404" spans="1:18" x14ac:dyDescent="0.3">
      <c r="A404" t="s">
        <v>1156</v>
      </c>
      <c r="B404" s="6">
        <v>45400</v>
      </c>
      <c r="C404" t="s">
        <v>218</v>
      </c>
      <c r="D404" t="s">
        <v>1003</v>
      </c>
      <c r="E404" t="s">
        <v>116</v>
      </c>
      <c r="F404" t="s">
        <v>907</v>
      </c>
      <c r="G404" t="s">
        <v>21</v>
      </c>
      <c r="H404" t="s">
        <v>1073</v>
      </c>
      <c r="I404" t="s">
        <v>889</v>
      </c>
      <c r="J404" t="s">
        <v>15</v>
      </c>
      <c r="K404">
        <v>1156.02</v>
      </c>
      <c r="L404">
        <v>1</v>
      </c>
      <c r="M404">
        <v>0</v>
      </c>
      <c r="N404">
        <v>1156.02</v>
      </c>
      <c r="O404">
        <v>1156.02</v>
      </c>
      <c r="P404" t="s">
        <v>874</v>
      </c>
      <c r="Q404" t="s">
        <v>42</v>
      </c>
      <c r="R404" t="s">
        <v>1150</v>
      </c>
    </row>
    <row r="405" spans="1:18" x14ac:dyDescent="0.3">
      <c r="A405" t="s">
        <v>875</v>
      </c>
      <c r="B405" s="6">
        <v>45823</v>
      </c>
      <c r="C405" t="s">
        <v>476</v>
      </c>
      <c r="D405" t="s">
        <v>983</v>
      </c>
      <c r="E405" t="s">
        <v>454</v>
      </c>
      <c r="F405" t="s">
        <v>927</v>
      </c>
      <c r="G405" t="s">
        <v>14</v>
      </c>
      <c r="H405" t="s">
        <v>1080</v>
      </c>
      <c r="I405" t="s">
        <v>917</v>
      </c>
      <c r="J405" t="s">
        <v>15</v>
      </c>
      <c r="K405">
        <v>1253.57</v>
      </c>
      <c r="L405">
        <v>9</v>
      </c>
      <c r="M405">
        <v>0.1</v>
      </c>
      <c r="N405">
        <v>11282.13</v>
      </c>
      <c r="O405">
        <v>10153.916999999999</v>
      </c>
      <c r="P405" t="s">
        <v>538</v>
      </c>
      <c r="Q405" t="s">
        <v>30</v>
      </c>
      <c r="R405" t="s">
        <v>1150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995E0-6EEF-4859-9DDB-BA302C31D419}">
  <dimension ref="A1:R405"/>
  <sheetViews>
    <sheetView workbookViewId="0">
      <selection sqref="A1:R405"/>
    </sheetView>
  </sheetViews>
  <sheetFormatPr defaultRowHeight="14.4" x14ac:dyDescent="0.3"/>
  <cols>
    <col min="1" max="1" width="9.44140625" customWidth="1"/>
    <col min="2" max="2" width="11.5546875" customWidth="1"/>
    <col min="3" max="3" width="12.77734375" customWidth="1"/>
    <col min="4" max="4" width="16.44140625" customWidth="1"/>
    <col min="5" max="5" width="11.33203125" customWidth="1"/>
    <col min="6" max="6" width="15" customWidth="1"/>
    <col min="7" max="7" width="13" customWidth="1"/>
    <col min="8" max="8" width="16.6640625" customWidth="1"/>
    <col min="9" max="9" width="10.44140625" customWidth="1"/>
    <col min="11" max="11" width="12.88671875" customWidth="1"/>
    <col min="12" max="13" width="10.21875" customWidth="1"/>
    <col min="14" max="14" width="14.21875" customWidth="1"/>
    <col min="15" max="15" width="10.21875" customWidth="1"/>
    <col min="16" max="16" width="10.44140625" customWidth="1"/>
    <col min="17" max="17" width="17.21875" customWidth="1"/>
    <col min="18" max="18" width="11.44140625" customWidth="1"/>
  </cols>
  <sheetData>
    <row r="1" spans="1:18" x14ac:dyDescent="0.3">
      <c r="A1" t="s">
        <v>0</v>
      </c>
      <c r="B1" t="s">
        <v>1</v>
      </c>
      <c r="C1" t="s">
        <v>2</v>
      </c>
      <c r="D1" t="s">
        <v>1101</v>
      </c>
      <c r="E1" t="s">
        <v>3</v>
      </c>
      <c r="F1" t="s">
        <v>1100</v>
      </c>
      <c r="G1" t="s">
        <v>4</v>
      </c>
      <c r="H1" t="s">
        <v>1102</v>
      </c>
      <c r="I1" t="s">
        <v>877</v>
      </c>
      <c r="J1" t="s">
        <v>5</v>
      </c>
      <c r="K1" t="s">
        <v>1143</v>
      </c>
      <c r="L1" t="s">
        <v>6</v>
      </c>
      <c r="M1" t="s">
        <v>7</v>
      </c>
      <c r="N1" t="s">
        <v>1144</v>
      </c>
      <c r="O1" t="s">
        <v>1145</v>
      </c>
      <c r="P1" t="s">
        <v>8</v>
      </c>
      <c r="Q1" t="s">
        <v>9</v>
      </c>
      <c r="R1" t="s">
        <v>1146</v>
      </c>
    </row>
    <row r="2" spans="1:18" x14ac:dyDescent="0.3">
      <c r="A2" t="s">
        <v>10</v>
      </c>
      <c r="B2" s="6">
        <v>45738</v>
      </c>
      <c r="C2" t="s">
        <v>12</v>
      </c>
      <c r="D2" t="s">
        <v>1103</v>
      </c>
      <c r="E2" t="s">
        <v>13</v>
      </c>
      <c r="F2" t="s">
        <v>913</v>
      </c>
      <c r="G2" t="s">
        <v>14</v>
      </c>
      <c r="H2" t="s">
        <v>1080</v>
      </c>
      <c r="I2" t="s">
        <v>910</v>
      </c>
      <c r="J2" t="s">
        <v>15</v>
      </c>
      <c r="K2">
        <v>3493.54</v>
      </c>
      <c r="L2">
        <v>1</v>
      </c>
      <c r="M2">
        <v>0.1</v>
      </c>
      <c r="N2">
        <v>3493.54</v>
      </c>
      <c r="O2">
        <v>3144.1860000000001</v>
      </c>
      <c r="P2" t="s">
        <v>16</v>
      </c>
      <c r="Q2" t="s">
        <v>17</v>
      </c>
      <c r="R2" t="s">
        <v>1150</v>
      </c>
    </row>
    <row r="3" spans="1:18" x14ac:dyDescent="0.3">
      <c r="A3" t="s">
        <v>18</v>
      </c>
      <c r="B3" s="6">
        <v>45733</v>
      </c>
      <c r="C3" t="s">
        <v>19</v>
      </c>
      <c r="D3" t="s">
        <v>1104</v>
      </c>
      <c r="E3" t="s">
        <v>20</v>
      </c>
      <c r="F3" t="s">
        <v>899</v>
      </c>
      <c r="G3" t="s">
        <v>21</v>
      </c>
      <c r="H3" t="s">
        <v>1073</v>
      </c>
      <c r="I3" t="s">
        <v>896</v>
      </c>
      <c r="J3" t="s">
        <v>22</v>
      </c>
      <c r="K3">
        <v>3772.12</v>
      </c>
      <c r="L3">
        <v>2</v>
      </c>
      <c r="M3">
        <v>0.15</v>
      </c>
      <c r="N3">
        <v>7544.24</v>
      </c>
      <c r="O3">
        <v>6412.6039999999994</v>
      </c>
      <c r="P3" t="s">
        <v>23</v>
      </c>
      <c r="Q3" t="s">
        <v>24</v>
      </c>
      <c r="R3" t="s">
        <v>1150</v>
      </c>
    </row>
    <row r="4" spans="1:18" x14ac:dyDescent="0.3">
      <c r="A4" t="s">
        <v>25</v>
      </c>
      <c r="B4" s="6">
        <v>45599</v>
      </c>
      <c r="C4" t="s">
        <v>27</v>
      </c>
      <c r="D4" t="s">
        <v>1105</v>
      </c>
      <c r="E4" t="s">
        <v>28</v>
      </c>
      <c r="F4" t="s">
        <v>897</v>
      </c>
      <c r="G4" t="s">
        <v>14</v>
      </c>
      <c r="H4" t="s">
        <v>1080</v>
      </c>
      <c r="I4" t="s">
        <v>896</v>
      </c>
      <c r="J4" t="s">
        <v>22</v>
      </c>
      <c r="K4">
        <v>733.33</v>
      </c>
      <c r="L4">
        <v>9</v>
      </c>
      <c r="M4">
        <v>0</v>
      </c>
      <c r="N4">
        <v>6599.97</v>
      </c>
      <c r="O4">
        <v>6599.97</v>
      </c>
      <c r="P4" t="s">
        <v>29</v>
      </c>
      <c r="Q4" t="s">
        <v>30</v>
      </c>
      <c r="R4" t="s">
        <v>1150</v>
      </c>
    </row>
    <row r="5" spans="1:18" x14ac:dyDescent="0.3">
      <c r="A5" t="s">
        <v>31</v>
      </c>
      <c r="B5" s="6">
        <v>45594</v>
      </c>
      <c r="C5" t="s">
        <v>32</v>
      </c>
      <c r="D5" t="s">
        <v>1106</v>
      </c>
      <c r="E5" t="s">
        <v>33</v>
      </c>
      <c r="F5" t="s">
        <v>932</v>
      </c>
      <c r="G5" t="s">
        <v>34</v>
      </c>
      <c r="H5" t="s">
        <v>1078</v>
      </c>
      <c r="I5" t="s">
        <v>931</v>
      </c>
      <c r="J5" t="s">
        <v>35</v>
      </c>
      <c r="K5">
        <v>620.89</v>
      </c>
      <c r="L5">
        <v>9</v>
      </c>
      <c r="M5">
        <v>0</v>
      </c>
      <c r="N5">
        <v>5588.01</v>
      </c>
      <c r="O5">
        <v>5588.01</v>
      </c>
      <c r="P5" t="s">
        <v>36</v>
      </c>
      <c r="Q5" t="s">
        <v>30</v>
      </c>
      <c r="R5" t="s">
        <v>1150</v>
      </c>
    </row>
    <row r="6" spans="1:18" x14ac:dyDescent="0.3">
      <c r="A6" t="s">
        <v>37</v>
      </c>
      <c r="B6" s="6">
        <v>45470</v>
      </c>
      <c r="C6" t="s">
        <v>39</v>
      </c>
      <c r="D6" t="s">
        <v>990</v>
      </c>
      <c r="E6" t="s">
        <v>40</v>
      </c>
      <c r="F6" t="s">
        <v>928</v>
      </c>
      <c r="G6" t="s">
        <v>34</v>
      </c>
      <c r="H6" t="s">
        <v>1078</v>
      </c>
      <c r="I6" t="s">
        <v>924</v>
      </c>
      <c r="J6" t="s">
        <v>35</v>
      </c>
      <c r="K6">
        <v>136.91</v>
      </c>
      <c r="L6">
        <v>10</v>
      </c>
      <c r="M6">
        <v>0.1</v>
      </c>
      <c r="N6">
        <v>1369.1</v>
      </c>
      <c r="O6">
        <v>1232.19</v>
      </c>
      <c r="P6" t="s">
        <v>41</v>
      </c>
      <c r="Q6" t="s">
        <v>42</v>
      </c>
      <c r="R6" t="s">
        <v>1150</v>
      </c>
    </row>
    <row r="7" spans="1:18" x14ac:dyDescent="0.3">
      <c r="A7" t="s">
        <v>43</v>
      </c>
      <c r="B7" s="6">
        <v>45292</v>
      </c>
      <c r="C7" t="s">
        <v>39</v>
      </c>
      <c r="D7" t="s">
        <v>990</v>
      </c>
      <c r="E7" t="s">
        <v>44</v>
      </c>
      <c r="F7" t="s">
        <v>911</v>
      </c>
      <c r="G7" t="s">
        <v>45</v>
      </c>
      <c r="H7" t="s">
        <v>1096</v>
      </c>
      <c r="I7" t="s">
        <v>910</v>
      </c>
      <c r="J7" t="s">
        <v>35</v>
      </c>
      <c r="K7">
        <v>973.21</v>
      </c>
      <c r="L7">
        <v>5</v>
      </c>
      <c r="M7">
        <v>0</v>
      </c>
      <c r="N7">
        <v>4866.05</v>
      </c>
      <c r="O7">
        <v>4866.05</v>
      </c>
      <c r="P7" t="s">
        <v>46</v>
      </c>
      <c r="Q7" t="s">
        <v>42</v>
      </c>
      <c r="R7" t="s">
        <v>1150</v>
      </c>
    </row>
    <row r="8" spans="1:18" x14ac:dyDescent="0.3">
      <c r="A8" t="s">
        <v>47</v>
      </c>
      <c r="B8" s="6">
        <v>45621</v>
      </c>
      <c r="C8" t="s">
        <v>49</v>
      </c>
      <c r="D8" t="s">
        <v>1107</v>
      </c>
      <c r="E8" t="s">
        <v>50</v>
      </c>
      <c r="F8" t="s">
        <v>936</v>
      </c>
      <c r="G8" t="s">
        <v>14</v>
      </c>
      <c r="H8" t="s">
        <v>1080</v>
      </c>
      <c r="I8" t="s">
        <v>931</v>
      </c>
      <c r="J8" t="s">
        <v>15</v>
      </c>
      <c r="K8">
        <v>2041.83</v>
      </c>
      <c r="L8">
        <v>8</v>
      </c>
      <c r="M8">
        <v>0.05</v>
      </c>
      <c r="N8">
        <v>16334.64</v>
      </c>
      <c r="O8">
        <v>15517.907999999999</v>
      </c>
      <c r="P8" t="s">
        <v>51</v>
      </c>
      <c r="Q8" t="s">
        <v>42</v>
      </c>
      <c r="R8" t="s">
        <v>1150</v>
      </c>
    </row>
    <row r="9" spans="1:18" x14ac:dyDescent="0.3">
      <c r="A9" t="s">
        <v>52</v>
      </c>
      <c r="B9" s="6">
        <v>45776</v>
      </c>
      <c r="C9" t="s">
        <v>53</v>
      </c>
      <c r="D9" t="s">
        <v>1047</v>
      </c>
      <c r="E9" t="s">
        <v>54</v>
      </c>
      <c r="F9" t="s">
        <v>891</v>
      </c>
      <c r="G9" t="s">
        <v>34</v>
      </c>
      <c r="H9" t="s">
        <v>1078</v>
      </c>
      <c r="I9" t="s">
        <v>889</v>
      </c>
      <c r="J9" t="s">
        <v>22</v>
      </c>
      <c r="K9">
        <v>3929.31</v>
      </c>
      <c r="L9">
        <v>3</v>
      </c>
      <c r="M9">
        <v>0.15</v>
      </c>
      <c r="N9">
        <v>11787.93</v>
      </c>
      <c r="O9">
        <v>10019.7405</v>
      </c>
      <c r="P9" t="s">
        <v>55</v>
      </c>
      <c r="Q9" t="s">
        <v>42</v>
      </c>
      <c r="R9" t="s">
        <v>1150</v>
      </c>
    </row>
    <row r="10" spans="1:18" x14ac:dyDescent="0.3">
      <c r="A10" t="s">
        <v>56</v>
      </c>
      <c r="B10" s="6">
        <v>45635</v>
      </c>
      <c r="C10" t="s">
        <v>58</v>
      </c>
      <c r="D10" t="s">
        <v>1014</v>
      </c>
      <c r="E10" t="s">
        <v>20</v>
      </c>
      <c r="F10" t="s">
        <v>899</v>
      </c>
      <c r="G10" t="s">
        <v>14</v>
      </c>
      <c r="H10" t="s">
        <v>1080</v>
      </c>
      <c r="I10" t="s">
        <v>896</v>
      </c>
      <c r="J10" t="s">
        <v>22</v>
      </c>
      <c r="K10">
        <v>3772.12</v>
      </c>
      <c r="L10">
        <v>2</v>
      </c>
      <c r="M10">
        <v>0.2</v>
      </c>
      <c r="N10">
        <v>7544.24</v>
      </c>
      <c r="O10">
        <v>6035.3919999999998</v>
      </c>
      <c r="P10" t="s">
        <v>59</v>
      </c>
      <c r="Q10" t="s">
        <v>60</v>
      </c>
      <c r="R10" t="s">
        <v>1150</v>
      </c>
    </row>
    <row r="11" spans="1:18" x14ac:dyDescent="0.3">
      <c r="A11" t="s">
        <v>61</v>
      </c>
      <c r="B11" s="6">
        <v>45495</v>
      </c>
      <c r="C11" t="s">
        <v>27</v>
      </c>
      <c r="D11" t="s">
        <v>1105</v>
      </c>
      <c r="E11" t="s">
        <v>13</v>
      </c>
      <c r="F11" t="s">
        <v>913</v>
      </c>
      <c r="G11" t="s">
        <v>14</v>
      </c>
      <c r="H11" t="s">
        <v>1080</v>
      </c>
      <c r="I11" t="s">
        <v>910</v>
      </c>
      <c r="J11" t="s">
        <v>15</v>
      </c>
      <c r="K11">
        <v>3493.54</v>
      </c>
      <c r="L11">
        <v>3</v>
      </c>
      <c r="M11">
        <v>0</v>
      </c>
      <c r="N11">
        <v>10480.619999999999</v>
      </c>
      <c r="O11">
        <v>10480.619999999999</v>
      </c>
      <c r="P11" t="s">
        <v>63</v>
      </c>
      <c r="Q11" t="s">
        <v>30</v>
      </c>
      <c r="R11" t="s">
        <v>1150</v>
      </c>
    </row>
    <row r="12" spans="1:18" x14ac:dyDescent="0.3">
      <c r="A12" t="s">
        <v>64</v>
      </c>
      <c r="B12" s="6">
        <v>45366</v>
      </c>
      <c r="C12" t="s">
        <v>66</v>
      </c>
      <c r="D12" t="s">
        <v>1108</v>
      </c>
      <c r="E12" t="s">
        <v>67</v>
      </c>
      <c r="F12" t="s">
        <v>925</v>
      </c>
      <c r="G12" t="s">
        <v>14</v>
      </c>
      <c r="H12" t="s">
        <v>1080</v>
      </c>
      <c r="I12" t="s">
        <v>924</v>
      </c>
      <c r="J12" t="s">
        <v>15</v>
      </c>
      <c r="K12">
        <v>3205.14</v>
      </c>
      <c r="L12">
        <v>8</v>
      </c>
      <c r="M12">
        <v>0.05</v>
      </c>
      <c r="N12">
        <v>25641.119999999999</v>
      </c>
      <c r="O12">
        <v>24359.063999999998</v>
      </c>
      <c r="P12" t="s">
        <v>68</v>
      </c>
      <c r="Q12" t="s">
        <v>30</v>
      </c>
      <c r="R12" t="s">
        <v>1150</v>
      </c>
    </row>
    <row r="13" spans="1:18" x14ac:dyDescent="0.3">
      <c r="A13" t="s">
        <v>69</v>
      </c>
      <c r="B13" s="6">
        <v>45798</v>
      </c>
      <c r="C13" t="s">
        <v>71</v>
      </c>
      <c r="D13" t="s">
        <v>980</v>
      </c>
      <c r="E13" t="s">
        <v>72</v>
      </c>
      <c r="F13" t="s">
        <v>919</v>
      </c>
      <c r="G13" t="s">
        <v>14</v>
      </c>
      <c r="H13" t="s">
        <v>1080</v>
      </c>
      <c r="I13" t="s">
        <v>917</v>
      </c>
      <c r="J13" t="s">
        <v>73</v>
      </c>
      <c r="K13">
        <v>2316.1999999999998</v>
      </c>
      <c r="L13">
        <v>7</v>
      </c>
      <c r="M13">
        <v>0</v>
      </c>
      <c r="N13">
        <v>16213.399999999998</v>
      </c>
      <c r="O13">
        <v>16213.399999999998</v>
      </c>
      <c r="P13" t="s">
        <v>74</v>
      </c>
      <c r="Q13" t="s">
        <v>24</v>
      </c>
      <c r="R13" t="s">
        <v>1150</v>
      </c>
    </row>
    <row r="14" spans="1:18" x14ac:dyDescent="0.3">
      <c r="A14" t="s">
        <v>75</v>
      </c>
      <c r="B14" s="6">
        <v>45727</v>
      </c>
      <c r="C14" t="s">
        <v>27</v>
      </c>
      <c r="D14" t="s">
        <v>1105</v>
      </c>
      <c r="E14" t="s">
        <v>77</v>
      </c>
      <c r="F14" t="s">
        <v>884</v>
      </c>
      <c r="G14" t="s">
        <v>21</v>
      </c>
      <c r="H14" t="s">
        <v>1073</v>
      </c>
      <c r="I14" t="s">
        <v>882</v>
      </c>
      <c r="J14" t="s">
        <v>35</v>
      </c>
      <c r="K14">
        <v>3550.89</v>
      </c>
      <c r="L14">
        <v>4</v>
      </c>
      <c r="M14">
        <v>0</v>
      </c>
      <c r="N14">
        <v>14203.56</v>
      </c>
      <c r="O14">
        <v>14203.56</v>
      </c>
      <c r="P14" t="s">
        <v>78</v>
      </c>
      <c r="Q14" t="s">
        <v>24</v>
      </c>
      <c r="R14" t="s">
        <v>1150</v>
      </c>
    </row>
    <row r="15" spans="1:18" x14ac:dyDescent="0.3">
      <c r="A15" t="s">
        <v>79</v>
      </c>
      <c r="B15" s="6">
        <v>45547</v>
      </c>
      <c r="C15" t="s">
        <v>80</v>
      </c>
      <c r="D15" t="s">
        <v>1109</v>
      </c>
      <c r="E15" t="s">
        <v>81</v>
      </c>
      <c r="F15" t="s">
        <v>886</v>
      </c>
      <c r="G15" t="s">
        <v>82</v>
      </c>
      <c r="H15" t="s">
        <v>1076</v>
      </c>
      <c r="I15" t="s">
        <v>882</v>
      </c>
      <c r="J15" t="s">
        <v>35</v>
      </c>
      <c r="K15">
        <v>1044.7</v>
      </c>
      <c r="L15">
        <v>2</v>
      </c>
      <c r="M15">
        <v>0.05</v>
      </c>
      <c r="N15">
        <v>2089.4</v>
      </c>
      <c r="O15">
        <v>1984.93</v>
      </c>
      <c r="P15" t="s">
        <v>83</v>
      </c>
      <c r="Q15" t="s">
        <v>42</v>
      </c>
      <c r="R15" t="s">
        <v>1150</v>
      </c>
    </row>
    <row r="16" spans="1:18" x14ac:dyDescent="0.3">
      <c r="A16" t="s">
        <v>84</v>
      </c>
      <c r="B16" s="6">
        <v>45616</v>
      </c>
      <c r="C16" t="s">
        <v>39</v>
      </c>
      <c r="D16" t="s">
        <v>990</v>
      </c>
      <c r="E16" t="s">
        <v>85</v>
      </c>
      <c r="F16" t="s">
        <v>934</v>
      </c>
      <c r="G16" t="s">
        <v>82</v>
      </c>
      <c r="H16" t="s">
        <v>1076</v>
      </c>
      <c r="I16" t="s">
        <v>931</v>
      </c>
      <c r="J16" t="s">
        <v>35</v>
      </c>
      <c r="K16">
        <v>3457.28</v>
      </c>
      <c r="L16">
        <v>8</v>
      </c>
      <c r="M16">
        <v>0.1</v>
      </c>
      <c r="N16">
        <v>27658.240000000002</v>
      </c>
      <c r="O16">
        <v>24892.416000000001</v>
      </c>
      <c r="P16" t="s">
        <v>86</v>
      </c>
      <c r="Q16" t="s">
        <v>42</v>
      </c>
      <c r="R16" t="s">
        <v>1150</v>
      </c>
    </row>
    <row r="17" spans="1:18" x14ac:dyDescent="0.3">
      <c r="A17" t="s">
        <v>87</v>
      </c>
      <c r="B17" s="6">
        <v>45748</v>
      </c>
      <c r="C17" t="s">
        <v>89</v>
      </c>
      <c r="D17" t="s">
        <v>1059</v>
      </c>
      <c r="E17" t="s">
        <v>90</v>
      </c>
      <c r="F17" t="s">
        <v>902</v>
      </c>
      <c r="G17" t="s">
        <v>82</v>
      </c>
      <c r="H17" t="s">
        <v>1076</v>
      </c>
      <c r="I17" t="s">
        <v>903</v>
      </c>
      <c r="J17" t="s">
        <v>35</v>
      </c>
      <c r="K17">
        <v>928.72</v>
      </c>
      <c r="L17">
        <v>3</v>
      </c>
      <c r="M17">
        <v>0.15</v>
      </c>
      <c r="N17">
        <v>2786.16</v>
      </c>
      <c r="O17">
        <v>2368.2359999999999</v>
      </c>
      <c r="P17" t="s">
        <v>91</v>
      </c>
      <c r="Q17" t="s">
        <v>17</v>
      </c>
      <c r="R17" t="s">
        <v>1150</v>
      </c>
    </row>
    <row r="18" spans="1:18" x14ac:dyDescent="0.3">
      <c r="A18" t="s">
        <v>92</v>
      </c>
      <c r="B18" s="6">
        <v>45545</v>
      </c>
      <c r="C18" t="s">
        <v>19</v>
      </c>
      <c r="D18" t="s">
        <v>1104</v>
      </c>
      <c r="E18" t="s">
        <v>94</v>
      </c>
      <c r="F18" t="s">
        <v>935</v>
      </c>
      <c r="G18" t="s">
        <v>14</v>
      </c>
      <c r="H18" t="s">
        <v>1080</v>
      </c>
      <c r="I18" t="s">
        <v>931</v>
      </c>
      <c r="J18" t="s">
        <v>35</v>
      </c>
      <c r="K18">
        <v>3610.44</v>
      </c>
      <c r="L18">
        <v>5</v>
      </c>
      <c r="M18">
        <v>0.2</v>
      </c>
      <c r="N18">
        <v>18052.2</v>
      </c>
      <c r="O18">
        <v>14441.760000000002</v>
      </c>
      <c r="P18" t="s">
        <v>95</v>
      </c>
      <c r="Q18" t="s">
        <v>60</v>
      </c>
      <c r="R18" t="s">
        <v>1150</v>
      </c>
    </row>
    <row r="19" spans="1:18" x14ac:dyDescent="0.3">
      <c r="A19" t="s">
        <v>96</v>
      </c>
      <c r="B19" s="6">
        <v>45573</v>
      </c>
      <c r="C19" t="s">
        <v>98</v>
      </c>
      <c r="D19" t="s">
        <v>1110</v>
      </c>
      <c r="E19" t="s">
        <v>99</v>
      </c>
      <c r="F19" t="s">
        <v>881</v>
      </c>
      <c r="G19" t="s">
        <v>45</v>
      </c>
      <c r="H19" t="s">
        <v>1096</v>
      </c>
      <c r="I19" t="s">
        <v>882</v>
      </c>
      <c r="J19" t="s">
        <v>15</v>
      </c>
      <c r="K19">
        <v>2352.63</v>
      </c>
      <c r="L19">
        <v>8</v>
      </c>
      <c r="M19">
        <v>0</v>
      </c>
      <c r="N19">
        <v>18821.04</v>
      </c>
      <c r="O19">
        <v>18821.04</v>
      </c>
      <c r="P19" t="s">
        <v>100</v>
      </c>
      <c r="Q19" t="s">
        <v>17</v>
      </c>
      <c r="R19" t="s">
        <v>1150</v>
      </c>
    </row>
    <row r="20" spans="1:18" x14ac:dyDescent="0.3">
      <c r="A20" t="s">
        <v>101</v>
      </c>
      <c r="B20" s="6">
        <v>45635</v>
      </c>
      <c r="C20" t="s">
        <v>102</v>
      </c>
      <c r="D20" t="s">
        <v>1111</v>
      </c>
      <c r="E20" t="s">
        <v>33</v>
      </c>
      <c r="F20" t="s">
        <v>932</v>
      </c>
      <c r="G20" t="s">
        <v>14</v>
      </c>
      <c r="H20" t="s">
        <v>1080</v>
      </c>
      <c r="I20" t="s">
        <v>931</v>
      </c>
      <c r="J20" t="s">
        <v>15</v>
      </c>
      <c r="K20">
        <v>620.89</v>
      </c>
      <c r="L20">
        <v>6</v>
      </c>
      <c r="M20">
        <v>0.1</v>
      </c>
      <c r="N20">
        <v>3725.34</v>
      </c>
      <c r="O20">
        <v>3352.806</v>
      </c>
      <c r="P20" t="s">
        <v>103</v>
      </c>
      <c r="Q20" t="s">
        <v>60</v>
      </c>
      <c r="R20" t="s">
        <v>1150</v>
      </c>
    </row>
    <row r="21" spans="1:18" x14ac:dyDescent="0.3">
      <c r="A21" t="s">
        <v>104</v>
      </c>
      <c r="B21" s="6">
        <v>45528</v>
      </c>
      <c r="C21" t="s">
        <v>105</v>
      </c>
      <c r="D21" t="s">
        <v>941</v>
      </c>
      <c r="E21" t="s">
        <v>106</v>
      </c>
      <c r="F21" t="s">
        <v>894</v>
      </c>
      <c r="G21" t="s">
        <v>34</v>
      </c>
      <c r="H21" t="s">
        <v>1078</v>
      </c>
      <c r="I21" t="s">
        <v>889</v>
      </c>
      <c r="J21" t="s">
        <v>15</v>
      </c>
      <c r="K21">
        <v>1559.65</v>
      </c>
      <c r="L21">
        <v>7</v>
      </c>
      <c r="M21">
        <v>0.15</v>
      </c>
      <c r="N21">
        <v>10917.550000000001</v>
      </c>
      <c r="O21">
        <v>9279.9175000000014</v>
      </c>
      <c r="P21" t="s">
        <v>107</v>
      </c>
      <c r="Q21" t="s">
        <v>24</v>
      </c>
      <c r="R21" t="s">
        <v>1150</v>
      </c>
    </row>
    <row r="22" spans="1:18" x14ac:dyDescent="0.3">
      <c r="A22" t="s">
        <v>108</v>
      </c>
      <c r="B22" s="6">
        <v>45716</v>
      </c>
      <c r="C22" t="s">
        <v>110</v>
      </c>
      <c r="D22" t="s">
        <v>983</v>
      </c>
      <c r="E22" t="s">
        <v>111</v>
      </c>
      <c r="F22" t="s">
        <v>929</v>
      </c>
      <c r="G22" t="s">
        <v>45</v>
      </c>
      <c r="H22" t="s">
        <v>1096</v>
      </c>
      <c r="I22" t="s">
        <v>924</v>
      </c>
      <c r="J22" t="s">
        <v>35</v>
      </c>
      <c r="K22">
        <v>4390.62</v>
      </c>
      <c r="L22">
        <v>7</v>
      </c>
      <c r="M22">
        <v>0</v>
      </c>
      <c r="N22">
        <v>30734.34</v>
      </c>
      <c r="O22">
        <v>30734.34</v>
      </c>
      <c r="P22" t="s">
        <v>112</v>
      </c>
      <c r="Q22" t="s">
        <v>30</v>
      </c>
      <c r="R22" t="s">
        <v>1150</v>
      </c>
    </row>
    <row r="23" spans="1:18" x14ac:dyDescent="0.3">
      <c r="A23" t="s">
        <v>113</v>
      </c>
      <c r="B23" s="6">
        <v>45355</v>
      </c>
      <c r="C23" t="s">
        <v>115</v>
      </c>
      <c r="D23" t="s">
        <v>996</v>
      </c>
      <c r="E23" t="s">
        <v>116</v>
      </c>
      <c r="F23" t="s">
        <v>892</v>
      </c>
      <c r="G23" t="s">
        <v>45</v>
      </c>
      <c r="H23" t="s">
        <v>1096</v>
      </c>
      <c r="I23" t="s">
        <v>889</v>
      </c>
      <c r="J23" t="s">
        <v>35</v>
      </c>
      <c r="K23">
        <v>1156.02</v>
      </c>
      <c r="L23">
        <v>4</v>
      </c>
      <c r="M23">
        <v>0.2</v>
      </c>
      <c r="N23">
        <v>4624.08</v>
      </c>
      <c r="O23">
        <v>3699.2640000000001</v>
      </c>
      <c r="P23" t="s">
        <v>117</v>
      </c>
      <c r="Q23" t="s">
        <v>42</v>
      </c>
      <c r="R23" t="s">
        <v>1150</v>
      </c>
    </row>
    <row r="24" spans="1:18" x14ac:dyDescent="0.3">
      <c r="A24" t="s">
        <v>118</v>
      </c>
      <c r="B24" s="6">
        <v>45312</v>
      </c>
      <c r="C24" t="s">
        <v>120</v>
      </c>
      <c r="D24" t="s">
        <v>993</v>
      </c>
      <c r="E24" t="s">
        <v>121</v>
      </c>
      <c r="F24" t="s">
        <v>906</v>
      </c>
      <c r="G24" t="s">
        <v>14</v>
      </c>
      <c r="H24" t="s">
        <v>1080</v>
      </c>
      <c r="I24" t="s">
        <v>903</v>
      </c>
      <c r="J24" t="s">
        <v>73</v>
      </c>
      <c r="K24">
        <v>3414.07</v>
      </c>
      <c r="L24">
        <v>10</v>
      </c>
      <c r="M24">
        <v>0.05</v>
      </c>
      <c r="N24">
        <v>34140.700000000004</v>
      </c>
      <c r="O24">
        <v>32433.665000000001</v>
      </c>
      <c r="P24" t="s">
        <v>122</v>
      </c>
      <c r="Q24" t="s">
        <v>17</v>
      </c>
      <c r="R24" t="s">
        <v>1150</v>
      </c>
    </row>
    <row r="25" spans="1:18" x14ac:dyDescent="0.3">
      <c r="A25" t="s">
        <v>123</v>
      </c>
      <c r="B25" s="6">
        <v>45597</v>
      </c>
      <c r="C25" t="s">
        <v>124</v>
      </c>
      <c r="D25" t="s">
        <v>1112</v>
      </c>
      <c r="E25" t="s">
        <v>125</v>
      </c>
      <c r="F25" t="s">
        <v>930</v>
      </c>
      <c r="G25" t="s">
        <v>82</v>
      </c>
      <c r="H25" t="s">
        <v>1076</v>
      </c>
      <c r="I25" t="s">
        <v>931</v>
      </c>
      <c r="J25" t="s">
        <v>15</v>
      </c>
      <c r="K25">
        <v>2458.91</v>
      </c>
      <c r="L25">
        <v>7</v>
      </c>
      <c r="M25">
        <v>0.2</v>
      </c>
      <c r="N25">
        <v>17212.37</v>
      </c>
      <c r="O25">
        <v>13769.896000000001</v>
      </c>
      <c r="P25" t="s">
        <v>126</v>
      </c>
      <c r="Q25" t="s">
        <v>30</v>
      </c>
      <c r="R25" t="s">
        <v>1150</v>
      </c>
    </row>
    <row r="26" spans="1:18" x14ac:dyDescent="0.3">
      <c r="A26" t="s">
        <v>127</v>
      </c>
      <c r="B26" s="6">
        <v>45516</v>
      </c>
      <c r="C26" t="s">
        <v>129</v>
      </c>
      <c r="D26" t="s">
        <v>1113</v>
      </c>
      <c r="E26" t="s">
        <v>130</v>
      </c>
      <c r="F26" t="s">
        <v>912</v>
      </c>
      <c r="G26" t="s">
        <v>21</v>
      </c>
      <c r="H26" t="s">
        <v>1073</v>
      </c>
      <c r="I26" t="s">
        <v>910</v>
      </c>
      <c r="J26" t="s">
        <v>73</v>
      </c>
      <c r="K26">
        <v>3128.51</v>
      </c>
      <c r="L26">
        <v>5</v>
      </c>
      <c r="M26">
        <v>0.05</v>
      </c>
      <c r="N26">
        <v>15642.550000000001</v>
      </c>
      <c r="O26">
        <v>14860.422500000001</v>
      </c>
      <c r="P26" t="s">
        <v>131</v>
      </c>
      <c r="Q26" t="s">
        <v>30</v>
      </c>
      <c r="R26" t="s">
        <v>1150</v>
      </c>
    </row>
    <row r="27" spans="1:18" x14ac:dyDescent="0.3">
      <c r="A27" t="s">
        <v>132</v>
      </c>
      <c r="B27" s="6">
        <v>45636</v>
      </c>
      <c r="C27" t="s">
        <v>134</v>
      </c>
      <c r="D27" t="s">
        <v>1047</v>
      </c>
      <c r="E27" t="s">
        <v>13</v>
      </c>
      <c r="F27" t="s">
        <v>913</v>
      </c>
      <c r="G27" t="s">
        <v>45</v>
      </c>
      <c r="H27" t="s">
        <v>1096</v>
      </c>
      <c r="I27" t="s">
        <v>910</v>
      </c>
      <c r="J27" t="s">
        <v>35</v>
      </c>
      <c r="K27">
        <v>3493.54</v>
      </c>
      <c r="L27">
        <v>7</v>
      </c>
      <c r="M27">
        <v>0.15</v>
      </c>
      <c r="N27">
        <v>24454.78</v>
      </c>
      <c r="O27">
        <v>20786.562999999998</v>
      </c>
      <c r="P27" t="s">
        <v>59</v>
      </c>
      <c r="Q27" t="s">
        <v>60</v>
      </c>
      <c r="R27" t="s">
        <v>1150</v>
      </c>
    </row>
    <row r="28" spans="1:18" x14ac:dyDescent="0.3">
      <c r="A28" t="s">
        <v>135</v>
      </c>
      <c r="B28" s="6">
        <v>45319</v>
      </c>
      <c r="C28" t="s">
        <v>137</v>
      </c>
      <c r="D28" t="s">
        <v>1114</v>
      </c>
      <c r="E28" t="s">
        <v>106</v>
      </c>
      <c r="F28" t="s">
        <v>894</v>
      </c>
      <c r="G28" t="s">
        <v>34</v>
      </c>
      <c r="H28" t="s">
        <v>1078</v>
      </c>
      <c r="I28" t="s">
        <v>889</v>
      </c>
      <c r="J28" t="s">
        <v>73</v>
      </c>
      <c r="K28">
        <v>1559.65</v>
      </c>
      <c r="L28">
        <v>7</v>
      </c>
      <c r="M28">
        <v>0.1</v>
      </c>
      <c r="N28">
        <v>10917.550000000001</v>
      </c>
      <c r="O28">
        <v>9825.7950000000019</v>
      </c>
      <c r="P28" t="s">
        <v>138</v>
      </c>
      <c r="Q28" t="s">
        <v>24</v>
      </c>
      <c r="R28" t="s">
        <v>1150</v>
      </c>
    </row>
    <row r="29" spans="1:18" x14ac:dyDescent="0.3">
      <c r="A29" t="s">
        <v>139</v>
      </c>
      <c r="B29" s="6">
        <v>45730</v>
      </c>
      <c r="C29" t="s">
        <v>141</v>
      </c>
      <c r="D29" t="s">
        <v>1115</v>
      </c>
      <c r="E29" t="s">
        <v>33</v>
      </c>
      <c r="F29" t="s">
        <v>932</v>
      </c>
      <c r="G29" t="s">
        <v>45</v>
      </c>
      <c r="H29" t="s">
        <v>1096</v>
      </c>
      <c r="I29" t="s">
        <v>931</v>
      </c>
      <c r="J29" t="s">
        <v>15</v>
      </c>
      <c r="K29">
        <v>620.89</v>
      </c>
      <c r="L29">
        <v>3</v>
      </c>
      <c r="M29">
        <v>0.2</v>
      </c>
      <c r="N29">
        <v>1862.67</v>
      </c>
      <c r="O29">
        <v>1490.1360000000002</v>
      </c>
      <c r="P29" t="s">
        <v>11</v>
      </c>
      <c r="Q29" t="s">
        <v>24</v>
      </c>
      <c r="R29" t="s">
        <v>1150</v>
      </c>
    </row>
    <row r="30" spans="1:18" x14ac:dyDescent="0.3">
      <c r="A30" t="s">
        <v>142</v>
      </c>
      <c r="B30" s="6">
        <v>45558</v>
      </c>
      <c r="C30" t="s">
        <v>144</v>
      </c>
      <c r="D30" t="s">
        <v>1116</v>
      </c>
      <c r="E30" t="s">
        <v>145</v>
      </c>
      <c r="F30" t="s">
        <v>900</v>
      </c>
      <c r="G30" t="s">
        <v>45</v>
      </c>
      <c r="H30" t="s">
        <v>1096</v>
      </c>
      <c r="I30" t="s">
        <v>896</v>
      </c>
      <c r="J30" t="s">
        <v>35</v>
      </c>
      <c r="K30">
        <v>2612.71</v>
      </c>
      <c r="L30">
        <v>7</v>
      </c>
      <c r="M30">
        <v>0</v>
      </c>
      <c r="N30">
        <v>18288.97</v>
      </c>
      <c r="O30">
        <v>18288.97</v>
      </c>
      <c r="P30" t="s">
        <v>146</v>
      </c>
      <c r="Q30" t="s">
        <v>17</v>
      </c>
      <c r="R30" t="s">
        <v>1150</v>
      </c>
    </row>
    <row r="31" spans="1:18" x14ac:dyDescent="0.3">
      <c r="A31" t="s">
        <v>147</v>
      </c>
      <c r="B31" s="6">
        <v>45637</v>
      </c>
      <c r="C31" t="s">
        <v>124</v>
      </c>
      <c r="D31" t="s">
        <v>1112</v>
      </c>
      <c r="E31" t="s">
        <v>148</v>
      </c>
      <c r="F31" t="s">
        <v>933</v>
      </c>
      <c r="G31" t="s">
        <v>82</v>
      </c>
      <c r="H31" t="s">
        <v>1076</v>
      </c>
      <c r="I31" t="s">
        <v>931</v>
      </c>
      <c r="J31" t="s">
        <v>22</v>
      </c>
      <c r="K31">
        <v>3576.75</v>
      </c>
      <c r="L31">
        <v>7</v>
      </c>
      <c r="M31">
        <v>0</v>
      </c>
      <c r="N31">
        <v>25037.25</v>
      </c>
      <c r="O31">
        <v>25037.25</v>
      </c>
      <c r="P31" t="s">
        <v>149</v>
      </c>
      <c r="Q31" t="s">
        <v>24</v>
      </c>
      <c r="R31" t="s">
        <v>1150</v>
      </c>
    </row>
    <row r="32" spans="1:18" x14ac:dyDescent="0.3">
      <c r="A32" t="s">
        <v>150</v>
      </c>
      <c r="B32" s="6">
        <v>45773</v>
      </c>
      <c r="C32" t="s">
        <v>152</v>
      </c>
      <c r="D32" t="s">
        <v>944</v>
      </c>
      <c r="E32" t="s">
        <v>153</v>
      </c>
      <c r="F32" t="s">
        <v>916</v>
      </c>
      <c r="G32" t="s">
        <v>21</v>
      </c>
      <c r="H32" t="s">
        <v>1073</v>
      </c>
      <c r="I32" t="s">
        <v>917</v>
      </c>
      <c r="J32" t="s">
        <v>73</v>
      </c>
      <c r="K32">
        <v>2128.4</v>
      </c>
      <c r="L32">
        <v>1</v>
      </c>
      <c r="M32">
        <v>0.15</v>
      </c>
      <c r="N32">
        <v>2128.4</v>
      </c>
      <c r="O32">
        <v>1809.14</v>
      </c>
      <c r="P32" t="s">
        <v>154</v>
      </c>
      <c r="Q32" t="s">
        <v>17</v>
      </c>
      <c r="R32" t="s">
        <v>1150</v>
      </c>
    </row>
    <row r="33" spans="1:18" x14ac:dyDescent="0.3">
      <c r="A33" t="s">
        <v>155</v>
      </c>
      <c r="B33" s="6">
        <v>45521</v>
      </c>
      <c r="C33" t="s">
        <v>157</v>
      </c>
      <c r="D33" t="s">
        <v>1117</v>
      </c>
      <c r="E33" t="s">
        <v>40</v>
      </c>
      <c r="F33" t="s">
        <v>928</v>
      </c>
      <c r="G33" t="s">
        <v>14</v>
      </c>
      <c r="H33" t="s">
        <v>1080</v>
      </c>
      <c r="I33" t="s">
        <v>924</v>
      </c>
      <c r="J33" t="s">
        <v>73</v>
      </c>
      <c r="K33">
        <v>136.91</v>
      </c>
      <c r="L33">
        <v>2</v>
      </c>
      <c r="M33">
        <v>0.2</v>
      </c>
      <c r="N33">
        <v>273.82</v>
      </c>
      <c r="O33">
        <v>219.05600000000001</v>
      </c>
      <c r="P33" t="s">
        <v>158</v>
      </c>
      <c r="Q33" t="s">
        <v>60</v>
      </c>
      <c r="R33" t="s">
        <v>1150</v>
      </c>
    </row>
    <row r="34" spans="1:18" x14ac:dyDescent="0.3">
      <c r="A34" t="s">
        <v>159</v>
      </c>
      <c r="B34" s="6">
        <v>45496</v>
      </c>
      <c r="C34" t="s">
        <v>160</v>
      </c>
      <c r="D34" t="s">
        <v>1118</v>
      </c>
      <c r="E34" t="s">
        <v>161</v>
      </c>
      <c r="F34" t="s">
        <v>905</v>
      </c>
      <c r="G34" t="s">
        <v>34</v>
      </c>
      <c r="H34" t="s">
        <v>1078</v>
      </c>
      <c r="I34" t="s">
        <v>903</v>
      </c>
      <c r="J34" t="s">
        <v>15</v>
      </c>
      <c r="K34">
        <v>1513.99</v>
      </c>
      <c r="L34">
        <v>1</v>
      </c>
      <c r="M34">
        <v>0.1</v>
      </c>
      <c r="N34">
        <v>1513.99</v>
      </c>
      <c r="O34">
        <v>1362.5910000000001</v>
      </c>
      <c r="P34" t="s">
        <v>162</v>
      </c>
      <c r="Q34" t="s">
        <v>60</v>
      </c>
      <c r="R34" t="s">
        <v>1150</v>
      </c>
    </row>
    <row r="35" spans="1:18" x14ac:dyDescent="0.3">
      <c r="A35" t="s">
        <v>163</v>
      </c>
      <c r="B35" s="6">
        <v>45776</v>
      </c>
      <c r="C35" t="s">
        <v>134</v>
      </c>
      <c r="D35" t="s">
        <v>1047</v>
      </c>
      <c r="E35" t="s">
        <v>164</v>
      </c>
      <c r="F35" t="s">
        <v>922</v>
      </c>
      <c r="G35" t="s">
        <v>14</v>
      </c>
      <c r="H35" t="s">
        <v>1080</v>
      </c>
      <c r="I35" t="s">
        <v>917</v>
      </c>
      <c r="J35" t="s">
        <v>35</v>
      </c>
      <c r="K35">
        <v>2489.91</v>
      </c>
      <c r="L35">
        <v>2</v>
      </c>
      <c r="M35">
        <v>0.1</v>
      </c>
      <c r="N35">
        <v>4979.82</v>
      </c>
      <c r="O35">
        <v>4481.8379999999997</v>
      </c>
      <c r="P35" t="s">
        <v>165</v>
      </c>
      <c r="Q35" t="s">
        <v>17</v>
      </c>
      <c r="R35" t="s">
        <v>1150</v>
      </c>
    </row>
    <row r="36" spans="1:18" x14ac:dyDescent="0.3">
      <c r="A36" t="s">
        <v>166</v>
      </c>
      <c r="B36" s="6">
        <v>45669</v>
      </c>
      <c r="C36" t="s">
        <v>168</v>
      </c>
      <c r="D36" t="s">
        <v>1119</v>
      </c>
      <c r="E36" t="s">
        <v>77</v>
      </c>
      <c r="F36" t="s">
        <v>884</v>
      </c>
      <c r="G36" t="s">
        <v>21</v>
      </c>
      <c r="H36" t="s">
        <v>1073</v>
      </c>
      <c r="I36" t="s">
        <v>882</v>
      </c>
      <c r="J36" t="s">
        <v>73</v>
      </c>
      <c r="K36">
        <v>3550.89</v>
      </c>
      <c r="L36">
        <v>3</v>
      </c>
      <c r="M36">
        <v>0.1</v>
      </c>
      <c r="N36">
        <v>10652.67</v>
      </c>
      <c r="O36">
        <v>9587.4030000000002</v>
      </c>
      <c r="P36" t="s">
        <v>169</v>
      </c>
      <c r="Q36" t="s">
        <v>60</v>
      </c>
      <c r="R36" t="s">
        <v>1150</v>
      </c>
    </row>
    <row r="37" spans="1:18" x14ac:dyDescent="0.3">
      <c r="A37" t="s">
        <v>170</v>
      </c>
      <c r="B37" s="6">
        <v>45610</v>
      </c>
      <c r="C37" t="s">
        <v>171</v>
      </c>
      <c r="D37" t="s">
        <v>1010</v>
      </c>
      <c r="E37" t="s">
        <v>172</v>
      </c>
      <c r="F37" t="s">
        <v>898</v>
      </c>
      <c r="G37" t="s">
        <v>45</v>
      </c>
      <c r="H37" t="s">
        <v>1096</v>
      </c>
      <c r="I37" t="s">
        <v>896</v>
      </c>
      <c r="J37" t="s">
        <v>22</v>
      </c>
      <c r="K37">
        <v>2849.53</v>
      </c>
      <c r="L37">
        <v>2</v>
      </c>
      <c r="M37">
        <v>0.1</v>
      </c>
      <c r="N37">
        <v>5699.06</v>
      </c>
      <c r="O37">
        <v>5129.1540000000005</v>
      </c>
      <c r="P37" t="s">
        <v>173</v>
      </c>
      <c r="Q37" t="s">
        <v>42</v>
      </c>
      <c r="R37" t="s">
        <v>1150</v>
      </c>
    </row>
    <row r="38" spans="1:18" x14ac:dyDescent="0.3">
      <c r="A38" t="s">
        <v>174</v>
      </c>
      <c r="B38" s="6">
        <v>45676</v>
      </c>
      <c r="C38" t="s">
        <v>176</v>
      </c>
      <c r="D38" t="s">
        <v>1120</v>
      </c>
      <c r="E38" t="s">
        <v>161</v>
      </c>
      <c r="F38" t="s">
        <v>905</v>
      </c>
      <c r="G38" t="s">
        <v>82</v>
      </c>
      <c r="H38" t="s">
        <v>1076</v>
      </c>
      <c r="I38" t="s">
        <v>903</v>
      </c>
      <c r="J38" t="s">
        <v>73</v>
      </c>
      <c r="K38">
        <v>1513.99</v>
      </c>
      <c r="L38">
        <v>7</v>
      </c>
      <c r="M38">
        <v>0.15</v>
      </c>
      <c r="N38">
        <v>10597.93</v>
      </c>
      <c r="O38">
        <v>9008.2404999999999</v>
      </c>
      <c r="P38" t="s">
        <v>177</v>
      </c>
      <c r="Q38" t="s">
        <v>42</v>
      </c>
      <c r="R38" t="s">
        <v>1150</v>
      </c>
    </row>
    <row r="39" spans="1:18" x14ac:dyDescent="0.3">
      <c r="A39" t="s">
        <v>178</v>
      </c>
      <c r="B39" s="6">
        <v>45540</v>
      </c>
      <c r="C39" t="s">
        <v>180</v>
      </c>
      <c r="D39" t="s">
        <v>1121</v>
      </c>
      <c r="E39" t="s">
        <v>148</v>
      </c>
      <c r="F39" t="s">
        <v>933</v>
      </c>
      <c r="G39" t="s">
        <v>82</v>
      </c>
      <c r="H39" t="s">
        <v>1076</v>
      </c>
      <c r="I39" t="s">
        <v>931</v>
      </c>
      <c r="J39" t="s">
        <v>73</v>
      </c>
      <c r="K39">
        <v>3576.75</v>
      </c>
      <c r="L39">
        <v>2</v>
      </c>
      <c r="M39">
        <v>0.15</v>
      </c>
      <c r="N39">
        <v>7153.5</v>
      </c>
      <c r="O39">
        <v>6080.4749999999995</v>
      </c>
      <c r="P39" t="s">
        <v>93</v>
      </c>
      <c r="Q39" t="s">
        <v>42</v>
      </c>
      <c r="R39" t="s">
        <v>1150</v>
      </c>
    </row>
    <row r="40" spans="1:18" x14ac:dyDescent="0.3">
      <c r="A40" t="s">
        <v>181</v>
      </c>
      <c r="B40" s="6">
        <v>45334</v>
      </c>
      <c r="C40" t="s">
        <v>160</v>
      </c>
      <c r="D40" t="s">
        <v>1118</v>
      </c>
      <c r="E40" t="s">
        <v>164</v>
      </c>
      <c r="F40" t="s">
        <v>922</v>
      </c>
      <c r="G40" t="s">
        <v>21</v>
      </c>
      <c r="H40" t="s">
        <v>1073</v>
      </c>
      <c r="I40" t="s">
        <v>917</v>
      </c>
      <c r="J40" t="s">
        <v>22</v>
      </c>
      <c r="K40">
        <v>2489.91</v>
      </c>
      <c r="L40">
        <v>6</v>
      </c>
      <c r="M40">
        <v>0.1</v>
      </c>
      <c r="N40">
        <v>14939.46</v>
      </c>
      <c r="O40">
        <v>13445.513999999999</v>
      </c>
      <c r="P40" t="s">
        <v>182</v>
      </c>
      <c r="Q40" t="s">
        <v>24</v>
      </c>
      <c r="R40" t="s">
        <v>1150</v>
      </c>
    </row>
    <row r="41" spans="1:18" x14ac:dyDescent="0.3">
      <c r="A41" t="s">
        <v>183</v>
      </c>
      <c r="B41" s="6">
        <v>45810</v>
      </c>
      <c r="C41" t="s">
        <v>39</v>
      </c>
      <c r="D41" t="s">
        <v>990</v>
      </c>
      <c r="E41" t="s">
        <v>33</v>
      </c>
      <c r="F41" t="s">
        <v>932</v>
      </c>
      <c r="G41" t="s">
        <v>14</v>
      </c>
      <c r="H41" t="s">
        <v>1080</v>
      </c>
      <c r="I41" t="s">
        <v>931</v>
      </c>
      <c r="J41" t="s">
        <v>35</v>
      </c>
      <c r="K41">
        <v>620.89</v>
      </c>
      <c r="L41">
        <v>6</v>
      </c>
      <c r="M41">
        <v>0</v>
      </c>
      <c r="N41">
        <v>3725.34</v>
      </c>
      <c r="O41">
        <v>3725.34</v>
      </c>
      <c r="P41" t="s">
        <v>184</v>
      </c>
      <c r="Q41" t="s">
        <v>24</v>
      </c>
      <c r="R41" t="s">
        <v>1150</v>
      </c>
    </row>
    <row r="42" spans="1:18" x14ac:dyDescent="0.3">
      <c r="A42" t="s">
        <v>185</v>
      </c>
      <c r="B42" s="6">
        <v>45735</v>
      </c>
      <c r="C42" t="s">
        <v>187</v>
      </c>
      <c r="D42" t="s">
        <v>1122</v>
      </c>
      <c r="E42" t="s">
        <v>130</v>
      </c>
      <c r="F42" t="s">
        <v>912</v>
      </c>
      <c r="G42" t="s">
        <v>34</v>
      </c>
      <c r="H42" t="s">
        <v>1078</v>
      </c>
      <c r="I42" t="s">
        <v>910</v>
      </c>
      <c r="J42" t="s">
        <v>15</v>
      </c>
      <c r="K42">
        <v>3128.51</v>
      </c>
      <c r="L42">
        <v>6</v>
      </c>
      <c r="M42">
        <v>0.15</v>
      </c>
      <c r="N42">
        <v>18771.060000000001</v>
      </c>
      <c r="O42">
        <v>15955.401</v>
      </c>
      <c r="P42" t="s">
        <v>188</v>
      </c>
      <c r="Q42" t="s">
        <v>30</v>
      </c>
      <c r="R42" t="s">
        <v>1150</v>
      </c>
    </row>
    <row r="43" spans="1:18" x14ac:dyDescent="0.3">
      <c r="A43" t="s">
        <v>189</v>
      </c>
      <c r="B43" s="6">
        <v>45472</v>
      </c>
      <c r="C43" t="s">
        <v>190</v>
      </c>
      <c r="D43" t="s">
        <v>1119</v>
      </c>
      <c r="E43" t="s">
        <v>164</v>
      </c>
      <c r="F43" t="s">
        <v>922</v>
      </c>
      <c r="G43" t="s">
        <v>14</v>
      </c>
      <c r="H43" t="s">
        <v>1080</v>
      </c>
      <c r="I43" t="s">
        <v>917</v>
      </c>
      <c r="J43" t="s">
        <v>35</v>
      </c>
      <c r="K43">
        <v>2489.91</v>
      </c>
      <c r="L43">
        <v>9</v>
      </c>
      <c r="M43">
        <v>0.15</v>
      </c>
      <c r="N43">
        <v>22409.19</v>
      </c>
      <c r="O43">
        <v>19047.8115</v>
      </c>
      <c r="P43" t="s">
        <v>191</v>
      </c>
      <c r="Q43" t="s">
        <v>30</v>
      </c>
      <c r="R43" t="s">
        <v>1150</v>
      </c>
    </row>
    <row r="44" spans="1:18" x14ac:dyDescent="0.3">
      <c r="A44" t="s">
        <v>192</v>
      </c>
      <c r="B44" s="6">
        <v>45738</v>
      </c>
      <c r="C44" t="s">
        <v>187</v>
      </c>
      <c r="D44" t="s">
        <v>1122</v>
      </c>
      <c r="E44" t="s">
        <v>172</v>
      </c>
      <c r="F44" t="s">
        <v>898</v>
      </c>
      <c r="G44" t="s">
        <v>34</v>
      </c>
      <c r="H44" t="s">
        <v>1078</v>
      </c>
      <c r="I44" t="s">
        <v>896</v>
      </c>
      <c r="J44" t="s">
        <v>15</v>
      </c>
      <c r="K44">
        <v>2849.53</v>
      </c>
      <c r="L44">
        <v>10</v>
      </c>
      <c r="M44">
        <v>0</v>
      </c>
      <c r="N44">
        <v>28495.300000000003</v>
      </c>
      <c r="O44">
        <v>28495.300000000003</v>
      </c>
      <c r="P44" t="s">
        <v>193</v>
      </c>
      <c r="Q44" t="s">
        <v>24</v>
      </c>
      <c r="R44" t="s">
        <v>1150</v>
      </c>
    </row>
    <row r="45" spans="1:18" x14ac:dyDescent="0.3">
      <c r="A45" t="s">
        <v>194</v>
      </c>
      <c r="B45" s="6">
        <v>45577</v>
      </c>
      <c r="C45" t="s">
        <v>144</v>
      </c>
      <c r="D45" t="s">
        <v>1116</v>
      </c>
      <c r="E45" t="s">
        <v>196</v>
      </c>
      <c r="F45" t="s">
        <v>885</v>
      </c>
      <c r="G45" t="s">
        <v>82</v>
      </c>
      <c r="H45" t="s">
        <v>1076</v>
      </c>
      <c r="I45" t="s">
        <v>882</v>
      </c>
      <c r="J45" t="s">
        <v>35</v>
      </c>
      <c r="K45">
        <v>2184.5100000000002</v>
      </c>
      <c r="L45">
        <v>8</v>
      </c>
      <c r="M45">
        <v>0</v>
      </c>
      <c r="N45">
        <v>17476.080000000002</v>
      </c>
      <c r="O45">
        <v>17476.080000000002</v>
      </c>
      <c r="P45" t="s">
        <v>197</v>
      </c>
      <c r="Q45" t="s">
        <v>17</v>
      </c>
      <c r="R45" t="s">
        <v>1150</v>
      </c>
    </row>
    <row r="46" spans="1:18" x14ac:dyDescent="0.3">
      <c r="A46" t="s">
        <v>198</v>
      </c>
      <c r="B46" s="6">
        <v>45321</v>
      </c>
      <c r="C46" t="s">
        <v>199</v>
      </c>
      <c r="D46" t="s">
        <v>1123</v>
      </c>
      <c r="E46" t="s">
        <v>81</v>
      </c>
      <c r="F46" t="s">
        <v>886</v>
      </c>
      <c r="G46" t="s">
        <v>45</v>
      </c>
      <c r="H46" t="s">
        <v>1096</v>
      </c>
      <c r="I46" t="s">
        <v>882</v>
      </c>
      <c r="J46" t="s">
        <v>15</v>
      </c>
      <c r="K46">
        <v>1044.7</v>
      </c>
      <c r="L46">
        <v>8</v>
      </c>
      <c r="M46">
        <v>0.2</v>
      </c>
      <c r="N46">
        <v>8357.6</v>
      </c>
      <c r="O46">
        <v>6686.0800000000008</v>
      </c>
      <c r="P46" t="s">
        <v>200</v>
      </c>
      <c r="Q46" t="s">
        <v>30</v>
      </c>
      <c r="R46" t="s">
        <v>1150</v>
      </c>
    </row>
    <row r="47" spans="1:18" x14ac:dyDescent="0.3">
      <c r="A47" t="s">
        <v>201</v>
      </c>
      <c r="B47" s="6">
        <v>45509</v>
      </c>
      <c r="C47" t="s">
        <v>202</v>
      </c>
      <c r="D47" t="s">
        <v>1124</v>
      </c>
      <c r="E47" t="s">
        <v>67</v>
      </c>
      <c r="F47" t="s">
        <v>925</v>
      </c>
      <c r="G47" t="s">
        <v>34</v>
      </c>
      <c r="H47" t="s">
        <v>1078</v>
      </c>
      <c r="I47" t="s">
        <v>924</v>
      </c>
      <c r="J47" t="s">
        <v>22</v>
      </c>
      <c r="K47">
        <v>3205.14</v>
      </c>
      <c r="L47">
        <v>6</v>
      </c>
      <c r="M47">
        <v>0.2</v>
      </c>
      <c r="N47">
        <v>19230.84</v>
      </c>
      <c r="O47">
        <v>15384.672</v>
      </c>
      <c r="P47" t="s">
        <v>203</v>
      </c>
      <c r="Q47" t="s">
        <v>17</v>
      </c>
      <c r="R47" t="s">
        <v>1150</v>
      </c>
    </row>
    <row r="48" spans="1:18" x14ac:dyDescent="0.3">
      <c r="A48" t="s">
        <v>204</v>
      </c>
      <c r="B48" s="6">
        <v>45574</v>
      </c>
      <c r="C48" t="s">
        <v>134</v>
      </c>
      <c r="D48" t="s">
        <v>1047</v>
      </c>
      <c r="E48" t="s">
        <v>206</v>
      </c>
      <c r="F48" t="s">
        <v>887</v>
      </c>
      <c r="G48" t="s">
        <v>34</v>
      </c>
      <c r="H48" t="s">
        <v>1078</v>
      </c>
      <c r="I48" t="s">
        <v>882</v>
      </c>
      <c r="J48" t="s">
        <v>15</v>
      </c>
      <c r="K48">
        <v>2779.58</v>
      </c>
      <c r="L48">
        <v>9</v>
      </c>
      <c r="M48">
        <v>0</v>
      </c>
      <c r="N48">
        <v>25016.22</v>
      </c>
      <c r="O48">
        <v>25016.22</v>
      </c>
      <c r="P48" t="s">
        <v>207</v>
      </c>
      <c r="Q48" t="s">
        <v>24</v>
      </c>
      <c r="R48" t="s">
        <v>1150</v>
      </c>
    </row>
    <row r="49" spans="1:18" x14ac:dyDescent="0.3">
      <c r="A49" t="s">
        <v>208</v>
      </c>
      <c r="B49" s="6">
        <v>45539</v>
      </c>
      <c r="C49" t="s">
        <v>209</v>
      </c>
      <c r="D49" t="s">
        <v>966</v>
      </c>
      <c r="E49" t="s">
        <v>210</v>
      </c>
      <c r="F49" t="s">
        <v>914</v>
      </c>
      <c r="G49" t="s">
        <v>45</v>
      </c>
      <c r="H49" t="s">
        <v>1096</v>
      </c>
      <c r="I49" t="s">
        <v>910</v>
      </c>
      <c r="J49" t="s">
        <v>15</v>
      </c>
      <c r="K49">
        <v>1187.29</v>
      </c>
      <c r="L49">
        <v>7</v>
      </c>
      <c r="M49">
        <v>0.05</v>
      </c>
      <c r="N49">
        <v>8311.0299999999988</v>
      </c>
      <c r="O49">
        <v>7895.4784999999983</v>
      </c>
      <c r="P49" t="s">
        <v>211</v>
      </c>
      <c r="Q49" t="s">
        <v>30</v>
      </c>
      <c r="R49" t="s">
        <v>1150</v>
      </c>
    </row>
    <row r="50" spans="1:18" x14ac:dyDescent="0.3">
      <c r="A50" t="s">
        <v>212</v>
      </c>
      <c r="B50" s="6">
        <v>45794</v>
      </c>
      <c r="C50" t="s">
        <v>214</v>
      </c>
      <c r="D50" t="s">
        <v>1125</v>
      </c>
      <c r="E50" t="s">
        <v>40</v>
      </c>
      <c r="F50" t="s">
        <v>928</v>
      </c>
      <c r="G50" t="s">
        <v>14</v>
      </c>
      <c r="H50" t="s">
        <v>1080</v>
      </c>
      <c r="I50" t="s">
        <v>924</v>
      </c>
      <c r="J50" t="s">
        <v>73</v>
      </c>
      <c r="K50">
        <v>136.91</v>
      </c>
      <c r="L50">
        <v>8</v>
      </c>
      <c r="M50">
        <v>0.2</v>
      </c>
      <c r="N50">
        <v>1095.28</v>
      </c>
      <c r="O50">
        <v>876.22400000000005</v>
      </c>
      <c r="P50" t="s">
        <v>215</v>
      </c>
      <c r="Q50" t="s">
        <v>17</v>
      </c>
      <c r="R50" t="s">
        <v>1150</v>
      </c>
    </row>
    <row r="51" spans="1:18" x14ac:dyDescent="0.3">
      <c r="A51" t="s">
        <v>216</v>
      </c>
      <c r="B51" s="6">
        <v>45518</v>
      </c>
      <c r="C51" t="s">
        <v>218</v>
      </c>
      <c r="D51" t="s">
        <v>1003</v>
      </c>
      <c r="E51" t="s">
        <v>94</v>
      </c>
      <c r="F51" t="s">
        <v>935</v>
      </c>
      <c r="G51" t="s">
        <v>82</v>
      </c>
      <c r="H51" t="s">
        <v>1076</v>
      </c>
      <c r="I51" t="s">
        <v>931</v>
      </c>
      <c r="J51" t="s">
        <v>22</v>
      </c>
      <c r="K51">
        <v>3610.44</v>
      </c>
      <c r="L51">
        <v>7</v>
      </c>
      <c r="M51">
        <v>0.15</v>
      </c>
      <c r="N51">
        <v>25273.08</v>
      </c>
      <c r="O51">
        <v>21482.118000000002</v>
      </c>
      <c r="P51" t="s">
        <v>158</v>
      </c>
      <c r="Q51" t="s">
        <v>42</v>
      </c>
      <c r="R51" t="s">
        <v>1150</v>
      </c>
    </row>
    <row r="52" spans="1:18" x14ac:dyDescent="0.3">
      <c r="A52" t="s">
        <v>219</v>
      </c>
      <c r="B52" s="6">
        <v>45669</v>
      </c>
      <c r="C52" t="s">
        <v>39</v>
      </c>
      <c r="D52" t="s">
        <v>990</v>
      </c>
      <c r="E52" t="s">
        <v>196</v>
      </c>
      <c r="F52" t="s">
        <v>885</v>
      </c>
      <c r="G52" t="s">
        <v>14</v>
      </c>
      <c r="H52" t="s">
        <v>1080</v>
      </c>
      <c r="I52" t="s">
        <v>882</v>
      </c>
      <c r="J52" t="s">
        <v>22</v>
      </c>
      <c r="K52">
        <v>2184.5100000000002</v>
      </c>
      <c r="L52">
        <v>8</v>
      </c>
      <c r="M52">
        <v>0.1</v>
      </c>
      <c r="N52">
        <v>17476.080000000002</v>
      </c>
      <c r="O52">
        <v>15728.472000000002</v>
      </c>
      <c r="P52" t="s">
        <v>220</v>
      </c>
      <c r="Q52" t="s">
        <v>30</v>
      </c>
      <c r="R52" t="s">
        <v>1150</v>
      </c>
    </row>
    <row r="53" spans="1:18" x14ac:dyDescent="0.3">
      <c r="A53" t="s">
        <v>221</v>
      </c>
      <c r="B53" s="6">
        <v>45630</v>
      </c>
      <c r="C53" t="s">
        <v>160</v>
      </c>
      <c r="D53" t="s">
        <v>1118</v>
      </c>
      <c r="E53" t="s">
        <v>99</v>
      </c>
      <c r="F53" t="s">
        <v>881</v>
      </c>
      <c r="G53" t="s">
        <v>21</v>
      </c>
      <c r="H53" t="s">
        <v>1073</v>
      </c>
      <c r="I53" t="s">
        <v>882</v>
      </c>
      <c r="J53" t="s">
        <v>22</v>
      </c>
      <c r="K53">
        <v>2352.63</v>
      </c>
      <c r="L53">
        <v>6</v>
      </c>
      <c r="M53">
        <v>0.15</v>
      </c>
      <c r="N53">
        <v>14115.78</v>
      </c>
      <c r="O53">
        <v>11998.413</v>
      </c>
      <c r="P53" t="s">
        <v>223</v>
      </c>
      <c r="Q53" t="s">
        <v>17</v>
      </c>
      <c r="R53" t="s">
        <v>1150</v>
      </c>
    </row>
    <row r="54" spans="1:18" x14ac:dyDescent="0.3">
      <c r="A54" t="s">
        <v>224</v>
      </c>
      <c r="B54" s="6">
        <v>45549</v>
      </c>
      <c r="C54" t="s">
        <v>129</v>
      </c>
      <c r="D54" t="s">
        <v>1113</v>
      </c>
      <c r="E54" t="s">
        <v>226</v>
      </c>
      <c r="F54" t="s">
        <v>904</v>
      </c>
      <c r="G54" t="s">
        <v>21</v>
      </c>
      <c r="H54" t="s">
        <v>1073</v>
      </c>
      <c r="I54" t="s">
        <v>903</v>
      </c>
      <c r="J54" t="s">
        <v>22</v>
      </c>
      <c r="K54">
        <v>2359.5</v>
      </c>
      <c r="L54">
        <v>4</v>
      </c>
      <c r="M54">
        <v>0</v>
      </c>
      <c r="N54">
        <v>9438</v>
      </c>
      <c r="O54">
        <v>9438</v>
      </c>
      <c r="P54" t="s">
        <v>227</v>
      </c>
      <c r="Q54" t="s">
        <v>24</v>
      </c>
      <c r="R54" t="s">
        <v>1150</v>
      </c>
    </row>
    <row r="55" spans="1:18" x14ac:dyDescent="0.3">
      <c r="A55" t="s">
        <v>228</v>
      </c>
      <c r="B55" s="6">
        <v>45481</v>
      </c>
      <c r="C55" t="s">
        <v>229</v>
      </c>
      <c r="D55" t="s">
        <v>1126</v>
      </c>
      <c r="E55" t="s">
        <v>111</v>
      </c>
      <c r="F55" t="s">
        <v>929</v>
      </c>
      <c r="G55" t="s">
        <v>14</v>
      </c>
      <c r="H55" t="s">
        <v>1080</v>
      </c>
      <c r="I55" t="s">
        <v>924</v>
      </c>
      <c r="J55" t="s">
        <v>22</v>
      </c>
      <c r="K55">
        <v>4390.62</v>
      </c>
      <c r="L55">
        <v>4</v>
      </c>
      <c r="M55">
        <v>0</v>
      </c>
      <c r="N55">
        <v>17562.48</v>
      </c>
      <c r="O55">
        <v>17562.48</v>
      </c>
      <c r="P55" t="s">
        <v>230</v>
      </c>
      <c r="Q55" t="s">
        <v>42</v>
      </c>
      <c r="R55" t="s">
        <v>1150</v>
      </c>
    </row>
    <row r="56" spans="1:18" x14ac:dyDescent="0.3">
      <c r="A56" t="s">
        <v>231</v>
      </c>
      <c r="B56" s="6">
        <v>45829</v>
      </c>
      <c r="C56" t="s">
        <v>115</v>
      </c>
      <c r="D56" t="s">
        <v>996</v>
      </c>
      <c r="E56" t="s">
        <v>77</v>
      </c>
      <c r="F56" t="s">
        <v>884</v>
      </c>
      <c r="G56" t="s">
        <v>82</v>
      </c>
      <c r="H56" t="s">
        <v>1076</v>
      </c>
      <c r="I56" t="s">
        <v>882</v>
      </c>
      <c r="J56" t="s">
        <v>15</v>
      </c>
      <c r="K56">
        <v>3550.89</v>
      </c>
      <c r="L56">
        <v>10</v>
      </c>
      <c r="M56">
        <v>0</v>
      </c>
      <c r="N56">
        <v>35508.9</v>
      </c>
      <c r="O56">
        <v>35508.9</v>
      </c>
      <c r="P56" t="s">
        <v>232</v>
      </c>
      <c r="Q56" t="s">
        <v>17</v>
      </c>
      <c r="R56" t="s">
        <v>1150</v>
      </c>
    </row>
    <row r="57" spans="1:18" x14ac:dyDescent="0.3">
      <c r="A57" t="s">
        <v>233</v>
      </c>
      <c r="B57" s="6">
        <v>45524</v>
      </c>
      <c r="C57" t="s">
        <v>234</v>
      </c>
      <c r="D57" t="s">
        <v>1127</v>
      </c>
      <c r="E57" t="s">
        <v>121</v>
      </c>
      <c r="F57" t="s">
        <v>906</v>
      </c>
      <c r="G57" t="s">
        <v>82</v>
      </c>
      <c r="H57" t="s">
        <v>1076</v>
      </c>
      <c r="I57" t="s">
        <v>903</v>
      </c>
      <c r="J57" t="s">
        <v>73</v>
      </c>
      <c r="K57">
        <v>3414.07</v>
      </c>
      <c r="L57">
        <v>6</v>
      </c>
      <c r="M57">
        <v>0</v>
      </c>
      <c r="N57">
        <v>20484.420000000002</v>
      </c>
      <c r="O57">
        <v>20484.420000000002</v>
      </c>
      <c r="P57" t="s">
        <v>235</v>
      </c>
      <c r="Q57" t="s">
        <v>42</v>
      </c>
      <c r="R57" t="s">
        <v>1150</v>
      </c>
    </row>
    <row r="58" spans="1:18" x14ac:dyDescent="0.3">
      <c r="A58" t="s">
        <v>236</v>
      </c>
      <c r="B58" s="6">
        <v>45421</v>
      </c>
      <c r="C58" t="s">
        <v>120</v>
      </c>
      <c r="D58" t="s">
        <v>993</v>
      </c>
      <c r="E58" t="s">
        <v>106</v>
      </c>
      <c r="F58" t="s">
        <v>894</v>
      </c>
      <c r="G58" t="s">
        <v>14</v>
      </c>
      <c r="H58" t="s">
        <v>1080</v>
      </c>
      <c r="I58" t="s">
        <v>889</v>
      </c>
      <c r="J58" t="s">
        <v>22</v>
      </c>
      <c r="K58">
        <v>1559.65</v>
      </c>
      <c r="L58">
        <v>5</v>
      </c>
      <c r="M58">
        <v>0</v>
      </c>
      <c r="N58">
        <v>7798.25</v>
      </c>
      <c r="O58">
        <v>7798.25</v>
      </c>
      <c r="P58" t="s">
        <v>238</v>
      </c>
      <c r="Q58" t="s">
        <v>60</v>
      </c>
      <c r="R58" t="s">
        <v>1150</v>
      </c>
    </row>
    <row r="59" spans="1:18" x14ac:dyDescent="0.3">
      <c r="A59" t="s">
        <v>239</v>
      </c>
      <c r="B59" s="6">
        <v>45794</v>
      </c>
      <c r="C59" t="s">
        <v>102</v>
      </c>
      <c r="D59" t="s">
        <v>1111</v>
      </c>
      <c r="E59" t="s">
        <v>240</v>
      </c>
      <c r="F59" t="s">
        <v>920</v>
      </c>
      <c r="G59" t="s">
        <v>21</v>
      </c>
      <c r="H59" t="s">
        <v>1073</v>
      </c>
      <c r="I59" t="s">
        <v>917</v>
      </c>
      <c r="J59" t="s">
        <v>22</v>
      </c>
      <c r="K59">
        <v>2036.67</v>
      </c>
      <c r="L59">
        <v>2</v>
      </c>
      <c r="M59">
        <v>0.2</v>
      </c>
      <c r="N59">
        <v>4073.34</v>
      </c>
      <c r="O59">
        <v>3258.6720000000005</v>
      </c>
      <c r="P59" t="s">
        <v>215</v>
      </c>
      <c r="Q59" t="s">
        <v>30</v>
      </c>
      <c r="R59" t="s">
        <v>1150</v>
      </c>
    </row>
    <row r="60" spans="1:18" x14ac:dyDescent="0.3">
      <c r="A60" t="s">
        <v>241</v>
      </c>
      <c r="B60" s="6">
        <v>45782</v>
      </c>
      <c r="C60" t="s">
        <v>98</v>
      </c>
      <c r="D60" t="s">
        <v>1110</v>
      </c>
      <c r="E60" t="s">
        <v>40</v>
      </c>
      <c r="F60" t="s">
        <v>928</v>
      </c>
      <c r="G60" t="s">
        <v>14</v>
      </c>
      <c r="H60" t="s">
        <v>1080</v>
      </c>
      <c r="I60" t="s">
        <v>924</v>
      </c>
      <c r="J60" t="s">
        <v>73</v>
      </c>
      <c r="K60">
        <v>136.91</v>
      </c>
      <c r="L60">
        <v>8</v>
      </c>
      <c r="M60">
        <v>0</v>
      </c>
      <c r="N60">
        <v>1095.28</v>
      </c>
      <c r="O60">
        <v>1095.28</v>
      </c>
      <c r="P60" t="s">
        <v>242</v>
      </c>
      <c r="Q60" t="s">
        <v>17</v>
      </c>
      <c r="R60" t="s">
        <v>1150</v>
      </c>
    </row>
    <row r="61" spans="1:18" x14ac:dyDescent="0.3">
      <c r="A61" t="s">
        <v>243</v>
      </c>
      <c r="B61" s="6">
        <v>45781</v>
      </c>
      <c r="C61" t="s">
        <v>245</v>
      </c>
      <c r="D61" t="s">
        <v>1128</v>
      </c>
      <c r="E61" t="s">
        <v>13</v>
      </c>
      <c r="F61" t="s">
        <v>913</v>
      </c>
      <c r="G61" t="s">
        <v>82</v>
      </c>
      <c r="H61" t="s">
        <v>1076</v>
      </c>
      <c r="I61" t="s">
        <v>910</v>
      </c>
      <c r="J61" t="s">
        <v>35</v>
      </c>
      <c r="K61">
        <v>3493.54</v>
      </c>
      <c r="L61">
        <v>2</v>
      </c>
      <c r="M61">
        <v>0.2</v>
      </c>
      <c r="N61">
        <v>6987.08</v>
      </c>
      <c r="O61">
        <v>5589.6640000000007</v>
      </c>
      <c r="P61" t="s">
        <v>246</v>
      </c>
      <c r="Q61" t="s">
        <v>30</v>
      </c>
      <c r="R61" t="s">
        <v>1150</v>
      </c>
    </row>
    <row r="62" spans="1:18" x14ac:dyDescent="0.3">
      <c r="A62" t="s">
        <v>247</v>
      </c>
      <c r="B62" s="6">
        <v>45367</v>
      </c>
      <c r="C62" t="s">
        <v>58</v>
      </c>
      <c r="D62" t="s">
        <v>1014</v>
      </c>
      <c r="E62" t="s">
        <v>249</v>
      </c>
      <c r="F62" t="s">
        <v>893</v>
      </c>
      <c r="G62" t="s">
        <v>21</v>
      </c>
      <c r="H62" t="s">
        <v>1073</v>
      </c>
      <c r="I62" t="s">
        <v>889</v>
      </c>
      <c r="J62" t="s">
        <v>15</v>
      </c>
      <c r="K62">
        <v>1309.58</v>
      </c>
      <c r="L62">
        <v>10</v>
      </c>
      <c r="M62">
        <v>0.15</v>
      </c>
      <c r="N62">
        <v>13095.8</v>
      </c>
      <c r="O62">
        <v>11131.429999999998</v>
      </c>
      <c r="P62" t="s">
        <v>250</v>
      </c>
      <c r="Q62" t="s">
        <v>60</v>
      </c>
      <c r="R62" t="s">
        <v>1150</v>
      </c>
    </row>
    <row r="63" spans="1:18" x14ac:dyDescent="0.3">
      <c r="A63" t="s">
        <v>251</v>
      </c>
      <c r="B63" s="6">
        <v>45603</v>
      </c>
      <c r="C63" t="s">
        <v>253</v>
      </c>
      <c r="D63" t="s">
        <v>1044</v>
      </c>
      <c r="E63" t="s">
        <v>254</v>
      </c>
      <c r="F63" t="s">
        <v>918</v>
      </c>
      <c r="G63" t="s">
        <v>21</v>
      </c>
      <c r="H63" t="s">
        <v>1073</v>
      </c>
      <c r="I63" t="s">
        <v>917</v>
      </c>
      <c r="J63" t="s">
        <v>35</v>
      </c>
      <c r="K63">
        <v>605.26</v>
      </c>
      <c r="L63">
        <v>2</v>
      </c>
      <c r="M63">
        <v>0</v>
      </c>
      <c r="N63">
        <v>1210.52</v>
      </c>
      <c r="O63">
        <v>1210.52</v>
      </c>
      <c r="P63" t="s">
        <v>255</v>
      </c>
      <c r="Q63" t="s">
        <v>42</v>
      </c>
      <c r="R63" t="s">
        <v>1150</v>
      </c>
    </row>
    <row r="64" spans="1:18" x14ac:dyDescent="0.3">
      <c r="A64" t="s">
        <v>256</v>
      </c>
      <c r="B64" s="6">
        <v>45523</v>
      </c>
      <c r="C64" t="s">
        <v>245</v>
      </c>
      <c r="D64" t="s">
        <v>1128</v>
      </c>
      <c r="E64" t="s">
        <v>116</v>
      </c>
      <c r="F64" t="s">
        <v>892</v>
      </c>
      <c r="G64" t="s">
        <v>21</v>
      </c>
      <c r="H64" t="s">
        <v>1073</v>
      </c>
      <c r="I64" t="s">
        <v>889</v>
      </c>
      <c r="J64" t="s">
        <v>35</v>
      </c>
      <c r="K64">
        <v>1156.02</v>
      </c>
      <c r="L64">
        <v>9</v>
      </c>
      <c r="M64">
        <v>0.05</v>
      </c>
      <c r="N64">
        <v>10404.18</v>
      </c>
      <c r="O64">
        <v>9883.9709999999995</v>
      </c>
      <c r="P64" t="s">
        <v>107</v>
      </c>
      <c r="Q64" t="s">
        <v>17</v>
      </c>
      <c r="R64" t="s">
        <v>1150</v>
      </c>
    </row>
    <row r="65" spans="1:18" x14ac:dyDescent="0.3">
      <c r="A65" t="s">
        <v>258</v>
      </c>
      <c r="B65" s="6">
        <v>45731</v>
      </c>
      <c r="C65" t="s">
        <v>115</v>
      </c>
      <c r="D65" t="s">
        <v>996</v>
      </c>
      <c r="E65" t="s">
        <v>260</v>
      </c>
      <c r="F65" t="s">
        <v>895</v>
      </c>
      <c r="G65" t="s">
        <v>45</v>
      </c>
      <c r="H65" t="s">
        <v>1096</v>
      </c>
      <c r="I65" t="s">
        <v>896</v>
      </c>
      <c r="J65" t="s">
        <v>73</v>
      </c>
      <c r="K65">
        <v>3981.64</v>
      </c>
      <c r="L65">
        <v>5</v>
      </c>
      <c r="M65">
        <v>0.1</v>
      </c>
      <c r="N65">
        <v>19908.2</v>
      </c>
      <c r="O65">
        <v>17917.38</v>
      </c>
      <c r="P65" t="s">
        <v>261</v>
      </c>
      <c r="Q65" t="s">
        <v>42</v>
      </c>
      <c r="R65" t="s">
        <v>1150</v>
      </c>
    </row>
    <row r="66" spans="1:18" x14ac:dyDescent="0.3">
      <c r="A66" t="s">
        <v>262</v>
      </c>
      <c r="B66" s="6">
        <v>45393</v>
      </c>
      <c r="C66" t="s">
        <v>32</v>
      </c>
      <c r="D66" t="s">
        <v>1106</v>
      </c>
      <c r="E66" t="s">
        <v>121</v>
      </c>
      <c r="F66" t="s">
        <v>906</v>
      </c>
      <c r="G66" t="s">
        <v>14</v>
      </c>
      <c r="H66" t="s">
        <v>1080</v>
      </c>
      <c r="I66" t="s">
        <v>903</v>
      </c>
      <c r="J66" t="s">
        <v>22</v>
      </c>
      <c r="K66">
        <v>3414.07</v>
      </c>
      <c r="L66">
        <v>4</v>
      </c>
      <c r="M66">
        <v>0.15</v>
      </c>
      <c r="N66">
        <v>13656.28</v>
      </c>
      <c r="O66">
        <v>11607.838</v>
      </c>
      <c r="P66" t="s">
        <v>264</v>
      </c>
      <c r="Q66" t="s">
        <v>24</v>
      </c>
      <c r="R66" t="s">
        <v>1150</v>
      </c>
    </row>
    <row r="67" spans="1:18" x14ac:dyDescent="0.3">
      <c r="A67" t="s">
        <v>265</v>
      </c>
      <c r="B67" s="6">
        <v>45452</v>
      </c>
      <c r="C67" t="s">
        <v>176</v>
      </c>
      <c r="D67" t="s">
        <v>1120</v>
      </c>
      <c r="E67" t="s">
        <v>267</v>
      </c>
      <c r="F67" t="s">
        <v>915</v>
      </c>
      <c r="G67" t="s">
        <v>45</v>
      </c>
      <c r="H67" t="s">
        <v>1096</v>
      </c>
      <c r="I67" t="s">
        <v>910</v>
      </c>
      <c r="J67" t="s">
        <v>73</v>
      </c>
      <c r="K67">
        <v>2877.99</v>
      </c>
      <c r="L67">
        <v>4</v>
      </c>
      <c r="M67">
        <v>0</v>
      </c>
      <c r="N67">
        <v>11511.96</v>
      </c>
      <c r="O67">
        <v>11511.96</v>
      </c>
      <c r="P67" t="s">
        <v>268</v>
      </c>
      <c r="Q67" t="s">
        <v>60</v>
      </c>
      <c r="R67" t="s">
        <v>1150</v>
      </c>
    </row>
    <row r="68" spans="1:18" x14ac:dyDescent="0.3">
      <c r="A68" t="s">
        <v>269</v>
      </c>
      <c r="B68" s="6">
        <v>45294</v>
      </c>
      <c r="C68" t="s">
        <v>176</v>
      </c>
      <c r="D68" t="s">
        <v>1120</v>
      </c>
      <c r="E68" t="s">
        <v>13</v>
      </c>
      <c r="F68" t="s">
        <v>913</v>
      </c>
      <c r="G68" t="s">
        <v>82</v>
      </c>
      <c r="H68" t="s">
        <v>1076</v>
      </c>
      <c r="I68" t="s">
        <v>910</v>
      </c>
      <c r="J68" t="s">
        <v>35</v>
      </c>
      <c r="K68">
        <v>3493.54</v>
      </c>
      <c r="L68">
        <v>7</v>
      </c>
      <c r="M68">
        <v>0.05</v>
      </c>
      <c r="N68">
        <v>24454.78</v>
      </c>
      <c r="O68">
        <v>23232.040999999997</v>
      </c>
      <c r="P68" t="s">
        <v>270</v>
      </c>
      <c r="Q68" t="s">
        <v>17</v>
      </c>
      <c r="R68" t="s">
        <v>1150</v>
      </c>
    </row>
    <row r="69" spans="1:18" x14ac:dyDescent="0.3">
      <c r="A69" t="s">
        <v>271</v>
      </c>
      <c r="B69" s="6">
        <v>45325</v>
      </c>
      <c r="C69" t="s">
        <v>273</v>
      </c>
      <c r="D69" t="s">
        <v>1129</v>
      </c>
      <c r="E69" t="s">
        <v>125</v>
      </c>
      <c r="F69" t="s">
        <v>930</v>
      </c>
      <c r="G69" t="s">
        <v>21</v>
      </c>
      <c r="H69" t="s">
        <v>1073</v>
      </c>
      <c r="I69" t="s">
        <v>931</v>
      </c>
      <c r="J69" t="s">
        <v>35</v>
      </c>
      <c r="K69">
        <v>2458.91</v>
      </c>
      <c r="L69">
        <v>4</v>
      </c>
      <c r="M69">
        <v>0</v>
      </c>
      <c r="N69">
        <v>9835.64</v>
      </c>
      <c r="O69">
        <v>9835.64</v>
      </c>
      <c r="P69" t="s">
        <v>274</v>
      </c>
      <c r="Q69" t="s">
        <v>24</v>
      </c>
      <c r="R69" t="s">
        <v>1150</v>
      </c>
    </row>
    <row r="70" spans="1:18" x14ac:dyDescent="0.3">
      <c r="A70" t="s">
        <v>275</v>
      </c>
      <c r="B70" s="6">
        <v>45531</v>
      </c>
      <c r="C70" t="s">
        <v>160</v>
      </c>
      <c r="D70" t="s">
        <v>1118</v>
      </c>
      <c r="E70" t="s">
        <v>77</v>
      </c>
      <c r="F70" t="s">
        <v>884</v>
      </c>
      <c r="G70" t="s">
        <v>21</v>
      </c>
      <c r="H70" t="s">
        <v>1073</v>
      </c>
      <c r="I70" t="s">
        <v>882</v>
      </c>
      <c r="J70" t="s">
        <v>15</v>
      </c>
      <c r="K70">
        <v>3550.89</v>
      </c>
      <c r="L70">
        <v>5</v>
      </c>
      <c r="M70">
        <v>0.2</v>
      </c>
      <c r="N70">
        <v>17754.45</v>
      </c>
      <c r="O70">
        <v>14203.560000000001</v>
      </c>
      <c r="P70" t="s">
        <v>276</v>
      </c>
      <c r="Q70" t="s">
        <v>30</v>
      </c>
      <c r="R70" t="s">
        <v>1150</v>
      </c>
    </row>
    <row r="71" spans="1:18" x14ac:dyDescent="0.3">
      <c r="A71" t="s">
        <v>277</v>
      </c>
      <c r="B71" s="6">
        <v>45409</v>
      </c>
      <c r="C71" t="s">
        <v>279</v>
      </c>
      <c r="D71" t="s">
        <v>1130</v>
      </c>
      <c r="E71" t="s">
        <v>148</v>
      </c>
      <c r="F71" t="s">
        <v>933</v>
      </c>
      <c r="G71" t="s">
        <v>14</v>
      </c>
      <c r="H71" t="s">
        <v>1080</v>
      </c>
      <c r="I71" t="s">
        <v>931</v>
      </c>
      <c r="J71" t="s">
        <v>22</v>
      </c>
      <c r="K71">
        <v>3576.75</v>
      </c>
      <c r="L71">
        <v>9</v>
      </c>
      <c r="M71">
        <v>0</v>
      </c>
      <c r="N71">
        <v>32190.75</v>
      </c>
      <c r="O71">
        <v>32190.75</v>
      </c>
      <c r="P71" t="s">
        <v>280</v>
      </c>
      <c r="Q71" t="s">
        <v>60</v>
      </c>
      <c r="R71" t="s">
        <v>1150</v>
      </c>
    </row>
    <row r="72" spans="1:18" x14ac:dyDescent="0.3">
      <c r="A72" t="s">
        <v>281</v>
      </c>
      <c r="B72" s="6">
        <v>45365</v>
      </c>
      <c r="C72" t="s">
        <v>53</v>
      </c>
      <c r="D72" t="s">
        <v>1047</v>
      </c>
      <c r="E72" t="s">
        <v>196</v>
      </c>
      <c r="F72" t="s">
        <v>885</v>
      </c>
      <c r="G72" t="s">
        <v>82</v>
      </c>
      <c r="H72" t="s">
        <v>1076</v>
      </c>
      <c r="I72" t="s">
        <v>882</v>
      </c>
      <c r="J72" t="s">
        <v>22</v>
      </c>
      <c r="K72">
        <v>2184.5100000000002</v>
      </c>
      <c r="L72">
        <v>1</v>
      </c>
      <c r="M72">
        <v>0</v>
      </c>
      <c r="N72">
        <v>2184.5100000000002</v>
      </c>
      <c r="O72">
        <v>2184.5100000000002</v>
      </c>
      <c r="P72" t="s">
        <v>282</v>
      </c>
      <c r="Q72" t="s">
        <v>30</v>
      </c>
      <c r="R72" t="s">
        <v>1150</v>
      </c>
    </row>
    <row r="73" spans="1:18" x14ac:dyDescent="0.3">
      <c r="A73" t="s">
        <v>283</v>
      </c>
      <c r="B73" s="6">
        <v>45419</v>
      </c>
      <c r="C73" t="s">
        <v>12</v>
      </c>
      <c r="D73" t="s">
        <v>1103</v>
      </c>
      <c r="E73" t="s">
        <v>81</v>
      </c>
      <c r="F73" t="s">
        <v>886</v>
      </c>
      <c r="G73" t="s">
        <v>82</v>
      </c>
      <c r="H73" t="s">
        <v>1076</v>
      </c>
      <c r="I73" t="s">
        <v>882</v>
      </c>
      <c r="J73" t="s">
        <v>35</v>
      </c>
      <c r="K73">
        <v>1044.7</v>
      </c>
      <c r="L73">
        <v>8</v>
      </c>
      <c r="M73">
        <v>0.15</v>
      </c>
      <c r="N73">
        <v>8357.6</v>
      </c>
      <c r="O73">
        <v>7103.96</v>
      </c>
      <c r="P73" t="s">
        <v>285</v>
      </c>
      <c r="Q73" t="s">
        <v>17</v>
      </c>
      <c r="R73" t="s">
        <v>1150</v>
      </c>
    </row>
    <row r="74" spans="1:18" x14ac:dyDescent="0.3">
      <c r="A74" t="s">
        <v>286</v>
      </c>
      <c r="B74" s="6">
        <v>45804</v>
      </c>
      <c r="C74" t="s">
        <v>89</v>
      </c>
      <c r="D74" t="s">
        <v>1059</v>
      </c>
      <c r="E74" t="s">
        <v>72</v>
      </c>
      <c r="F74" t="s">
        <v>919</v>
      </c>
      <c r="G74" t="s">
        <v>21</v>
      </c>
      <c r="H74" t="s">
        <v>1073</v>
      </c>
      <c r="I74" t="s">
        <v>917</v>
      </c>
      <c r="J74" t="s">
        <v>73</v>
      </c>
      <c r="K74">
        <v>2316.1999999999998</v>
      </c>
      <c r="L74">
        <v>9</v>
      </c>
      <c r="M74">
        <v>0.05</v>
      </c>
      <c r="N74">
        <v>20845.8</v>
      </c>
      <c r="O74">
        <v>19803.509999999998</v>
      </c>
      <c r="P74" t="s">
        <v>288</v>
      </c>
      <c r="Q74" t="s">
        <v>42</v>
      </c>
      <c r="R74" t="s">
        <v>1150</v>
      </c>
    </row>
    <row r="75" spans="1:18" x14ac:dyDescent="0.3">
      <c r="A75" t="s">
        <v>289</v>
      </c>
      <c r="B75" s="6">
        <v>45332</v>
      </c>
      <c r="C75" t="s">
        <v>291</v>
      </c>
      <c r="D75" t="s">
        <v>1131</v>
      </c>
      <c r="E75" t="s">
        <v>254</v>
      </c>
      <c r="F75" t="s">
        <v>918</v>
      </c>
      <c r="G75" t="s">
        <v>34</v>
      </c>
      <c r="H75" t="s">
        <v>1078</v>
      </c>
      <c r="I75" t="s">
        <v>917</v>
      </c>
      <c r="J75" t="s">
        <v>22</v>
      </c>
      <c r="K75">
        <v>605.26</v>
      </c>
      <c r="L75">
        <v>7</v>
      </c>
      <c r="M75">
        <v>0.15</v>
      </c>
      <c r="N75">
        <v>4236.82</v>
      </c>
      <c r="O75">
        <v>3601.2969999999996</v>
      </c>
      <c r="P75" t="s">
        <v>292</v>
      </c>
      <c r="Q75" t="s">
        <v>24</v>
      </c>
      <c r="R75" t="s">
        <v>1150</v>
      </c>
    </row>
    <row r="76" spans="1:18" x14ac:dyDescent="0.3">
      <c r="A76" t="s">
        <v>293</v>
      </c>
      <c r="B76" s="6">
        <v>45385</v>
      </c>
      <c r="C76" t="s">
        <v>137</v>
      </c>
      <c r="D76" t="s">
        <v>1114</v>
      </c>
      <c r="E76" t="s">
        <v>210</v>
      </c>
      <c r="F76" t="s">
        <v>914</v>
      </c>
      <c r="G76" t="s">
        <v>45</v>
      </c>
      <c r="H76" t="s">
        <v>1096</v>
      </c>
      <c r="I76" t="s">
        <v>910</v>
      </c>
      <c r="J76" t="s">
        <v>73</v>
      </c>
      <c r="K76">
        <v>1187.29</v>
      </c>
      <c r="L76">
        <v>4</v>
      </c>
      <c r="M76">
        <v>0.15</v>
      </c>
      <c r="N76">
        <v>4749.16</v>
      </c>
      <c r="O76">
        <v>4036.7859999999996</v>
      </c>
      <c r="P76" t="s">
        <v>295</v>
      </c>
      <c r="Q76" t="s">
        <v>17</v>
      </c>
      <c r="R76" t="s">
        <v>1150</v>
      </c>
    </row>
    <row r="77" spans="1:18" x14ac:dyDescent="0.3">
      <c r="A77" t="s">
        <v>296</v>
      </c>
      <c r="B77" s="6">
        <v>45333</v>
      </c>
      <c r="C77" t="s">
        <v>102</v>
      </c>
      <c r="D77" t="s">
        <v>1111</v>
      </c>
      <c r="E77" t="s">
        <v>81</v>
      </c>
      <c r="F77" t="s">
        <v>886</v>
      </c>
      <c r="G77" t="s">
        <v>34</v>
      </c>
      <c r="H77" t="s">
        <v>1078</v>
      </c>
      <c r="I77" t="s">
        <v>882</v>
      </c>
      <c r="J77" t="s">
        <v>35</v>
      </c>
      <c r="K77">
        <v>1044.7</v>
      </c>
      <c r="L77">
        <v>3</v>
      </c>
      <c r="M77">
        <v>0.05</v>
      </c>
      <c r="N77">
        <v>3134.1000000000004</v>
      </c>
      <c r="O77">
        <v>2977.395</v>
      </c>
      <c r="P77" t="s">
        <v>298</v>
      </c>
      <c r="Q77" t="s">
        <v>17</v>
      </c>
      <c r="R77" t="s">
        <v>1150</v>
      </c>
    </row>
    <row r="78" spans="1:18" x14ac:dyDescent="0.3">
      <c r="A78" t="s">
        <v>299</v>
      </c>
      <c r="B78" s="6">
        <v>45477</v>
      </c>
      <c r="C78" t="s">
        <v>120</v>
      </c>
      <c r="D78" t="s">
        <v>993</v>
      </c>
      <c r="E78" t="s">
        <v>300</v>
      </c>
      <c r="F78" t="s">
        <v>901</v>
      </c>
      <c r="G78" t="s">
        <v>34</v>
      </c>
      <c r="H78" t="s">
        <v>1078</v>
      </c>
      <c r="I78" t="s">
        <v>896</v>
      </c>
      <c r="J78" t="s">
        <v>73</v>
      </c>
      <c r="K78">
        <v>4174.32</v>
      </c>
      <c r="L78">
        <v>10</v>
      </c>
      <c r="M78">
        <v>0.05</v>
      </c>
      <c r="N78">
        <v>41743.199999999997</v>
      </c>
      <c r="O78">
        <v>39656.039999999994</v>
      </c>
      <c r="P78" t="s">
        <v>301</v>
      </c>
      <c r="Q78" t="s">
        <v>30</v>
      </c>
      <c r="R78" t="s">
        <v>1150</v>
      </c>
    </row>
    <row r="79" spans="1:18" x14ac:dyDescent="0.3">
      <c r="A79" t="s">
        <v>302</v>
      </c>
      <c r="B79" s="6">
        <v>45648</v>
      </c>
      <c r="C79" t="s">
        <v>152</v>
      </c>
      <c r="D79" t="s">
        <v>944</v>
      </c>
      <c r="E79" t="s">
        <v>304</v>
      </c>
      <c r="F79" t="s">
        <v>890</v>
      </c>
      <c r="G79" t="s">
        <v>45</v>
      </c>
      <c r="H79" t="s">
        <v>1096</v>
      </c>
      <c r="I79" t="s">
        <v>889</v>
      </c>
      <c r="J79" t="s">
        <v>73</v>
      </c>
      <c r="K79">
        <v>1498.91</v>
      </c>
      <c r="L79">
        <v>7</v>
      </c>
      <c r="M79">
        <v>0</v>
      </c>
      <c r="N79">
        <v>10492.37</v>
      </c>
      <c r="O79">
        <v>10492.37</v>
      </c>
      <c r="P79" t="s">
        <v>305</v>
      </c>
      <c r="Q79" t="s">
        <v>60</v>
      </c>
      <c r="R79" t="s">
        <v>1150</v>
      </c>
    </row>
    <row r="80" spans="1:18" x14ac:dyDescent="0.3">
      <c r="A80" t="s">
        <v>306</v>
      </c>
      <c r="B80" s="6">
        <v>45629</v>
      </c>
      <c r="C80" t="s">
        <v>39</v>
      </c>
      <c r="D80" t="s">
        <v>990</v>
      </c>
      <c r="E80" t="s">
        <v>249</v>
      </c>
      <c r="F80" t="s">
        <v>893</v>
      </c>
      <c r="G80" t="s">
        <v>14</v>
      </c>
      <c r="H80" t="s">
        <v>1080</v>
      </c>
      <c r="I80" t="s">
        <v>889</v>
      </c>
      <c r="J80" t="s">
        <v>22</v>
      </c>
      <c r="K80">
        <v>1309.58</v>
      </c>
      <c r="L80">
        <v>7</v>
      </c>
      <c r="M80">
        <v>0.15</v>
      </c>
      <c r="N80">
        <v>9167.06</v>
      </c>
      <c r="O80">
        <v>7792.0009999999993</v>
      </c>
      <c r="P80" t="s">
        <v>103</v>
      </c>
      <c r="Q80" t="s">
        <v>30</v>
      </c>
      <c r="R80" t="s">
        <v>1150</v>
      </c>
    </row>
    <row r="81" spans="1:18" x14ac:dyDescent="0.3">
      <c r="A81" t="s">
        <v>307</v>
      </c>
      <c r="B81" s="6">
        <v>45329</v>
      </c>
      <c r="C81" t="s">
        <v>141</v>
      </c>
      <c r="D81" t="s">
        <v>1115</v>
      </c>
      <c r="E81" t="s">
        <v>20</v>
      </c>
      <c r="F81" t="s">
        <v>899</v>
      </c>
      <c r="G81" t="s">
        <v>14</v>
      </c>
      <c r="H81" t="s">
        <v>1080</v>
      </c>
      <c r="I81" t="s">
        <v>896</v>
      </c>
      <c r="J81" t="s">
        <v>22</v>
      </c>
      <c r="K81">
        <v>3772.12</v>
      </c>
      <c r="L81">
        <v>8</v>
      </c>
      <c r="M81">
        <v>0</v>
      </c>
      <c r="N81">
        <v>30176.959999999999</v>
      </c>
      <c r="O81">
        <v>30176.959999999999</v>
      </c>
      <c r="P81" t="s">
        <v>308</v>
      </c>
      <c r="Q81" t="s">
        <v>17</v>
      </c>
      <c r="R81" t="s">
        <v>1150</v>
      </c>
    </row>
    <row r="82" spans="1:18" x14ac:dyDescent="0.3">
      <c r="A82" t="s">
        <v>309</v>
      </c>
      <c r="B82" s="6">
        <v>45410</v>
      </c>
      <c r="C82" t="s">
        <v>311</v>
      </c>
      <c r="D82" t="s">
        <v>1132</v>
      </c>
      <c r="E82" t="s">
        <v>106</v>
      </c>
      <c r="F82" t="s">
        <v>894</v>
      </c>
      <c r="G82" t="s">
        <v>45</v>
      </c>
      <c r="H82" t="s">
        <v>1096</v>
      </c>
      <c r="I82" t="s">
        <v>889</v>
      </c>
      <c r="J82" t="s">
        <v>73</v>
      </c>
      <c r="K82">
        <v>1559.65</v>
      </c>
      <c r="L82">
        <v>7</v>
      </c>
      <c r="M82">
        <v>0.2</v>
      </c>
      <c r="N82">
        <v>10917.550000000001</v>
      </c>
      <c r="O82">
        <v>8734.0400000000009</v>
      </c>
      <c r="P82" t="s">
        <v>284</v>
      </c>
      <c r="Q82" t="s">
        <v>42</v>
      </c>
      <c r="R82" t="s">
        <v>1150</v>
      </c>
    </row>
    <row r="83" spans="1:18" x14ac:dyDescent="0.3">
      <c r="A83" t="s">
        <v>312</v>
      </c>
      <c r="B83" s="6">
        <v>45765</v>
      </c>
      <c r="C83" t="s">
        <v>144</v>
      </c>
      <c r="D83" t="s">
        <v>1116</v>
      </c>
      <c r="E83" t="s">
        <v>40</v>
      </c>
      <c r="F83" t="s">
        <v>928</v>
      </c>
      <c r="G83" t="s">
        <v>45</v>
      </c>
      <c r="H83" t="s">
        <v>1096</v>
      </c>
      <c r="I83" t="s">
        <v>924</v>
      </c>
      <c r="J83" t="s">
        <v>22</v>
      </c>
      <c r="K83">
        <v>136.91</v>
      </c>
      <c r="L83">
        <v>7</v>
      </c>
      <c r="M83">
        <v>0</v>
      </c>
      <c r="N83">
        <v>958.37</v>
      </c>
      <c r="O83">
        <v>958.37</v>
      </c>
      <c r="P83" t="s">
        <v>314</v>
      </c>
      <c r="Q83" t="s">
        <v>42</v>
      </c>
      <c r="R83" t="s">
        <v>1150</v>
      </c>
    </row>
    <row r="84" spans="1:18" x14ac:dyDescent="0.3">
      <c r="A84" t="s">
        <v>315</v>
      </c>
      <c r="B84" s="6">
        <v>45802</v>
      </c>
      <c r="C84" t="s">
        <v>199</v>
      </c>
      <c r="D84" t="s">
        <v>1123</v>
      </c>
      <c r="E84" t="s">
        <v>316</v>
      </c>
      <c r="F84" t="s">
        <v>907</v>
      </c>
      <c r="G84" t="s">
        <v>82</v>
      </c>
      <c r="H84" t="s">
        <v>1076</v>
      </c>
      <c r="I84" t="s">
        <v>903</v>
      </c>
      <c r="J84" t="s">
        <v>15</v>
      </c>
      <c r="K84">
        <v>2405.98</v>
      </c>
      <c r="L84">
        <v>8</v>
      </c>
      <c r="M84">
        <v>0.2</v>
      </c>
      <c r="N84">
        <v>19247.84</v>
      </c>
      <c r="O84">
        <v>15398.272000000001</v>
      </c>
      <c r="P84" t="s">
        <v>317</v>
      </c>
      <c r="Q84" t="s">
        <v>17</v>
      </c>
      <c r="R84" t="s">
        <v>1150</v>
      </c>
    </row>
    <row r="85" spans="1:18" x14ac:dyDescent="0.3">
      <c r="A85" t="s">
        <v>318</v>
      </c>
      <c r="B85" s="6">
        <v>45426</v>
      </c>
      <c r="C85" t="s">
        <v>32</v>
      </c>
      <c r="D85" t="s">
        <v>1106</v>
      </c>
      <c r="E85" t="s">
        <v>40</v>
      </c>
      <c r="F85" t="s">
        <v>928</v>
      </c>
      <c r="G85" t="s">
        <v>45</v>
      </c>
      <c r="H85" t="s">
        <v>1096</v>
      </c>
      <c r="I85" t="s">
        <v>924</v>
      </c>
      <c r="J85" t="s">
        <v>73</v>
      </c>
      <c r="K85">
        <v>136.91</v>
      </c>
      <c r="L85">
        <v>5</v>
      </c>
      <c r="M85">
        <v>0.05</v>
      </c>
      <c r="N85">
        <v>684.55</v>
      </c>
      <c r="O85">
        <v>650.32249999999988</v>
      </c>
      <c r="P85" t="s">
        <v>320</v>
      </c>
      <c r="Q85" t="s">
        <v>24</v>
      </c>
      <c r="R85" t="s">
        <v>1150</v>
      </c>
    </row>
    <row r="86" spans="1:18" x14ac:dyDescent="0.3">
      <c r="A86" t="s">
        <v>321</v>
      </c>
      <c r="B86" s="6">
        <v>45537</v>
      </c>
      <c r="C86" t="s">
        <v>80</v>
      </c>
      <c r="D86" t="s">
        <v>1109</v>
      </c>
      <c r="E86" t="s">
        <v>50</v>
      </c>
      <c r="F86" t="s">
        <v>936</v>
      </c>
      <c r="G86" t="s">
        <v>21</v>
      </c>
      <c r="H86" t="s">
        <v>1073</v>
      </c>
      <c r="I86" t="s">
        <v>931</v>
      </c>
      <c r="J86" t="s">
        <v>73</v>
      </c>
      <c r="K86">
        <v>2041.83</v>
      </c>
      <c r="L86">
        <v>3</v>
      </c>
      <c r="M86">
        <v>0</v>
      </c>
      <c r="N86">
        <v>6125.49</v>
      </c>
      <c r="O86">
        <v>6125.49</v>
      </c>
      <c r="P86" t="s">
        <v>323</v>
      </c>
      <c r="Q86" t="s">
        <v>42</v>
      </c>
      <c r="R86" t="s">
        <v>1150</v>
      </c>
    </row>
    <row r="87" spans="1:18" x14ac:dyDescent="0.3">
      <c r="A87" t="s">
        <v>324</v>
      </c>
      <c r="B87" s="6">
        <v>45709</v>
      </c>
      <c r="C87" t="s">
        <v>98</v>
      </c>
      <c r="D87" t="s">
        <v>1110</v>
      </c>
      <c r="E87" t="s">
        <v>111</v>
      </c>
      <c r="F87" t="s">
        <v>929</v>
      </c>
      <c r="G87" t="s">
        <v>45</v>
      </c>
      <c r="H87" t="s">
        <v>1096</v>
      </c>
      <c r="I87" t="s">
        <v>924</v>
      </c>
      <c r="J87" t="s">
        <v>35</v>
      </c>
      <c r="K87">
        <v>4390.62</v>
      </c>
      <c r="L87">
        <v>2</v>
      </c>
      <c r="M87">
        <v>0</v>
      </c>
      <c r="N87">
        <v>8781.24</v>
      </c>
      <c r="O87">
        <v>8781.24</v>
      </c>
      <c r="P87" t="s">
        <v>325</v>
      </c>
      <c r="Q87" t="s">
        <v>24</v>
      </c>
      <c r="R87" t="s">
        <v>1150</v>
      </c>
    </row>
    <row r="88" spans="1:18" x14ac:dyDescent="0.3">
      <c r="A88" t="s">
        <v>326</v>
      </c>
      <c r="B88" s="6">
        <v>45449</v>
      </c>
      <c r="C88" t="s">
        <v>98</v>
      </c>
      <c r="D88" t="s">
        <v>1110</v>
      </c>
      <c r="E88" t="s">
        <v>206</v>
      </c>
      <c r="F88" t="s">
        <v>887</v>
      </c>
      <c r="G88" t="s">
        <v>14</v>
      </c>
      <c r="H88" t="s">
        <v>1080</v>
      </c>
      <c r="I88" t="s">
        <v>882</v>
      </c>
      <c r="J88" t="s">
        <v>22</v>
      </c>
      <c r="K88">
        <v>2779.58</v>
      </c>
      <c r="L88">
        <v>8</v>
      </c>
      <c r="M88">
        <v>0.15</v>
      </c>
      <c r="N88">
        <v>22236.639999999999</v>
      </c>
      <c r="O88">
        <v>18901.144</v>
      </c>
      <c r="P88" t="s">
        <v>327</v>
      </c>
      <c r="Q88" t="s">
        <v>30</v>
      </c>
      <c r="R88" t="s">
        <v>1150</v>
      </c>
    </row>
    <row r="89" spans="1:18" x14ac:dyDescent="0.3">
      <c r="A89" t="s">
        <v>328</v>
      </c>
      <c r="B89" s="6">
        <v>45786</v>
      </c>
      <c r="C89" t="s">
        <v>311</v>
      </c>
      <c r="D89" t="s">
        <v>1132</v>
      </c>
      <c r="E89" t="s">
        <v>240</v>
      </c>
      <c r="F89" t="s">
        <v>920</v>
      </c>
      <c r="G89" t="s">
        <v>14</v>
      </c>
      <c r="H89" t="s">
        <v>1080</v>
      </c>
      <c r="I89" t="s">
        <v>917</v>
      </c>
      <c r="J89" t="s">
        <v>15</v>
      </c>
      <c r="K89">
        <v>2036.67</v>
      </c>
      <c r="L89">
        <v>8</v>
      </c>
      <c r="M89">
        <v>0</v>
      </c>
      <c r="N89">
        <v>16293.36</v>
      </c>
      <c r="O89">
        <v>16293.36</v>
      </c>
      <c r="P89" t="s">
        <v>213</v>
      </c>
      <c r="Q89" t="s">
        <v>30</v>
      </c>
      <c r="R89" t="s">
        <v>1150</v>
      </c>
    </row>
    <row r="90" spans="1:18" x14ac:dyDescent="0.3">
      <c r="A90" t="s">
        <v>329</v>
      </c>
      <c r="B90" s="6">
        <v>45487</v>
      </c>
      <c r="C90" t="s">
        <v>331</v>
      </c>
      <c r="D90" t="s">
        <v>1006</v>
      </c>
      <c r="E90" t="s">
        <v>20</v>
      </c>
      <c r="F90" t="s">
        <v>899</v>
      </c>
      <c r="G90" t="s">
        <v>34</v>
      </c>
      <c r="H90" t="s">
        <v>1078</v>
      </c>
      <c r="I90" t="s">
        <v>896</v>
      </c>
      <c r="J90" t="s">
        <v>73</v>
      </c>
      <c r="K90">
        <v>3772.12</v>
      </c>
      <c r="L90">
        <v>10</v>
      </c>
      <c r="M90">
        <v>0.1</v>
      </c>
      <c r="N90">
        <v>37721.199999999997</v>
      </c>
      <c r="O90">
        <v>33949.08</v>
      </c>
      <c r="P90" t="s">
        <v>332</v>
      </c>
      <c r="Q90" t="s">
        <v>17</v>
      </c>
      <c r="R90" t="s">
        <v>1150</v>
      </c>
    </row>
    <row r="91" spans="1:18" x14ac:dyDescent="0.3">
      <c r="A91" t="s">
        <v>333</v>
      </c>
      <c r="B91" s="6">
        <v>45716</v>
      </c>
      <c r="C91" t="s">
        <v>229</v>
      </c>
      <c r="D91" t="s">
        <v>1126</v>
      </c>
      <c r="E91" t="s">
        <v>161</v>
      </c>
      <c r="F91" t="s">
        <v>905</v>
      </c>
      <c r="G91" t="s">
        <v>82</v>
      </c>
      <c r="H91" t="s">
        <v>1076</v>
      </c>
      <c r="I91" t="s">
        <v>903</v>
      </c>
      <c r="J91" t="s">
        <v>22</v>
      </c>
      <c r="K91">
        <v>1513.99</v>
      </c>
      <c r="L91">
        <v>6</v>
      </c>
      <c r="M91">
        <v>0.2</v>
      </c>
      <c r="N91">
        <v>9083.94</v>
      </c>
      <c r="O91">
        <v>7267.152000000001</v>
      </c>
      <c r="P91" t="s">
        <v>112</v>
      </c>
      <c r="Q91" t="s">
        <v>24</v>
      </c>
      <c r="R91" t="s">
        <v>1150</v>
      </c>
    </row>
    <row r="92" spans="1:18" x14ac:dyDescent="0.3">
      <c r="A92" t="s">
        <v>334</v>
      </c>
      <c r="B92" s="6">
        <v>45581</v>
      </c>
      <c r="C92" t="s">
        <v>273</v>
      </c>
      <c r="D92" t="s">
        <v>1129</v>
      </c>
      <c r="E92" t="s">
        <v>94</v>
      </c>
      <c r="F92" t="s">
        <v>935</v>
      </c>
      <c r="G92" t="s">
        <v>82</v>
      </c>
      <c r="H92" t="s">
        <v>1076</v>
      </c>
      <c r="I92" t="s">
        <v>931</v>
      </c>
      <c r="J92" t="s">
        <v>35</v>
      </c>
      <c r="K92">
        <v>3610.44</v>
      </c>
      <c r="L92">
        <v>5</v>
      </c>
      <c r="M92">
        <v>0.2</v>
      </c>
      <c r="N92">
        <v>18052.2</v>
      </c>
      <c r="O92">
        <v>14441.760000000002</v>
      </c>
      <c r="P92" t="s">
        <v>335</v>
      </c>
      <c r="Q92" t="s">
        <v>60</v>
      </c>
      <c r="R92" t="s">
        <v>1150</v>
      </c>
    </row>
    <row r="93" spans="1:18" x14ac:dyDescent="0.3">
      <c r="A93" t="s">
        <v>336</v>
      </c>
      <c r="B93" s="6">
        <v>45749</v>
      </c>
      <c r="C93" t="s">
        <v>229</v>
      </c>
      <c r="D93" t="s">
        <v>1126</v>
      </c>
      <c r="E93" t="s">
        <v>40</v>
      </c>
      <c r="F93" t="s">
        <v>928</v>
      </c>
      <c r="G93" t="s">
        <v>82</v>
      </c>
      <c r="H93" t="s">
        <v>1076</v>
      </c>
      <c r="I93" t="s">
        <v>924</v>
      </c>
      <c r="J93" t="s">
        <v>22</v>
      </c>
      <c r="K93">
        <v>136.91</v>
      </c>
      <c r="L93">
        <v>9</v>
      </c>
      <c r="M93">
        <v>0.05</v>
      </c>
      <c r="N93">
        <v>1232.19</v>
      </c>
      <c r="O93">
        <v>1170.5805</v>
      </c>
      <c r="P93" t="s">
        <v>338</v>
      </c>
      <c r="Q93" t="s">
        <v>42</v>
      </c>
      <c r="R93" t="s">
        <v>1150</v>
      </c>
    </row>
    <row r="94" spans="1:18" x14ac:dyDescent="0.3">
      <c r="A94" t="s">
        <v>339</v>
      </c>
      <c r="B94" s="6">
        <v>45678</v>
      </c>
      <c r="C94" t="s">
        <v>202</v>
      </c>
      <c r="D94" t="s">
        <v>1124</v>
      </c>
      <c r="E94" t="s">
        <v>161</v>
      </c>
      <c r="F94" t="s">
        <v>905</v>
      </c>
      <c r="G94" t="s">
        <v>82</v>
      </c>
      <c r="H94" t="s">
        <v>1076</v>
      </c>
      <c r="I94" t="s">
        <v>903</v>
      </c>
      <c r="J94" t="s">
        <v>15</v>
      </c>
      <c r="K94">
        <v>1513.99</v>
      </c>
      <c r="L94">
        <v>8</v>
      </c>
      <c r="M94">
        <v>0</v>
      </c>
      <c r="N94">
        <v>12111.92</v>
      </c>
      <c r="O94">
        <v>12111.92</v>
      </c>
      <c r="P94" t="s">
        <v>340</v>
      </c>
      <c r="Q94" t="s">
        <v>42</v>
      </c>
      <c r="R94" t="s">
        <v>1150</v>
      </c>
    </row>
    <row r="95" spans="1:18" x14ac:dyDescent="0.3">
      <c r="A95" t="s">
        <v>341</v>
      </c>
      <c r="B95" s="6">
        <v>45684</v>
      </c>
      <c r="C95" t="s">
        <v>98</v>
      </c>
      <c r="D95" t="s">
        <v>1110</v>
      </c>
      <c r="E95" t="s">
        <v>50</v>
      </c>
      <c r="F95" t="s">
        <v>936</v>
      </c>
      <c r="G95" t="s">
        <v>34</v>
      </c>
      <c r="H95" t="s">
        <v>1078</v>
      </c>
      <c r="I95" t="s">
        <v>931</v>
      </c>
      <c r="J95" t="s">
        <v>73</v>
      </c>
      <c r="K95">
        <v>2041.83</v>
      </c>
      <c r="L95">
        <v>4</v>
      </c>
      <c r="M95">
        <v>0.2</v>
      </c>
      <c r="N95">
        <v>8167.32</v>
      </c>
      <c r="O95">
        <v>6533.8559999999998</v>
      </c>
      <c r="P95" t="s">
        <v>343</v>
      </c>
      <c r="Q95" t="s">
        <v>17</v>
      </c>
      <c r="R95" t="s">
        <v>1150</v>
      </c>
    </row>
    <row r="96" spans="1:18" x14ac:dyDescent="0.3">
      <c r="A96" t="s">
        <v>344</v>
      </c>
      <c r="B96" s="6">
        <v>45776</v>
      </c>
      <c r="C96" t="s">
        <v>176</v>
      </c>
      <c r="D96" t="s">
        <v>1120</v>
      </c>
      <c r="E96" t="s">
        <v>345</v>
      </c>
      <c r="F96" t="s">
        <v>927</v>
      </c>
      <c r="G96" t="s">
        <v>45</v>
      </c>
      <c r="H96" t="s">
        <v>1096</v>
      </c>
      <c r="I96" t="s">
        <v>924</v>
      </c>
      <c r="J96" t="s">
        <v>35</v>
      </c>
      <c r="K96">
        <v>1212.79</v>
      </c>
      <c r="L96">
        <v>7</v>
      </c>
      <c r="M96">
        <v>0.05</v>
      </c>
      <c r="N96">
        <v>8489.5299999999988</v>
      </c>
      <c r="O96">
        <v>8065.0534999999982</v>
      </c>
      <c r="P96" t="s">
        <v>346</v>
      </c>
      <c r="Q96" t="s">
        <v>24</v>
      </c>
      <c r="R96" t="s">
        <v>1150</v>
      </c>
    </row>
    <row r="97" spans="1:18" x14ac:dyDescent="0.3">
      <c r="A97" t="s">
        <v>347</v>
      </c>
      <c r="B97" s="6">
        <v>45421</v>
      </c>
      <c r="C97" t="s">
        <v>39</v>
      </c>
      <c r="D97" t="s">
        <v>990</v>
      </c>
      <c r="E97" t="s">
        <v>81</v>
      </c>
      <c r="F97" t="s">
        <v>886</v>
      </c>
      <c r="G97" t="s">
        <v>82</v>
      </c>
      <c r="H97" t="s">
        <v>1076</v>
      </c>
      <c r="I97" t="s">
        <v>882</v>
      </c>
      <c r="J97" t="s">
        <v>73</v>
      </c>
      <c r="K97">
        <v>1044.7</v>
      </c>
      <c r="L97">
        <v>9</v>
      </c>
      <c r="M97">
        <v>0.1</v>
      </c>
      <c r="N97">
        <v>9402.3000000000011</v>
      </c>
      <c r="O97">
        <v>8462.0700000000015</v>
      </c>
      <c r="P97" t="s">
        <v>348</v>
      </c>
      <c r="Q97" t="s">
        <v>30</v>
      </c>
      <c r="R97" t="s">
        <v>1150</v>
      </c>
    </row>
    <row r="98" spans="1:18" x14ac:dyDescent="0.3">
      <c r="A98" t="s">
        <v>349</v>
      </c>
      <c r="B98" s="6">
        <v>45394</v>
      </c>
      <c r="C98" t="s">
        <v>291</v>
      </c>
      <c r="D98" t="s">
        <v>1131</v>
      </c>
      <c r="E98" t="s">
        <v>260</v>
      </c>
      <c r="F98" t="s">
        <v>895</v>
      </c>
      <c r="G98" t="s">
        <v>34</v>
      </c>
      <c r="H98" t="s">
        <v>1078</v>
      </c>
      <c r="I98" t="s">
        <v>896</v>
      </c>
      <c r="J98" t="s">
        <v>15</v>
      </c>
      <c r="K98">
        <v>3981.64</v>
      </c>
      <c r="L98">
        <v>9</v>
      </c>
      <c r="M98">
        <v>0.05</v>
      </c>
      <c r="N98">
        <v>35834.76</v>
      </c>
      <c r="O98">
        <v>34043.021999999997</v>
      </c>
      <c r="P98" t="s">
        <v>295</v>
      </c>
      <c r="Q98" t="s">
        <v>30</v>
      </c>
      <c r="R98" t="s">
        <v>1150</v>
      </c>
    </row>
    <row r="99" spans="1:18" x14ac:dyDescent="0.3">
      <c r="A99" t="s">
        <v>351</v>
      </c>
      <c r="B99" s="6">
        <v>45450</v>
      </c>
      <c r="C99" t="s">
        <v>202</v>
      </c>
      <c r="D99" t="s">
        <v>1124</v>
      </c>
      <c r="E99" t="s">
        <v>304</v>
      </c>
      <c r="F99" t="s">
        <v>890</v>
      </c>
      <c r="G99" t="s">
        <v>14</v>
      </c>
      <c r="H99" t="s">
        <v>1080</v>
      </c>
      <c r="I99" t="s">
        <v>889</v>
      </c>
      <c r="J99" t="s">
        <v>22</v>
      </c>
      <c r="K99">
        <v>1498.91</v>
      </c>
      <c r="L99">
        <v>2</v>
      </c>
      <c r="M99">
        <v>0.05</v>
      </c>
      <c r="N99">
        <v>2997.82</v>
      </c>
      <c r="O99">
        <v>2847.9290000000001</v>
      </c>
      <c r="P99" t="s">
        <v>353</v>
      </c>
      <c r="Q99" t="s">
        <v>42</v>
      </c>
      <c r="R99" t="s">
        <v>1150</v>
      </c>
    </row>
    <row r="100" spans="1:18" x14ac:dyDescent="0.3">
      <c r="A100" t="s">
        <v>354</v>
      </c>
      <c r="B100" s="6">
        <v>45699</v>
      </c>
      <c r="C100" t="s">
        <v>356</v>
      </c>
      <c r="D100" t="s">
        <v>1133</v>
      </c>
      <c r="E100" t="s">
        <v>304</v>
      </c>
      <c r="F100" t="s">
        <v>890</v>
      </c>
      <c r="G100" t="s">
        <v>45</v>
      </c>
      <c r="H100" t="s">
        <v>1096</v>
      </c>
      <c r="I100" t="s">
        <v>889</v>
      </c>
      <c r="J100" t="s">
        <v>35</v>
      </c>
      <c r="K100">
        <v>1498.91</v>
      </c>
      <c r="L100">
        <v>2</v>
      </c>
      <c r="M100">
        <v>0.2</v>
      </c>
      <c r="N100">
        <v>2997.82</v>
      </c>
      <c r="O100">
        <v>2398.2560000000003</v>
      </c>
      <c r="P100" t="s">
        <v>357</v>
      </c>
      <c r="Q100" t="s">
        <v>17</v>
      </c>
      <c r="R100" t="s">
        <v>1150</v>
      </c>
    </row>
    <row r="101" spans="1:18" x14ac:dyDescent="0.3">
      <c r="A101" t="s">
        <v>358</v>
      </c>
      <c r="B101" s="6">
        <v>45791</v>
      </c>
      <c r="C101" t="s">
        <v>124</v>
      </c>
      <c r="D101" t="s">
        <v>1112</v>
      </c>
      <c r="E101" t="s">
        <v>316</v>
      </c>
      <c r="F101" t="s">
        <v>907</v>
      </c>
      <c r="G101" t="s">
        <v>14</v>
      </c>
      <c r="H101" t="s">
        <v>1080</v>
      </c>
      <c r="I101" t="s">
        <v>903</v>
      </c>
      <c r="J101" t="s">
        <v>73</v>
      </c>
      <c r="K101">
        <v>2405.98</v>
      </c>
      <c r="L101">
        <v>9</v>
      </c>
      <c r="M101">
        <v>0</v>
      </c>
      <c r="N101">
        <v>21653.82</v>
      </c>
      <c r="O101">
        <v>21653.82</v>
      </c>
      <c r="P101" t="s">
        <v>74</v>
      </c>
      <c r="Q101" t="s">
        <v>60</v>
      </c>
      <c r="R101" t="s">
        <v>1150</v>
      </c>
    </row>
    <row r="102" spans="1:18" x14ac:dyDescent="0.3">
      <c r="A102" t="s">
        <v>360</v>
      </c>
      <c r="B102" s="6">
        <v>45586</v>
      </c>
      <c r="C102" t="s">
        <v>190</v>
      </c>
      <c r="D102" t="s">
        <v>1119</v>
      </c>
      <c r="E102" t="s">
        <v>164</v>
      </c>
      <c r="F102" t="s">
        <v>922</v>
      </c>
      <c r="G102" t="s">
        <v>45</v>
      </c>
      <c r="H102" t="s">
        <v>1096</v>
      </c>
      <c r="I102" t="s">
        <v>917</v>
      </c>
      <c r="J102" t="s">
        <v>35</v>
      </c>
      <c r="K102">
        <v>2489.91</v>
      </c>
      <c r="L102">
        <v>4</v>
      </c>
      <c r="M102">
        <v>0.15</v>
      </c>
      <c r="N102">
        <v>9959.64</v>
      </c>
      <c r="O102">
        <v>8465.6939999999995</v>
      </c>
      <c r="P102" t="s">
        <v>361</v>
      </c>
      <c r="Q102" t="s">
        <v>24</v>
      </c>
      <c r="R102" t="s">
        <v>1150</v>
      </c>
    </row>
    <row r="103" spans="1:18" x14ac:dyDescent="0.3">
      <c r="A103" t="s">
        <v>362</v>
      </c>
      <c r="B103" s="6">
        <v>45394</v>
      </c>
      <c r="C103" t="s">
        <v>214</v>
      </c>
      <c r="D103" t="s">
        <v>1125</v>
      </c>
      <c r="E103" t="s">
        <v>161</v>
      </c>
      <c r="F103" t="s">
        <v>905</v>
      </c>
      <c r="G103" t="s">
        <v>21</v>
      </c>
      <c r="H103" t="s">
        <v>1073</v>
      </c>
      <c r="I103" t="s">
        <v>903</v>
      </c>
      <c r="J103" t="s">
        <v>73</v>
      </c>
      <c r="K103">
        <v>1513.99</v>
      </c>
      <c r="L103">
        <v>8</v>
      </c>
      <c r="M103">
        <v>0</v>
      </c>
      <c r="N103">
        <v>12111.92</v>
      </c>
      <c r="O103">
        <v>12111.92</v>
      </c>
      <c r="P103" t="s">
        <v>363</v>
      </c>
      <c r="Q103" t="s">
        <v>24</v>
      </c>
      <c r="R103" t="s">
        <v>1150</v>
      </c>
    </row>
    <row r="104" spans="1:18" x14ac:dyDescent="0.3">
      <c r="A104" t="s">
        <v>364</v>
      </c>
      <c r="B104" s="6">
        <v>45624</v>
      </c>
      <c r="C104" t="s">
        <v>32</v>
      </c>
      <c r="D104" t="s">
        <v>1106</v>
      </c>
      <c r="E104" t="s">
        <v>316</v>
      </c>
      <c r="F104" t="s">
        <v>907</v>
      </c>
      <c r="G104" t="s">
        <v>34</v>
      </c>
      <c r="H104" t="s">
        <v>1078</v>
      </c>
      <c r="I104" t="s">
        <v>903</v>
      </c>
      <c r="J104" t="s">
        <v>22</v>
      </c>
      <c r="K104">
        <v>2405.98</v>
      </c>
      <c r="L104">
        <v>1</v>
      </c>
      <c r="M104">
        <v>0</v>
      </c>
      <c r="N104">
        <v>2405.98</v>
      </c>
      <c r="O104">
        <v>2405.98</v>
      </c>
      <c r="P104" t="s">
        <v>222</v>
      </c>
      <c r="Q104" t="s">
        <v>30</v>
      </c>
      <c r="R104" t="s">
        <v>1150</v>
      </c>
    </row>
    <row r="105" spans="1:18" x14ac:dyDescent="0.3">
      <c r="A105" t="s">
        <v>366</v>
      </c>
      <c r="B105" s="6">
        <v>45441</v>
      </c>
      <c r="C105" t="s">
        <v>245</v>
      </c>
      <c r="D105" t="s">
        <v>1128</v>
      </c>
      <c r="E105" t="s">
        <v>161</v>
      </c>
      <c r="F105" t="s">
        <v>905</v>
      </c>
      <c r="G105" t="s">
        <v>14</v>
      </c>
      <c r="H105" t="s">
        <v>1080</v>
      </c>
      <c r="I105" t="s">
        <v>903</v>
      </c>
      <c r="J105" t="s">
        <v>15</v>
      </c>
      <c r="K105">
        <v>1513.99</v>
      </c>
      <c r="L105">
        <v>4</v>
      </c>
      <c r="M105">
        <v>0.1</v>
      </c>
      <c r="N105">
        <v>6055.96</v>
      </c>
      <c r="O105">
        <v>5450.3640000000005</v>
      </c>
      <c r="P105" t="s">
        <v>368</v>
      </c>
      <c r="Q105" t="s">
        <v>60</v>
      </c>
      <c r="R105" t="s">
        <v>1150</v>
      </c>
    </row>
    <row r="106" spans="1:18" x14ac:dyDescent="0.3">
      <c r="A106" t="s">
        <v>369</v>
      </c>
      <c r="B106" s="6">
        <v>45471</v>
      </c>
      <c r="C106" t="s">
        <v>273</v>
      </c>
      <c r="D106" t="s">
        <v>1129</v>
      </c>
      <c r="E106" t="s">
        <v>44</v>
      </c>
      <c r="F106" t="s">
        <v>911</v>
      </c>
      <c r="G106" t="s">
        <v>82</v>
      </c>
      <c r="H106" t="s">
        <v>1076</v>
      </c>
      <c r="I106" t="s">
        <v>910</v>
      </c>
      <c r="J106" t="s">
        <v>15</v>
      </c>
      <c r="K106">
        <v>973.21</v>
      </c>
      <c r="L106">
        <v>2</v>
      </c>
      <c r="M106">
        <v>0.1</v>
      </c>
      <c r="N106">
        <v>1946.42</v>
      </c>
      <c r="O106">
        <v>1751.778</v>
      </c>
      <c r="P106" t="s">
        <v>370</v>
      </c>
      <c r="Q106" t="s">
        <v>30</v>
      </c>
      <c r="R106" t="s">
        <v>1150</v>
      </c>
    </row>
    <row r="107" spans="1:18" x14ac:dyDescent="0.3">
      <c r="A107" t="s">
        <v>371</v>
      </c>
      <c r="B107" s="6">
        <v>45438</v>
      </c>
      <c r="C107" t="s">
        <v>273</v>
      </c>
      <c r="D107" t="s">
        <v>1129</v>
      </c>
      <c r="E107" t="s">
        <v>116</v>
      </c>
      <c r="F107" t="s">
        <v>892</v>
      </c>
      <c r="G107" t="s">
        <v>45</v>
      </c>
      <c r="H107" t="s">
        <v>1096</v>
      </c>
      <c r="I107" t="s">
        <v>889</v>
      </c>
      <c r="J107" t="s">
        <v>35</v>
      </c>
      <c r="K107">
        <v>1156.02</v>
      </c>
      <c r="L107">
        <v>4</v>
      </c>
      <c r="M107">
        <v>0.05</v>
      </c>
      <c r="N107">
        <v>4624.08</v>
      </c>
      <c r="O107">
        <v>4392.8759999999993</v>
      </c>
      <c r="P107" t="s">
        <v>373</v>
      </c>
      <c r="Q107" t="s">
        <v>17</v>
      </c>
      <c r="R107" t="s">
        <v>1150</v>
      </c>
    </row>
    <row r="108" spans="1:18" x14ac:dyDescent="0.3">
      <c r="A108" t="s">
        <v>374</v>
      </c>
      <c r="B108" s="6">
        <v>45301</v>
      </c>
      <c r="C108" t="s">
        <v>273</v>
      </c>
      <c r="D108" t="s">
        <v>1129</v>
      </c>
      <c r="E108" t="s">
        <v>111</v>
      </c>
      <c r="F108" t="s">
        <v>929</v>
      </c>
      <c r="G108" t="s">
        <v>34</v>
      </c>
      <c r="H108" t="s">
        <v>1078</v>
      </c>
      <c r="I108" t="s">
        <v>924</v>
      </c>
      <c r="J108" t="s">
        <v>15</v>
      </c>
      <c r="K108">
        <v>4390.62</v>
      </c>
      <c r="L108">
        <v>8</v>
      </c>
      <c r="M108">
        <v>0</v>
      </c>
      <c r="N108">
        <v>35124.959999999999</v>
      </c>
      <c r="O108">
        <v>35124.959999999999</v>
      </c>
      <c r="P108" t="s">
        <v>375</v>
      </c>
      <c r="Q108" t="s">
        <v>24</v>
      </c>
      <c r="R108" t="s">
        <v>1150</v>
      </c>
    </row>
    <row r="109" spans="1:18" x14ac:dyDescent="0.3">
      <c r="A109" t="s">
        <v>376</v>
      </c>
      <c r="B109" s="6">
        <v>45744</v>
      </c>
      <c r="C109" t="s">
        <v>134</v>
      </c>
      <c r="D109" t="s">
        <v>1047</v>
      </c>
      <c r="E109" t="s">
        <v>377</v>
      </c>
      <c r="F109" t="s">
        <v>909</v>
      </c>
      <c r="G109" t="s">
        <v>34</v>
      </c>
      <c r="H109" t="s">
        <v>1078</v>
      </c>
      <c r="I109" t="s">
        <v>910</v>
      </c>
      <c r="J109" t="s">
        <v>35</v>
      </c>
      <c r="K109">
        <v>4703.04</v>
      </c>
      <c r="L109">
        <v>6</v>
      </c>
      <c r="M109">
        <v>0.1</v>
      </c>
      <c r="N109">
        <v>28218.239999999998</v>
      </c>
      <c r="O109">
        <v>25396.415999999997</v>
      </c>
      <c r="P109" t="s">
        <v>337</v>
      </c>
      <c r="Q109" t="s">
        <v>17</v>
      </c>
      <c r="R109" t="s">
        <v>1150</v>
      </c>
    </row>
    <row r="110" spans="1:18" x14ac:dyDescent="0.3">
      <c r="A110" t="s">
        <v>378</v>
      </c>
      <c r="B110" s="6">
        <v>45759</v>
      </c>
      <c r="C110" t="s">
        <v>129</v>
      </c>
      <c r="D110" t="s">
        <v>1113</v>
      </c>
      <c r="E110" t="s">
        <v>153</v>
      </c>
      <c r="F110" t="s">
        <v>916</v>
      </c>
      <c r="G110" t="s">
        <v>34</v>
      </c>
      <c r="H110" t="s">
        <v>1078</v>
      </c>
      <c r="I110" t="s">
        <v>917</v>
      </c>
      <c r="J110" t="s">
        <v>35</v>
      </c>
      <c r="K110">
        <v>2128.4</v>
      </c>
      <c r="L110">
        <v>5</v>
      </c>
      <c r="M110">
        <v>0</v>
      </c>
      <c r="N110">
        <v>10642</v>
      </c>
      <c r="O110">
        <v>10642</v>
      </c>
      <c r="P110" t="s">
        <v>380</v>
      </c>
      <c r="Q110" t="s">
        <v>24</v>
      </c>
      <c r="R110" t="s">
        <v>1150</v>
      </c>
    </row>
    <row r="111" spans="1:18" x14ac:dyDescent="0.3">
      <c r="A111" t="s">
        <v>381</v>
      </c>
      <c r="B111" s="6">
        <v>45534</v>
      </c>
      <c r="C111" t="s">
        <v>137</v>
      </c>
      <c r="D111" t="s">
        <v>1114</v>
      </c>
      <c r="E111" t="s">
        <v>28</v>
      </c>
      <c r="F111" t="s">
        <v>897</v>
      </c>
      <c r="G111" t="s">
        <v>45</v>
      </c>
      <c r="H111" t="s">
        <v>1096</v>
      </c>
      <c r="I111" t="s">
        <v>896</v>
      </c>
      <c r="J111" t="s">
        <v>22</v>
      </c>
      <c r="K111">
        <v>733.33</v>
      </c>
      <c r="L111">
        <v>7</v>
      </c>
      <c r="M111">
        <v>0.1</v>
      </c>
      <c r="N111">
        <v>5133.3100000000004</v>
      </c>
      <c r="O111">
        <v>4619.9790000000003</v>
      </c>
      <c r="P111" t="s">
        <v>179</v>
      </c>
      <c r="Q111" t="s">
        <v>17</v>
      </c>
      <c r="R111" t="s">
        <v>1150</v>
      </c>
    </row>
    <row r="112" spans="1:18" x14ac:dyDescent="0.3">
      <c r="A112" t="s">
        <v>382</v>
      </c>
      <c r="B112" s="6">
        <v>45314</v>
      </c>
      <c r="C112" t="s">
        <v>102</v>
      </c>
      <c r="D112" t="s">
        <v>1111</v>
      </c>
      <c r="E112" t="s">
        <v>240</v>
      </c>
      <c r="F112" t="s">
        <v>920</v>
      </c>
      <c r="G112" t="s">
        <v>21</v>
      </c>
      <c r="H112" t="s">
        <v>1073</v>
      </c>
      <c r="I112" t="s">
        <v>917</v>
      </c>
      <c r="J112" t="s">
        <v>73</v>
      </c>
      <c r="K112">
        <v>2036.67</v>
      </c>
      <c r="L112">
        <v>7</v>
      </c>
      <c r="M112">
        <v>0</v>
      </c>
      <c r="N112">
        <v>14256.69</v>
      </c>
      <c r="O112">
        <v>14256.69</v>
      </c>
      <c r="P112" t="s">
        <v>384</v>
      </c>
      <c r="Q112" t="s">
        <v>42</v>
      </c>
      <c r="R112" t="s">
        <v>1150</v>
      </c>
    </row>
    <row r="113" spans="1:18" x14ac:dyDescent="0.3">
      <c r="A113" t="s">
        <v>385</v>
      </c>
      <c r="B113" s="6">
        <v>45800</v>
      </c>
      <c r="C113" t="s">
        <v>273</v>
      </c>
      <c r="D113" t="s">
        <v>1129</v>
      </c>
      <c r="E113" t="s">
        <v>77</v>
      </c>
      <c r="F113" t="s">
        <v>884</v>
      </c>
      <c r="G113" t="s">
        <v>34</v>
      </c>
      <c r="H113" t="s">
        <v>1078</v>
      </c>
      <c r="I113" t="s">
        <v>882</v>
      </c>
      <c r="J113" t="s">
        <v>22</v>
      </c>
      <c r="K113">
        <v>3550.89</v>
      </c>
      <c r="L113">
        <v>5</v>
      </c>
      <c r="M113">
        <v>0.2</v>
      </c>
      <c r="N113">
        <v>17754.45</v>
      </c>
      <c r="O113">
        <v>14203.560000000001</v>
      </c>
      <c r="P113" t="s">
        <v>287</v>
      </c>
      <c r="Q113" t="s">
        <v>60</v>
      </c>
      <c r="R113" t="s">
        <v>1150</v>
      </c>
    </row>
    <row r="114" spans="1:18" x14ac:dyDescent="0.3">
      <c r="A114" t="s">
        <v>387</v>
      </c>
      <c r="B114" s="6">
        <v>45486</v>
      </c>
      <c r="C114" t="s">
        <v>129</v>
      </c>
      <c r="D114" t="s">
        <v>1113</v>
      </c>
      <c r="E114" t="s">
        <v>389</v>
      </c>
      <c r="F114" t="s">
        <v>883</v>
      </c>
      <c r="G114" t="s">
        <v>82</v>
      </c>
      <c r="H114" t="s">
        <v>1076</v>
      </c>
      <c r="I114" t="s">
        <v>882</v>
      </c>
      <c r="J114" t="s">
        <v>73</v>
      </c>
      <c r="K114">
        <v>991.59</v>
      </c>
      <c r="L114">
        <v>10</v>
      </c>
      <c r="M114">
        <v>0</v>
      </c>
      <c r="N114">
        <v>9915.9</v>
      </c>
      <c r="O114">
        <v>9915.9</v>
      </c>
      <c r="P114" t="s">
        <v>230</v>
      </c>
      <c r="Q114" t="s">
        <v>24</v>
      </c>
      <c r="R114" t="s">
        <v>1150</v>
      </c>
    </row>
    <row r="115" spans="1:18" x14ac:dyDescent="0.3">
      <c r="A115" t="s">
        <v>390</v>
      </c>
      <c r="B115" s="6">
        <v>45608</v>
      </c>
      <c r="C115" t="s">
        <v>392</v>
      </c>
      <c r="D115" t="s">
        <v>1134</v>
      </c>
      <c r="E115" t="s">
        <v>389</v>
      </c>
      <c r="F115" t="s">
        <v>883</v>
      </c>
      <c r="G115" t="s">
        <v>14</v>
      </c>
      <c r="H115" t="s">
        <v>1080</v>
      </c>
      <c r="I115" t="s">
        <v>882</v>
      </c>
      <c r="J115" t="s">
        <v>22</v>
      </c>
      <c r="K115">
        <v>991.59</v>
      </c>
      <c r="L115">
        <v>8</v>
      </c>
      <c r="M115">
        <v>0</v>
      </c>
      <c r="N115">
        <v>7932.72</v>
      </c>
      <c r="O115">
        <v>7932.72</v>
      </c>
      <c r="P115" t="s">
        <v>393</v>
      </c>
      <c r="Q115" t="s">
        <v>60</v>
      </c>
      <c r="R115" t="s">
        <v>1150</v>
      </c>
    </row>
    <row r="116" spans="1:18" x14ac:dyDescent="0.3">
      <c r="A116" t="s">
        <v>394</v>
      </c>
      <c r="B116" s="6">
        <v>45384</v>
      </c>
      <c r="C116" t="s">
        <v>141</v>
      </c>
      <c r="D116" t="s">
        <v>1115</v>
      </c>
      <c r="E116" t="s">
        <v>196</v>
      </c>
      <c r="F116" t="s">
        <v>885</v>
      </c>
      <c r="G116" t="s">
        <v>82</v>
      </c>
      <c r="H116" t="s">
        <v>1076</v>
      </c>
      <c r="I116" t="s">
        <v>882</v>
      </c>
      <c r="J116" t="s">
        <v>15</v>
      </c>
      <c r="K116">
        <v>2184.5100000000002</v>
      </c>
      <c r="L116">
        <v>5</v>
      </c>
      <c r="M116">
        <v>0</v>
      </c>
      <c r="N116">
        <v>10922.550000000001</v>
      </c>
      <c r="O116">
        <v>10922.550000000001</v>
      </c>
      <c r="P116" t="s">
        <v>396</v>
      </c>
      <c r="Q116" t="s">
        <v>60</v>
      </c>
      <c r="R116" t="s">
        <v>1150</v>
      </c>
    </row>
    <row r="117" spans="1:18" x14ac:dyDescent="0.3">
      <c r="A117" t="s">
        <v>397</v>
      </c>
      <c r="B117" s="6">
        <v>45427</v>
      </c>
      <c r="C117" t="s">
        <v>141</v>
      </c>
      <c r="D117" t="s">
        <v>1115</v>
      </c>
      <c r="E117" t="s">
        <v>94</v>
      </c>
      <c r="F117" t="s">
        <v>935</v>
      </c>
      <c r="G117" t="s">
        <v>45</v>
      </c>
      <c r="H117" t="s">
        <v>1096</v>
      </c>
      <c r="I117" t="s">
        <v>931</v>
      </c>
      <c r="J117" t="s">
        <v>22</v>
      </c>
      <c r="K117">
        <v>3610.44</v>
      </c>
      <c r="L117">
        <v>9</v>
      </c>
      <c r="M117">
        <v>0</v>
      </c>
      <c r="N117">
        <v>32493.96</v>
      </c>
      <c r="O117">
        <v>32493.96</v>
      </c>
      <c r="P117" t="s">
        <v>398</v>
      </c>
      <c r="Q117" t="s">
        <v>60</v>
      </c>
      <c r="R117" t="s">
        <v>1150</v>
      </c>
    </row>
    <row r="118" spans="1:18" x14ac:dyDescent="0.3">
      <c r="A118" t="s">
        <v>399</v>
      </c>
      <c r="B118" s="6">
        <v>45555</v>
      </c>
      <c r="C118" t="s">
        <v>141</v>
      </c>
      <c r="D118" t="s">
        <v>1115</v>
      </c>
      <c r="E118" t="s">
        <v>400</v>
      </c>
      <c r="F118" t="s">
        <v>923</v>
      </c>
      <c r="G118" t="s">
        <v>14</v>
      </c>
      <c r="H118" t="s">
        <v>1080</v>
      </c>
      <c r="I118" t="s">
        <v>924</v>
      </c>
      <c r="J118" t="s">
        <v>22</v>
      </c>
      <c r="K118">
        <v>588.75</v>
      </c>
      <c r="L118">
        <v>8</v>
      </c>
      <c r="M118">
        <v>0.2</v>
      </c>
      <c r="N118">
        <v>4710</v>
      </c>
      <c r="O118">
        <v>3768</v>
      </c>
      <c r="P118" t="s">
        <v>401</v>
      </c>
      <c r="Q118" t="s">
        <v>24</v>
      </c>
      <c r="R118" t="s">
        <v>1150</v>
      </c>
    </row>
    <row r="119" spans="1:18" x14ac:dyDescent="0.3">
      <c r="A119" t="s">
        <v>402</v>
      </c>
      <c r="B119" s="6">
        <v>45771</v>
      </c>
      <c r="C119" t="s">
        <v>403</v>
      </c>
      <c r="D119" t="s">
        <v>1135</v>
      </c>
      <c r="E119" t="s">
        <v>44</v>
      </c>
      <c r="F119" t="s">
        <v>911</v>
      </c>
      <c r="G119" t="s">
        <v>34</v>
      </c>
      <c r="H119" t="s">
        <v>1078</v>
      </c>
      <c r="I119" t="s">
        <v>910</v>
      </c>
      <c r="J119" t="s">
        <v>35</v>
      </c>
      <c r="K119">
        <v>973.21</v>
      </c>
      <c r="L119">
        <v>2</v>
      </c>
      <c r="M119">
        <v>0</v>
      </c>
      <c r="N119">
        <v>1946.42</v>
      </c>
      <c r="O119">
        <v>1946.42</v>
      </c>
      <c r="P119" t="s">
        <v>404</v>
      </c>
      <c r="Q119" t="s">
        <v>42</v>
      </c>
      <c r="R119" t="s">
        <v>1150</v>
      </c>
    </row>
    <row r="120" spans="1:18" x14ac:dyDescent="0.3">
      <c r="A120" t="s">
        <v>405</v>
      </c>
      <c r="B120" s="6">
        <v>45666</v>
      </c>
      <c r="C120" t="s">
        <v>311</v>
      </c>
      <c r="D120" t="s">
        <v>1132</v>
      </c>
      <c r="E120" t="s">
        <v>40</v>
      </c>
      <c r="F120" t="s">
        <v>928</v>
      </c>
      <c r="G120" t="s">
        <v>21</v>
      </c>
      <c r="H120" t="s">
        <v>1073</v>
      </c>
      <c r="I120" t="s">
        <v>924</v>
      </c>
      <c r="J120" t="s">
        <v>73</v>
      </c>
      <c r="K120">
        <v>136.91</v>
      </c>
      <c r="L120">
        <v>2</v>
      </c>
      <c r="M120">
        <v>0.2</v>
      </c>
      <c r="N120">
        <v>273.82</v>
      </c>
      <c r="O120">
        <v>219.05600000000001</v>
      </c>
      <c r="P120" t="s">
        <v>407</v>
      </c>
      <c r="Q120" t="s">
        <v>17</v>
      </c>
      <c r="R120" t="s">
        <v>1150</v>
      </c>
    </row>
    <row r="121" spans="1:18" x14ac:dyDescent="0.3">
      <c r="A121" t="s">
        <v>408</v>
      </c>
      <c r="B121" s="6">
        <v>45418</v>
      </c>
      <c r="C121" t="s">
        <v>80</v>
      </c>
      <c r="D121" t="s">
        <v>1109</v>
      </c>
      <c r="E121" t="s">
        <v>304</v>
      </c>
      <c r="F121" t="s">
        <v>890</v>
      </c>
      <c r="G121" t="s">
        <v>34</v>
      </c>
      <c r="H121" t="s">
        <v>1078</v>
      </c>
      <c r="I121" t="s">
        <v>889</v>
      </c>
      <c r="J121" t="s">
        <v>35</v>
      </c>
      <c r="K121">
        <v>1498.91</v>
      </c>
      <c r="L121">
        <v>8</v>
      </c>
      <c r="M121">
        <v>0</v>
      </c>
      <c r="N121">
        <v>11991.28</v>
      </c>
      <c r="O121">
        <v>11991.28</v>
      </c>
      <c r="P121" t="s">
        <v>410</v>
      </c>
      <c r="Q121" t="s">
        <v>17</v>
      </c>
      <c r="R121" t="s">
        <v>1150</v>
      </c>
    </row>
    <row r="122" spans="1:18" x14ac:dyDescent="0.3">
      <c r="A122" t="s">
        <v>411</v>
      </c>
      <c r="B122" s="6">
        <v>45402</v>
      </c>
      <c r="C122" t="s">
        <v>331</v>
      </c>
      <c r="D122" t="s">
        <v>1006</v>
      </c>
      <c r="E122" t="s">
        <v>226</v>
      </c>
      <c r="F122" t="s">
        <v>904</v>
      </c>
      <c r="G122" t="s">
        <v>34</v>
      </c>
      <c r="H122" t="s">
        <v>1078</v>
      </c>
      <c r="I122" t="s">
        <v>903</v>
      </c>
      <c r="J122" t="s">
        <v>22</v>
      </c>
      <c r="K122">
        <v>2359.5</v>
      </c>
      <c r="L122">
        <v>4</v>
      </c>
      <c r="M122">
        <v>0.05</v>
      </c>
      <c r="N122">
        <v>9438</v>
      </c>
      <c r="O122">
        <v>8966.1</v>
      </c>
      <c r="P122" t="s">
        <v>413</v>
      </c>
      <c r="Q122" t="s">
        <v>42</v>
      </c>
      <c r="R122" t="s">
        <v>1150</v>
      </c>
    </row>
    <row r="123" spans="1:18" x14ac:dyDescent="0.3">
      <c r="A123" t="s">
        <v>414</v>
      </c>
      <c r="B123" s="6">
        <v>45518</v>
      </c>
      <c r="C123" t="s">
        <v>273</v>
      </c>
      <c r="D123" t="s">
        <v>1129</v>
      </c>
      <c r="E123" t="s">
        <v>153</v>
      </c>
      <c r="F123" t="s">
        <v>916</v>
      </c>
      <c r="G123" t="s">
        <v>82</v>
      </c>
      <c r="H123" t="s">
        <v>1076</v>
      </c>
      <c r="I123" t="s">
        <v>917</v>
      </c>
      <c r="J123" t="s">
        <v>22</v>
      </c>
      <c r="K123">
        <v>2128.4</v>
      </c>
      <c r="L123">
        <v>2</v>
      </c>
      <c r="M123">
        <v>0.15</v>
      </c>
      <c r="N123">
        <v>4256.8</v>
      </c>
      <c r="O123">
        <v>3618.28</v>
      </c>
      <c r="P123" t="s">
        <v>415</v>
      </c>
      <c r="Q123" t="s">
        <v>30</v>
      </c>
      <c r="R123" t="s">
        <v>1150</v>
      </c>
    </row>
    <row r="124" spans="1:18" x14ac:dyDescent="0.3">
      <c r="A124" t="s">
        <v>416</v>
      </c>
      <c r="B124" s="6">
        <v>45411</v>
      </c>
      <c r="C124" t="s">
        <v>98</v>
      </c>
      <c r="D124" t="s">
        <v>1110</v>
      </c>
      <c r="E124" t="s">
        <v>254</v>
      </c>
      <c r="F124" t="s">
        <v>918</v>
      </c>
      <c r="G124" t="s">
        <v>82</v>
      </c>
      <c r="H124" t="s">
        <v>1076</v>
      </c>
      <c r="I124" t="s">
        <v>917</v>
      </c>
      <c r="J124" t="s">
        <v>22</v>
      </c>
      <c r="K124">
        <v>605.26</v>
      </c>
      <c r="L124">
        <v>3</v>
      </c>
      <c r="M124">
        <v>0</v>
      </c>
      <c r="N124">
        <v>1815.78</v>
      </c>
      <c r="O124">
        <v>1815.78</v>
      </c>
      <c r="P124" t="s">
        <v>280</v>
      </c>
      <c r="Q124" t="s">
        <v>30</v>
      </c>
      <c r="R124" t="s">
        <v>1150</v>
      </c>
    </row>
    <row r="125" spans="1:18" x14ac:dyDescent="0.3">
      <c r="A125" t="s">
        <v>417</v>
      </c>
      <c r="B125" s="6">
        <v>45410</v>
      </c>
      <c r="C125" t="s">
        <v>199</v>
      </c>
      <c r="D125" t="s">
        <v>1123</v>
      </c>
      <c r="E125" t="s">
        <v>67</v>
      </c>
      <c r="F125" t="s">
        <v>925</v>
      </c>
      <c r="G125" t="s">
        <v>45</v>
      </c>
      <c r="H125" t="s">
        <v>1096</v>
      </c>
      <c r="I125" t="s">
        <v>924</v>
      </c>
      <c r="J125" t="s">
        <v>15</v>
      </c>
      <c r="K125">
        <v>3205.14</v>
      </c>
      <c r="L125">
        <v>2</v>
      </c>
      <c r="M125">
        <v>0</v>
      </c>
      <c r="N125">
        <v>6410.28</v>
      </c>
      <c r="O125">
        <v>6410.28</v>
      </c>
      <c r="P125" t="s">
        <v>284</v>
      </c>
      <c r="Q125" t="s">
        <v>30</v>
      </c>
      <c r="R125" t="s">
        <v>1150</v>
      </c>
    </row>
    <row r="126" spans="1:18" x14ac:dyDescent="0.3">
      <c r="A126" t="s">
        <v>418</v>
      </c>
      <c r="B126" s="6">
        <v>45756</v>
      </c>
      <c r="C126" t="s">
        <v>66</v>
      </c>
      <c r="D126" t="s">
        <v>1108</v>
      </c>
      <c r="E126" t="s">
        <v>300</v>
      </c>
      <c r="F126" t="s">
        <v>901</v>
      </c>
      <c r="G126" t="s">
        <v>45</v>
      </c>
      <c r="H126" t="s">
        <v>1096</v>
      </c>
      <c r="I126" t="s">
        <v>896</v>
      </c>
      <c r="J126" t="s">
        <v>35</v>
      </c>
      <c r="K126">
        <v>4174.32</v>
      </c>
      <c r="L126">
        <v>6</v>
      </c>
      <c r="M126">
        <v>0.15</v>
      </c>
      <c r="N126">
        <v>25045.919999999998</v>
      </c>
      <c r="O126">
        <v>21289.031999999999</v>
      </c>
      <c r="P126" t="s">
        <v>313</v>
      </c>
      <c r="Q126" t="s">
        <v>42</v>
      </c>
      <c r="R126" t="s">
        <v>1150</v>
      </c>
    </row>
    <row r="127" spans="1:18" x14ac:dyDescent="0.3">
      <c r="A127" t="s">
        <v>419</v>
      </c>
      <c r="B127" s="6">
        <v>45450</v>
      </c>
      <c r="C127" t="s">
        <v>218</v>
      </c>
      <c r="D127" t="s">
        <v>1003</v>
      </c>
      <c r="E127" t="s">
        <v>28</v>
      </c>
      <c r="F127" t="s">
        <v>897</v>
      </c>
      <c r="G127" t="s">
        <v>34</v>
      </c>
      <c r="H127" t="s">
        <v>1078</v>
      </c>
      <c r="I127" t="s">
        <v>896</v>
      </c>
      <c r="J127" t="s">
        <v>35</v>
      </c>
      <c r="K127">
        <v>733.33</v>
      </c>
      <c r="L127">
        <v>7</v>
      </c>
      <c r="M127">
        <v>0.15</v>
      </c>
      <c r="N127">
        <v>5133.3100000000004</v>
      </c>
      <c r="O127">
        <v>4363.3135000000002</v>
      </c>
      <c r="P127" t="s">
        <v>266</v>
      </c>
      <c r="Q127" t="s">
        <v>42</v>
      </c>
      <c r="R127" t="s">
        <v>1150</v>
      </c>
    </row>
    <row r="128" spans="1:18" x14ac:dyDescent="0.3">
      <c r="A128" t="s">
        <v>1153</v>
      </c>
      <c r="B128" s="6">
        <v>45450</v>
      </c>
      <c r="C128" t="s">
        <v>218</v>
      </c>
      <c r="D128" t="s">
        <v>1003</v>
      </c>
      <c r="E128" t="s">
        <v>28</v>
      </c>
      <c r="F128" t="s">
        <v>892</v>
      </c>
      <c r="G128" t="s">
        <v>34</v>
      </c>
      <c r="H128" t="s">
        <v>1078</v>
      </c>
      <c r="I128" t="s">
        <v>896</v>
      </c>
      <c r="J128" t="s">
        <v>35</v>
      </c>
      <c r="K128">
        <v>733.33</v>
      </c>
      <c r="L128">
        <v>7</v>
      </c>
      <c r="M128">
        <v>0.15</v>
      </c>
      <c r="N128">
        <v>5133.3100000000004</v>
      </c>
      <c r="O128">
        <v>4363.3135000000002</v>
      </c>
      <c r="P128" t="s">
        <v>266</v>
      </c>
      <c r="Q128" t="s">
        <v>42</v>
      </c>
      <c r="R128" t="s">
        <v>1150</v>
      </c>
    </row>
    <row r="129" spans="1:18" x14ac:dyDescent="0.3">
      <c r="A129" t="s">
        <v>420</v>
      </c>
      <c r="B129" s="6">
        <v>45709</v>
      </c>
      <c r="C129" t="s">
        <v>356</v>
      </c>
      <c r="D129" t="s">
        <v>1133</v>
      </c>
      <c r="E129" t="s">
        <v>206</v>
      </c>
      <c r="F129" t="s">
        <v>897</v>
      </c>
      <c r="G129" t="s">
        <v>34</v>
      </c>
      <c r="H129" t="s">
        <v>1078</v>
      </c>
      <c r="I129" t="s">
        <v>882</v>
      </c>
      <c r="J129" t="s">
        <v>15</v>
      </c>
      <c r="K129">
        <v>2779.58</v>
      </c>
      <c r="L129">
        <v>5</v>
      </c>
      <c r="M129">
        <v>0</v>
      </c>
      <c r="N129">
        <v>13897.9</v>
      </c>
      <c r="O129">
        <v>13897.9</v>
      </c>
      <c r="P129" t="s">
        <v>421</v>
      </c>
      <c r="Q129" t="s">
        <v>30</v>
      </c>
      <c r="R129" t="s">
        <v>1150</v>
      </c>
    </row>
    <row r="130" spans="1:18" x14ac:dyDescent="0.3">
      <c r="A130" t="s">
        <v>422</v>
      </c>
      <c r="B130" s="6">
        <v>45747</v>
      </c>
      <c r="C130" t="s">
        <v>291</v>
      </c>
      <c r="D130" t="s">
        <v>1131</v>
      </c>
      <c r="E130" t="s">
        <v>226</v>
      </c>
      <c r="F130" t="s">
        <v>887</v>
      </c>
      <c r="G130" t="s">
        <v>34</v>
      </c>
      <c r="H130" t="s">
        <v>1078</v>
      </c>
      <c r="I130" t="s">
        <v>903</v>
      </c>
      <c r="J130" t="s">
        <v>73</v>
      </c>
      <c r="K130">
        <v>2359.5</v>
      </c>
      <c r="L130">
        <v>4</v>
      </c>
      <c r="M130">
        <v>0.2</v>
      </c>
      <c r="N130">
        <v>9438</v>
      </c>
      <c r="O130">
        <v>7550.4000000000005</v>
      </c>
      <c r="P130" t="s">
        <v>423</v>
      </c>
      <c r="Q130" t="s">
        <v>17</v>
      </c>
      <c r="R130" t="s">
        <v>1150</v>
      </c>
    </row>
    <row r="131" spans="1:18" x14ac:dyDescent="0.3">
      <c r="A131" t="s">
        <v>424</v>
      </c>
      <c r="B131" s="6">
        <v>45659</v>
      </c>
      <c r="C131" t="s">
        <v>105</v>
      </c>
      <c r="D131" t="s">
        <v>941</v>
      </c>
      <c r="E131" t="s">
        <v>72</v>
      </c>
      <c r="F131" t="s">
        <v>904</v>
      </c>
      <c r="G131" t="s">
        <v>21</v>
      </c>
      <c r="H131" t="s">
        <v>1073</v>
      </c>
      <c r="I131" t="s">
        <v>917</v>
      </c>
      <c r="J131" t="s">
        <v>15</v>
      </c>
      <c r="K131">
        <v>2316.1999999999998</v>
      </c>
      <c r="L131">
        <v>1</v>
      </c>
      <c r="M131">
        <v>0.05</v>
      </c>
      <c r="N131">
        <v>2316.1999999999998</v>
      </c>
      <c r="O131">
        <v>2200.39</v>
      </c>
      <c r="P131" t="s">
        <v>425</v>
      </c>
      <c r="Q131" t="s">
        <v>24</v>
      </c>
      <c r="R131" t="s">
        <v>1150</v>
      </c>
    </row>
    <row r="132" spans="1:18" x14ac:dyDescent="0.3">
      <c r="A132" t="s">
        <v>426</v>
      </c>
      <c r="B132" s="6">
        <v>45757</v>
      </c>
      <c r="C132" t="s">
        <v>124</v>
      </c>
      <c r="D132" t="s">
        <v>1112</v>
      </c>
      <c r="E132" t="s">
        <v>72</v>
      </c>
      <c r="F132" t="s">
        <v>919</v>
      </c>
      <c r="G132" t="s">
        <v>34</v>
      </c>
      <c r="H132" t="s">
        <v>1078</v>
      </c>
      <c r="I132" t="s">
        <v>917</v>
      </c>
      <c r="J132" t="s">
        <v>73</v>
      </c>
      <c r="K132">
        <v>2316.1999999999998</v>
      </c>
      <c r="L132">
        <v>2</v>
      </c>
      <c r="M132">
        <v>0.15</v>
      </c>
      <c r="N132">
        <v>4632.3999999999996</v>
      </c>
      <c r="O132">
        <v>3937.5399999999995</v>
      </c>
      <c r="P132" t="s">
        <v>428</v>
      </c>
      <c r="Q132" t="s">
        <v>24</v>
      </c>
      <c r="R132" t="s">
        <v>1150</v>
      </c>
    </row>
    <row r="133" spans="1:18" x14ac:dyDescent="0.3">
      <c r="A133" t="s">
        <v>429</v>
      </c>
      <c r="B133" s="6">
        <v>45633</v>
      </c>
      <c r="C133" t="s">
        <v>129</v>
      </c>
      <c r="D133" t="s">
        <v>1113</v>
      </c>
      <c r="E133" t="s">
        <v>249</v>
      </c>
      <c r="F133" t="s">
        <v>919</v>
      </c>
      <c r="G133" t="s">
        <v>34</v>
      </c>
      <c r="H133" t="s">
        <v>1078</v>
      </c>
      <c r="I133" t="s">
        <v>889</v>
      </c>
      <c r="J133" t="s">
        <v>15</v>
      </c>
      <c r="K133">
        <v>1309.58</v>
      </c>
      <c r="L133">
        <v>4</v>
      </c>
      <c r="M133">
        <v>0</v>
      </c>
      <c r="N133">
        <v>5238.32</v>
      </c>
      <c r="O133">
        <v>5238.32</v>
      </c>
      <c r="P133" t="s">
        <v>430</v>
      </c>
      <c r="Q133" t="s">
        <v>24</v>
      </c>
      <c r="R133" t="s">
        <v>1150</v>
      </c>
    </row>
    <row r="134" spans="1:18" x14ac:dyDescent="0.3">
      <c r="A134" t="s">
        <v>431</v>
      </c>
      <c r="B134" s="6">
        <v>45504</v>
      </c>
      <c r="C134" t="s">
        <v>53</v>
      </c>
      <c r="D134" t="s">
        <v>1047</v>
      </c>
      <c r="E134" t="s">
        <v>206</v>
      </c>
      <c r="F134" t="s">
        <v>893</v>
      </c>
      <c r="G134" t="s">
        <v>21</v>
      </c>
      <c r="H134" t="s">
        <v>1073</v>
      </c>
      <c r="I134" t="s">
        <v>882</v>
      </c>
      <c r="J134" t="s">
        <v>22</v>
      </c>
      <c r="K134">
        <v>2779.58</v>
      </c>
      <c r="L134">
        <v>10</v>
      </c>
      <c r="M134">
        <v>0</v>
      </c>
      <c r="N134">
        <v>27795.8</v>
      </c>
      <c r="O134">
        <v>27795.8</v>
      </c>
      <c r="P134" t="s">
        <v>433</v>
      </c>
      <c r="Q134" t="s">
        <v>60</v>
      </c>
      <c r="R134" t="s">
        <v>1150</v>
      </c>
    </row>
    <row r="135" spans="1:18" x14ac:dyDescent="0.3">
      <c r="A135" t="s">
        <v>434</v>
      </c>
      <c r="B135" s="6">
        <v>45294</v>
      </c>
      <c r="C135" t="s">
        <v>157</v>
      </c>
      <c r="D135" t="s">
        <v>1117</v>
      </c>
      <c r="E135" t="s">
        <v>377</v>
      </c>
      <c r="F135" t="s">
        <v>887</v>
      </c>
      <c r="G135" t="s">
        <v>45</v>
      </c>
      <c r="H135" t="s">
        <v>1096</v>
      </c>
      <c r="I135" t="s">
        <v>910</v>
      </c>
      <c r="J135" t="s">
        <v>15</v>
      </c>
      <c r="K135">
        <v>4703.04</v>
      </c>
      <c r="L135">
        <v>5</v>
      </c>
      <c r="M135">
        <v>0.2</v>
      </c>
      <c r="N135">
        <v>23515.200000000001</v>
      </c>
      <c r="O135">
        <v>18812.16</v>
      </c>
      <c r="P135" t="s">
        <v>435</v>
      </c>
      <c r="Q135" t="s">
        <v>42</v>
      </c>
      <c r="R135" t="s">
        <v>1150</v>
      </c>
    </row>
    <row r="136" spans="1:18" x14ac:dyDescent="0.3">
      <c r="A136" t="s">
        <v>436</v>
      </c>
      <c r="B136" s="6">
        <v>45548</v>
      </c>
      <c r="C136" t="s">
        <v>403</v>
      </c>
      <c r="D136" t="s">
        <v>1135</v>
      </c>
      <c r="E136" t="s">
        <v>153</v>
      </c>
      <c r="F136" t="s">
        <v>909</v>
      </c>
      <c r="G136" t="s">
        <v>34</v>
      </c>
      <c r="H136" t="s">
        <v>1078</v>
      </c>
      <c r="I136" t="s">
        <v>917</v>
      </c>
      <c r="J136" t="s">
        <v>15</v>
      </c>
      <c r="K136">
        <v>2128.4</v>
      </c>
      <c r="L136">
        <v>3</v>
      </c>
      <c r="M136">
        <v>0</v>
      </c>
      <c r="N136">
        <v>6385.2000000000007</v>
      </c>
      <c r="O136">
        <v>6385.2000000000007</v>
      </c>
      <c r="P136" t="s">
        <v>225</v>
      </c>
      <c r="Q136" t="s">
        <v>24</v>
      </c>
      <c r="R136" t="s">
        <v>1150</v>
      </c>
    </row>
    <row r="137" spans="1:18" x14ac:dyDescent="0.3">
      <c r="A137" t="s">
        <v>437</v>
      </c>
      <c r="B137" s="6">
        <v>45658</v>
      </c>
      <c r="C137" t="s">
        <v>171</v>
      </c>
      <c r="D137" t="s">
        <v>1010</v>
      </c>
      <c r="E137" t="s">
        <v>33</v>
      </c>
      <c r="F137" t="s">
        <v>916</v>
      </c>
      <c r="G137" t="s">
        <v>82</v>
      </c>
      <c r="H137" t="s">
        <v>1076</v>
      </c>
      <c r="I137" t="s">
        <v>931</v>
      </c>
      <c r="J137" t="s">
        <v>73</v>
      </c>
      <c r="K137">
        <v>620.89</v>
      </c>
      <c r="L137">
        <v>4</v>
      </c>
      <c r="M137">
        <v>0.1</v>
      </c>
      <c r="N137">
        <v>2483.56</v>
      </c>
      <c r="O137">
        <v>2235.2040000000002</v>
      </c>
      <c r="P137" t="s">
        <v>425</v>
      </c>
      <c r="Q137" t="s">
        <v>60</v>
      </c>
      <c r="R137" t="s">
        <v>1150</v>
      </c>
    </row>
    <row r="138" spans="1:18" x14ac:dyDescent="0.3">
      <c r="A138" t="s">
        <v>439</v>
      </c>
      <c r="B138" s="6">
        <v>45563</v>
      </c>
      <c r="C138" t="s">
        <v>253</v>
      </c>
      <c r="D138" t="s">
        <v>1044</v>
      </c>
      <c r="E138" t="s">
        <v>148</v>
      </c>
      <c r="F138" t="s">
        <v>932</v>
      </c>
      <c r="G138" t="s">
        <v>45</v>
      </c>
      <c r="H138" t="s">
        <v>1096</v>
      </c>
      <c r="I138" t="s">
        <v>931</v>
      </c>
      <c r="J138" t="s">
        <v>73</v>
      </c>
      <c r="K138">
        <v>3576.75</v>
      </c>
      <c r="L138">
        <v>1</v>
      </c>
      <c r="M138">
        <v>0</v>
      </c>
      <c r="N138">
        <v>3576.75</v>
      </c>
      <c r="O138">
        <v>3576.75</v>
      </c>
      <c r="P138" t="s">
        <v>441</v>
      </c>
      <c r="Q138" t="s">
        <v>24</v>
      </c>
      <c r="R138" t="s">
        <v>1150</v>
      </c>
    </row>
    <row r="139" spans="1:18" x14ac:dyDescent="0.3">
      <c r="A139" t="s">
        <v>442</v>
      </c>
      <c r="B139" s="6">
        <v>45779</v>
      </c>
      <c r="C139" t="s">
        <v>209</v>
      </c>
      <c r="D139" t="s">
        <v>966</v>
      </c>
      <c r="E139" t="s">
        <v>72</v>
      </c>
      <c r="F139" t="s">
        <v>933</v>
      </c>
      <c r="G139" t="s">
        <v>14</v>
      </c>
      <c r="H139" t="s">
        <v>1080</v>
      </c>
      <c r="I139" t="s">
        <v>917</v>
      </c>
      <c r="J139" t="s">
        <v>73</v>
      </c>
      <c r="K139">
        <v>2316.1999999999998</v>
      </c>
      <c r="L139">
        <v>8</v>
      </c>
      <c r="M139">
        <v>0.2</v>
      </c>
      <c r="N139">
        <v>18529.599999999999</v>
      </c>
      <c r="O139">
        <v>14823.68</v>
      </c>
      <c r="P139" t="s">
        <v>242</v>
      </c>
      <c r="Q139" t="s">
        <v>30</v>
      </c>
      <c r="R139" t="s">
        <v>1150</v>
      </c>
    </row>
    <row r="140" spans="1:18" x14ac:dyDescent="0.3">
      <c r="A140" t="s">
        <v>443</v>
      </c>
      <c r="B140" s="6">
        <v>45807</v>
      </c>
      <c r="C140" t="s">
        <v>190</v>
      </c>
      <c r="D140" t="s">
        <v>1119</v>
      </c>
      <c r="E140" t="s">
        <v>164</v>
      </c>
      <c r="F140" t="s">
        <v>919</v>
      </c>
      <c r="G140" t="s">
        <v>21</v>
      </c>
      <c r="H140" t="s">
        <v>1073</v>
      </c>
      <c r="I140" t="s">
        <v>917</v>
      </c>
      <c r="J140" t="s">
        <v>22</v>
      </c>
      <c r="K140">
        <v>2489.91</v>
      </c>
      <c r="L140">
        <v>4</v>
      </c>
      <c r="M140">
        <v>0.1</v>
      </c>
      <c r="N140">
        <v>9959.64</v>
      </c>
      <c r="O140">
        <v>8963.6759999999995</v>
      </c>
      <c r="P140" t="s">
        <v>445</v>
      </c>
      <c r="Q140" t="s">
        <v>30</v>
      </c>
      <c r="R140" t="s">
        <v>1150</v>
      </c>
    </row>
    <row r="141" spans="1:18" x14ac:dyDescent="0.3">
      <c r="A141" t="s">
        <v>446</v>
      </c>
      <c r="B141" s="6">
        <v>45323</v>
      </c>
      <c r="C141" t="s">
        <v>190</v>
      </c>
      <c r="D141" t="s">
        <v>1119</v>
      </c>
      <c r="E141" t="s">
        <v>400</v>
      </c>
      <c r="F141" t="s">
        <v>922</v>
      </c>
      <c r="G141" t="s">
        <v>45</v>
      </c>
      <c r="H141" t="s">
        <v>1096</v>
      </c>
      <c r="I141" t="s">
        <v>924</v>
      </c>
      <c r="J141" t="s">
        <v>35</v>
      </c>
      <c r="K141">
        <v>588.75</v>
      </c>
      <c r="L141">
        <v>1</v>
      </c>
      <c r="M141">
        <v>0.05</v>
      </c>
      <c r="N141">
        <v>588.75</v>
      </c>
      <c r="O141">
        <v>559.3125</v>
      </c>
      <c r="P141" t="s">
        <v>274</v>
      </c>
      <c r="Q141" t="s">
        <v>24</v>
      </c>
      <c r="R141" t="s">
        <v>1150</v>
      </c>
    </row>
    <row r="142" spans="1:18" x14ac:dyDescent="0.3">
      <c r="A142" t="s">
        <v>448</v>
      </c>
      <c r="B142" s="6">
        <v>45794</v>
      </c>
      <c r="C142" t="s">
        <v>12</v>
      </c>
      <c r="D142" t="s">
        <v>1103</v>
      </c>
      <c r="E142" t="s">
        <v>116</v>
      </c>
      <c r="F142" t="s">
        <v>923</v>
      </c>
      <c r="G142" t="s">
        <v>82</v>
      </c>
      <c r="H142" t="s">
        <v>1076</v>
      </c>
      <c r="I142" t="s">
        <v>889</v>
      </c>
      <c r="J142" t="s">
        <v>22</v>
      </c>
      <c r="K142">
        <v>1156.02</v>
      </c>
      <c r="L142">
        <v>8</v>
      </c>
      <c r="M142">
        <v>0</v>
      </c>
      <c r="N142">
        <v>9248.16</v>
      </c>
      <c r="O142">
        <v>9248.16</v>
      </c>
      <c r="P142" t="s">
        <v>449</v>
      </c>
      <c r="Q142" t="s">
        <v>42</v>
      </c>
      <c r="R142" t="s">
        <v>1150</v>
      </c>
    </row>
    <row r="143" spans="1:18" x14ac:dyDescent="0.3">
      <c r="A143" t="s">
        <v>450</v>
      </c>
      <c r="B143" s="6">
        <v>45443</v>
      </c>
      <c r="C143" t="s">
        <v>39</v>
      </c>
      <c r="D143" t="s">
        <v>990</v>
      </c>
      <c r="E143" t="s">
        <v>153</v>
      </c>
      <c r="F143" t="s">
        <v>892</v>
      </c>
      <c r="G143" t="s">
        <v>34</v>
      </c>
      <c r="H143" t="s">
        <v>1078</v>
      </c>
      <c r="I143" t="s">
        <v>917</v>
      </c>
      <c r="J143" t="s">
        <v>22</v>
      </c>
      <c r="K143">
        <v>2128.4</v>
      </c>
      <c r="L143">
        <v>2</v>
      </c>
      <c r="M143">
        <v>0</v>
      </c>
      <c r="N143">
        <v>4256.8</v>
      </c>
      <c r="O143">
        <v>4256.8</v>
      </c>
      <c r="P143" t="s">
        <v>368</v>
      </c>
      <c r="Q143" t="s">
        <v>30</v>
      </c>
      <c r="R143" t="s">
        <v>1150</v>
      </c>
    </row>
    <row r="144" spans="1:18" x14ac:dyDescent="0.3">
      <c r="A144" t="s">
        <v>451</v>
      </c>
      <c r="B144" s="6">
        <v>45835</v>
      </c>
      <c r="C144" t="s">
        <v>234</v>
      </c>
      <c r="D144" t="s">
        <v>1127</v>
      </c>
      <c r="E144" t="s">
        <v>77</v>
      </c>
      <c r="F144" t="s">
        <v>916</v>
      </c>
      <c r="G144" t="s">
        <v>34</v>
      </c>
      <c r="H144" t="s">
        <v>1078</v>
      </c>
      <c r="I144" t="s">
        <v>882</v>
      </c>
      <c r="J144" t="s">
        <v>35</v>
      </c>
      <c r="K144">
        <v>3550.89</v>
      </c>
      <c r="L144">
        <v>5</v>
      </c>
      <c r="M144">
        <v>0.05</v>
      </c>
      <c r="N144">
        <v>17754.45</v>
      </c>
      <c r="O144">
        <v>16866.727500000001</v>
      </c>
      <c r="P144" t="s">
        <v>452</v>
      </c>
      <c r="Q144" t="s">
        <v>24</v>
      </c>
      <c r="R144" t="s">
        <v>1150</v>
      </c>
    </row>
    <row r="145" spans="1:18" x14ac:dyDescent="0.3">
      <c r="A145" t="s">
        <v>453</v>
      </c>
      <c r="B145" s="6">
        <v>45409</v>
      </c>
      <c r="C145" t="s">
        <v>89</v>
      </c>
      <c r="D145" t="s">
        <v>1059</v>
      </c>
      <c r="E145" t="s">
        <v>454</v>
      </c>
      <c r="F145" t="s">
        <v>884</v>
      </c>
      <c r="G145" t="s">
        <v>14</v>
      </c>
      <c r="H145" t="s">
        <v>1080</v>
      </c>
      <c r="I145" t="s">
        <v>917</v>
      </c>
      <c r="J145" t="s">
        <v>35</v>
      </c>
      <c r="K145">
        <v>1253.57</v>
      </c>
      <c r="L145">
        <v>9</v>
      </c>
      <c r="M145">
        <v>0.15</v>
      </c>
      <c r="N145">
        <v>11282.13</v>
      </c>
      <c r="O145">
        <v>9589.8104999999996</v>
      </c>
      <c r="P145" t="s">
        <v>455</v>
      </c>
      <c r="Q145" t="s">
        <v>30</v>
      </c>
      <c r="R145" t="s">
        <v>1150</v>
      </c>
    </row>
    <row r="146" spans="1:18" x14ac:dyDescent="0.3">
      <c r="A146" t="s">
        <v>456</v>
      </c>
      <c r="B146" s="6">
        <v>45525</v>
      </c>
      <c r="C146" t="s">
        <v>66</v>
      </c>
      <c r="D146" t="s">
        <v>1108</v>
      </c>
      <c r="E146" t="s">
        <v>94</v>
      </c>
      <c r="F146" t="s">
        <v>921</v>
      </c>
      <c r="G146" t="s">
        <v>21</v>
      </c>
      <c r="H146" t="s">
        <v>1073</v>
      </c>
      <c r="I146" t="s">
        <v>931</v>
      </c>
      <c r="J146" t="s">
        <v>35</v>
      </c>
      <c r="K146">
        <v>3610.44</v>
      </c>
      <c r="L146">
        <v>7</v>
      </c>
      <c r="M146">
        <v>0</v>
      </c>
      <c r="N146">
        <v>25273.08</v>
      </c>
      <c r="O146">
        <v>25273.08</v>
      </c>
      <c r="P146" t="s">
        <v>457</v>
      </c>
      <c r="Q146" t="s">
        <v>30</v>
      </c>
      <c r="R146" t="s">
        <v>1150</v>
      </c>
    </row>
    <row r="147" spans="1:18" x14ac:dyDescent="0.3">
      <c r="A147" t="s">
        <v>458</v>
      </c>
      <c r="B147" s="6">
        <v>45389</v>
      </c>
      <c r="C147" t="s">
        <v>460</v>
      </c>
      <c r="D147" t="s">
        <v>1136</v>
      </c>
      <c r="E147" t="s">
        <v>145</v>
      </c>
      <c r="F147" t="s">
        <v>935</v>
      </c>
      <c r="G147" t="s">
        <v>21</v>
      </c>
      <c r="H147" t="s">
        <v>1073</v>
      </c>
      <c r="I147" t="s">
        <v>896</v>
      </c>
      <c r="J147" t="s">
        <v>22</v>
      </c>
      <c r="K147">
        <v>2612.71</v>
      </c>
      <c r="L147">
        <v>6</v>
      </c>
      <c r="M147">
        <v>0.05</v>
      </c>
      <c r="N147">
        <v>15676.26</v>
      </c>
      <c r="O147">
        <v>14892.447</v>
      </c>
      <c r="P147" t="s">
        <v>295</v>
      </c>
      <c r="Q147" t="s">
        <v>17</v>
      </c>
      <c r="R147" t="s">
        <v>1150</v>
      </c>
    </row>
    <row r="148" spans="1:18" x14ac:dyDescent="0.3">
      <c r="A148" t="s">
        <v>461</v>
      </c>
      <c r="B148" s="6">
        <v>45448</v>
      </c>
      <c r="C148" t="s">
        <v>462</v>
      </c>
      <c r="D148" t="s">
        <v>1137</v>
      </c>
      <c r="E148" t="s">
        <v>210</v>
      </c>
      <c r="F148" t="s">
        <v>900</v>
      </c>
      <c r="G148" t="s">
        <v>82</v>
      </c>
      <c r="H148" t="s">
        <v>1076</v>
      </c>
      <c r="I148" t="s">
        <v>910</v>
      </c>
      <c r="J148" t="s">
        <v>73</v>
      </c>
      <c r="K148">
        <v>1187.29</v>
      </c>
      <c r="L148">
        <v>8</v>
      </c>
      <c r="M148">
        <v>0</v>
      </c>
      <c r="N148">
        <v>9498.32</v>
      </c>
      <c r="O148">
        <v>9498.32</v>
      </c>
      <c r="P148" t="s">
        <v>352</v>
      </c>
      <c r="Q148" t="s">
        <v>24</v>
      </c>
      <c r="R148" t="s">
        <v>1150</v>
      </c>
    </row>
    <row r="149" spans="1:18" x14ac:dyDescent="0.3">
      <c r="A149" t="s">
        <v>463</v>
      </c>
      <c r="B149" s="6">
        <v>45734</v>
      </c>
      <c r="C149" t="s">
        <v>214</v>
      </c>
      <c r="D149" t="s">
        <v>1125</v>
      </c>
      <c r="E149" t="s">
        <v>465</v>
      </c>
      <c r="F149" t="s">
        <v>914</v>
      </c>
      <c r="G149" t="s">
        <v>21</v>
      </c>
      <c r="H149" t="s">
        <v>1073</v>
      </c>
      <c r="I149" t="s">
        <v>903</v>
      </c>
      <c r="J149" t="s">
        <v>15</v>
      </c>
      <c r="K149">
        <v>1140.8</v>
      </c>
      <c r="L149">
        <v>2</v>
      </c>
      <c r="M149">
        <v>0.15</v>
      </c>
      <c r="N149">
        <v>2281.6</v>
      </c>
      <c r="O149">
        <v>1939.36</v>
      </c>
      <c r="P149" t="s">
        <v>466</v>
      </c>
      <c r="Q149" t="s">
        <v>42</v>
      </c>
      <c r="R149" t="s">
        <v>1150</v>
      </c>
    </row>
    <row r="150" spans="1:18" x14ac:dyDescent="0.3">
      <c r="A150" t="s">
        <v>467</v>
      </c>
      <c r="B150" s="6">
        <v>45353</v>
      </c>
      <c r="C150" t="s">
        <v>171</v>
      </c>
      <c r="D150" t="s">
        <v>1010</v>
      </c>
      <c r="E150" t="s">
        <v>468</v>
      </c>
      <c r="F150" t="s">
        <v>908</v>
      </c>
      <c r="G150" t="s">
        <v>21</v>
      </c>
      <c r="H150" t="s">
        <v>1073</v>
      </c>
      <c r="I150" t="s">
        <v>924</v>
      </c>
      <c r="J150" t="s">
        <v>22</v>
      </c>
      <c r="K150">
        <v>2113.67</v>
      </c>
      <c r="L150">
        <v>10</v>
      </c>
      <c r="M150">
        <v>0.1</v>
      </c>
      <c r="N150">
        <v>21136.7</v>
      </c>
      <c r="O150">
        <v>19023.030000000002</v>
      </c>
      <c r="P150" t="s">
        <v>117</v>
      </c>
      <c r="Q150" t="s">
        <v>24</v>
      </c>
      <c r="R150" t="s">
        <v>1150</v>
      </c>
    </row>
    <row r="151" spans="1:18" x14ac:dyDescent="0.3">
      <c r="A151" t="s">
        <v>469</v>
      </c>
      <c r="B151" s="6">
        <v>45712</v>
      </c>
      <c r="C151" t="s">
        <v>115</v>
      </c>
      <c r="D151" t="s">
        <v>996</v>
      </c>
      <c r="E151" t="s">
        <v>94</v>
      </c>
      <c r="F151" t="s">
        <v>926</v>
      </c>
      <c r="G151" t="s">
        <v>82</v>
      </c>
      <c r="H151" t="s">
        <v>1076</v>
      </c>
      <c r="I151" t="s">
        <v>931</v>
      </c>
      <c r="J151" t="s">
        <v>73</v>
      </c>
      <c r="K151">
        <v>3610.44</v>
      </c>
      <c r="L151">
        <v>6</v>
      </c>
      <c r="M151">
        <v>0.2</v>
      </c>
      <c r="N151">
        <v>21662.639999999999</v>
      </c>
      <c r="O151">
        <v>17330.112000000001</v>
      </c>
      <c r="P151" t="s">
        <v>471</v>
      </c>
      <c r="Q151" t="s">
        <v>17</v>
      </c>
      <c r="R151" t="s">
        <v>1150</v>
      </c>
    </row>
    <row r="152" spans="1:18" x14ac:dyDescent="0.3">
      <c r="A152" t="s">
        <v>472</v>
      </c>
      <c r="B152" s="6">
        <v>45611</v>
      </c>
      <c r="C152" t="s">
        <v>356</v>
      </c>
      <c r="D152" t="s">
        <v>1133</v>
      </c>
      <c r="E152" t="s">
        <v>67</v>
      </c>
      <c r="F152" t="s">
        <v>935</v>
      </c>
      <c r="G152" t="s">
        <v>45</v>
      </c>
      <c r="H152" t="s">
        <v>1096</v>
      </c>
      <c r="I152" t="s">
        <v>924</v>
      </c>
      <c r="J152" t="s">
        <v>15</v>
      </c>
      <c r="K152">
        <v>3205.14</v>
      </c>
      <c r="L152">
        <v>6</v>
      </c>
      <c r="M152">
        <v>0</v>
      </c>
      <c r="N152">
        <v>19230.84</v>
      </c>
      <c r="O152">
        <v>19230.84</v>
      </c>
      <c r="P152" t="s">
        <v>48</v>
      </c>
      <c r="Q152" t="s">
        <v>60</v>
      </c>
      <c r="R152" t="s">
        <v>1150</v>
      </c>
    </row>
    <row r="153" spans="1:18" x14ac:dyDescent="0.3">
      <c r="A153" t="s">
        <v>473</v>
      </c>
      <c r="B153" s="6">
        <v>45785</v>
      </c>
      <c r="C153" t="s">
        <v>176</v>
      </c>
      <c r="D153" t="s">
        <v>1120</v>
      </c>
      <c r="E153" t="s">
        <v>260</v>
      </c>
      <c r="F153" t="s">
        <v>925</v>
      </c>
      <c r="G153" t="s">
        <v>82</v>
      </c>
      <c r="H153" t="s">
        <v>1076</v>
      </c>
      <c r="I153" t="s">
        <v>896</v>
      </c>
      <c r="J153" t="s">
        <v>22</v>
      </c>
      <c r="K153">
        <v>3981.64</v>
      </c>
      <c r="L153">
        <v>4</v>
      </c>
      <c r="M153">
        <v>0.2</v>
      </c>
      <c r="N153">
        <v>15926.56</v>
      </c>
      <c r="O153">
        <v>12741.248</v>
      </c>
      <c r="P153" t="s">
        <v>474</v>
      </c>
      <c r="Q153" t="s">
        <v>42</v>
      </c>
      <c r="R153" t="s">
        <v>1150</v>
      </c>
    </row>
    <row r="154" spans="1:18" x14ac:dyDescent="0.3">
      <c r="A154" t="s">
        <v>475</v>
      </c>
      <c r="B154" s="6">
        <v>45668</v>
      </c>
      <c r="C154" t="s">
        <v>476</v>
      </c>
      <c r="D154" t="s">
        <v>983</v>
      </c>
      <c r="E154" t="s">
        <v>67</v>
      </c>
      <c r="F154" t="s">
        <v>895</v>
      </c>
      <c r="G154" t="s">
        <v>21</v>
      </c>
      <c r="H154" t="s">
        <v>1073</v>
      </c>
      <c r="I154" t="s">
        <v>924</v>
      </c>
      <c r="J154" t="s">
        <v>15</v>
      </c>
      <c r="K154">
        <v>3205.14</v>
      </c>
      <c r="L154">
        <v>2</v>
      </c>
      <c r="M154">
        <v>0.2</v>
      </c>
      <c r="N154">
        <v>6410.28</v>
      </c>
      <c r="O154">
        <v>5128.2240000000002</v>
      </c>
      <c r="P154" t="s">
        <v>407</v>
      </c>
      <c r="Q154" t="s">
        <v>30</v>
      </c>
      <c r="R154" t="s">
        <v>1150</v>
      </c>
    </row>
    <row r="155" spans="1:18" x14ac:dyDescent="0.3">
      <c r="A155" t="s">
        <v>477</v>
      </c>
      <c r="B155" s="6">
        <v>45318</v>
      </c>
      <c r="C155" t="s">
        <v>462</v>
      </c>
      <c r="D155" t="s">
        <v>1137</v>
      </c>
      <c r="E155" t="s">
        <v>153</v>
      </c>
      <c r="F155" t="s">
        <v>925</v>
      </c>
      <c r="G155" t="s">
        <v>82</v>
      </c>
      <c r="H155" t="s">
        <v>1076</v>
      </c>
      <c r="I155" t="s">
        <v>917</v>
      </c>
      <c r="J155" t="s">
        <v>73</v>
      </c>
      <c r="K155">
        <v>2128.4</v>
      </c>
      <c r="L155">
        <v>10</v>
      </c>
      <c r="M155">
        <v>0.15</v>
      </c>
      <c r="N155">
        <v>21284</v>
      </c>
      <c r="O155">
        <v>18091.399999999998</v>
      </c>
      <c r="P155" t="s">
        <v>447</v>
      </c>
      <c r="Q155" t="s">
        <v>60</v>
      </c>
      <c r="R155" t="s">
        <v>1150</v>
      </c>
    </row>
    <row r="156" spans="1:18" x14ac:dyDescent="0.3">
      <c r="A156" t="s">
        <v>479</v>
      </c>
      <c r="B156" s="6">
        <v>45571</v>
      </c>
      <c r="C156" t="s">
        <v>356</v>
      </c>
      <c r="D156" t="s">
        <v>1133</v>
      </c>
      <c r="E156" t="s">
        <v>54</v>
      </c>
      <c r="F156" t="s">
        <v>916</v>
      </c>
      <c r="G156" t="s">
        <v>45</v>
      </c>
      <c r="H156" t="s">
        <v>1096</v>
      </c>
      <c r="I156" t="s">
        <v>889</v>
      </c>
      <c r="J156" t="s">
        <v>73</v>
      </c>
      <c r="K156">
        <v>3929.31</v>
      </c>
      <c r="L156">
        <v>5</v>
      </c>
      <c r="M156">
        <v>0</v>
      </c>
      <c r="N156">
        <v>19646.55</v>
      </c>
      <c r="O156">
        <v>19646.55</v>
      </c>
      <c r="P156" t="s">
        <v>195</v>
      </c>
      <c r="Q156" t="s">
        <v>60</v>
      </c>
      <c r="R156" t="s">
        <v>1150</v>
      </c>
    </row>
    <row r="157" spans="1:18" x14ac:dyDescent="0.3">
      <c r="A157" t="s">
        <v>481</v>
      </c>
      <c r="B157" s="6">
        <v>45438</v>
      </c>
      <c r="C157" t="s">
        <v>187</v>
      </c>
      <c r="D157" t="s">
        <v>1122</v>
      </c>
      <c r="E157" t="s">
        <v>81</v>
      </c>
      <c r="F157" t="s">
        <v>891</v>
      </c>
      <c r="G157" t="s">
        <v>82</v>
      </c>
      <c r="H157" t="s">
        <v>1076</v>
      </c>
      <c r="I157" t="s">
        <v>882</v>
      </c>
      <c r="J157" t="s">
        <v>73</v>
      </c>
      <c r="K157">
        <v>1044.7</v>
      </c>
      <c r="L157">
        <v>10</v>
      </c>
      <c r="M157">
        <v>0.15</v>
      </c>
      <c r="N157">
        <v>10447</v>
      </c>
      <c r="O157">
        <v>8879.9499999999989</v>
      </c>
      <c r="P157" t="s">
        <v>482</v>
      </c>
      <c r="Q157" t="s">
        <v>60</v>
      </c>
      <c r="R157" t="s">
        <v>1150</v>
      </c>
    </row>
    <row r="158" spans="1:18" x14ac:dyDescent="0.3">
      <c r="A158" t="s">
        <v>483</v>
      </c>
      <c r="B158" s="6">
        <v>45323</v>
      </c>
      <c r="C158" t="s">
        <v>89</v>
      </c>
      <c r="D158" t="s">
        <v>1059</v>
      </c>
      <c r="E158" t="s">
        <v>28</v>
      </c>
      <c r="F158" t="s">
        <v>886</v>
      </c>
      <c r="G158" t="s">
        <v>82</v>
      </c>
      <c r="H158" t="s">
        <v>1076</v>
      </c>
      <c r="I158" t="s">
        <v>896</v>
      </c>
      <c r="J158" t="s">
        <v>15</v>
      </c>
      <c r="K158">
        <v>733.33</v>
      </c>
      <c r="L158">
        <v>2</v>
      </c>
      <c r="M158">
        <v>0.15</v>
      </c>
      <c r="N158">
        <v>1466.66</v>
      </c>
      <c r="O158">
        <v>1246.6610000000001</v>
      </c>
      <c r="P158" t="s">
        <v>290</v>
      </c>
      <c r="Q158" t="s">
        <v>30</v>
      </c>
      <c r="R158" t="s">
        <v>1150</v>
      </c>
    </row>
    <row r="159" spans="1:18" x14ac:dyDescent="0.3">
      <c r="A159" t="s">
        <v>484</v>
      </c>
      <c r="B159" s="6">
        <v>45721</v>
      </c>
      <c r="C159" t="s">
        <v>168</v>
      </c>
      <c r="D159" t="s">
        <v>1119</v>
      </c>
      <c r="E159" t="s">
        <v>172</v>
      </c>
      <c r="F159" t="s">
        <v>897</v>
      </c>
      <c r="G159" t="s">
        <v>14</v>
      </c>
      <c r="H159" t="s">
        <v>1080</v>
      </c>
      <c r="I159" t="s">
        <v>896</v>
      </c>
      <c r="J159" t="s">
        <v>22</v>
      </c>
      <c r="K159">
        <v>2849.53</v>
      </c>
      <c r="L159">
        <v>8</v>
      </c>
      <c r="M159">
        <v>0</v>
      </c>
      <c r="N159">
        <v>22796.240000000002</v>
      </c>
      <c r="O159">
        <v>22796.240000000002</v>
      </c>
      <c r="P159" t="s">
        <v>486</v>
      </c>
      <c r="Q159" t="s">
        <v>17</v>
      </c>
      <c r="R159" t="s">
        <v>1150</v>
      </c>
    </row>
    <row r="160" spans="1:18" x14ac:dyDescent="0.3">
      <c r="A160" t="s">
        <v>487</v>
      </c>
      <c r="B160" s="6">
        <v>45624</v>
      </c>
      <c r="C160" t="s">
        <v>80</v>
      </c>
      <c r="D160" t="s">
        <v>1109</v>
      </c>
      <c r="E160" t="s">
        <v>90</v>
      </c>
      <c r="F160" t="s">
        <v>898</v>
      </c>
      <c r="G160" t="s">
        <v>14</v>
      </c>
      <c r="H160" t="s">
        <v>1080</v>
      </c>
      <c r="I160" t="s">
        <v>903</v>
      </c>
      <c r="J160" t="s">
        <v>73</v>
      </c>
      <c r="K160">
        <v>928.72</v>
      </c>
      <c r="L160">
        <v>10</v>
      </c>
      <c r="M160">
        <v>0.1</v>
      </c>
      <c r="N160">
        <v>9287.2000000000007</v>
      </c>
      <c r="O160">
        <v>8358.4800000000014</v>
      </c>
      <c r="P160" t="s">
        <v>488</v>
      </c>
      <c r="Q160" t="s">
        <v>60</v>
      </c>
      <c r="R160" t="s">
        <v>1150</v>
      </c>
    </row>
    <row r="161" spans="1:18" x14ac:dyDescent="0.3">
      <c r="A161" t="s">
        <v>489</v>
      </c>
      <c r="B161" s="6">
        <v>45453</v>
      </c>
      <c r="C161" t="s">
        <v>98</v>
      </c>
      <c r="D161" t="s">
        <v>1110</v>
      </c>
      <c r="E161" t="s">
        <v>145</v>
      </c>
      <c r="F161" t="s">
        <v>902</v>
      </c>
      <c r="G161" t="s">
        <v>14</v>
      </c>
      <c r="H161" t="s">
        <v>1080</v>
      </c>
      <c r="I161" t="s">
        <v>896</v>
      </c>
      <c r="J161" t="s">
        <v>22</v>
      </c>
      <c r="K161">
        <v>2612.71</v>
      </c>
      <c r="L161">
        <v>10</v>
      </c>
      <c r="M161">
        <v>0</v>
      </c>
      <c r="N161">
        <v>26127.1</v>
      </c>
      <c r="O161">
        <v>26127.1</v>
      </c>
      <c r="P161" t="s">
        <v>353</v>
      </c>
      <c r="Q161" t="s">
        <v>30</v>
      </c>
      <c r="R161" t="s">
        <v>1150</v>
      </c>
    </row>
    <row r="162" spans="1:18" x14ac:dyDescent="0.3">
      <c r="A162" t="s">
        <v>490</v>
      </c>
      <c r="B162" s="6">
        <v>45726</v>
      </c>
      <c r="C162" t="s">
        <v>291</v>
      </c>
      <c r="D162" t="s">
        <v>1131</v>
      </c>
      <c r="E162" t="s">
        <v>40</v>
      </c>
      <c r="F162" t="s">
        <v>900</v>
      </c>
      <c r="G162" t="s">
        <v>34</v>
      </c>
      <c r="H162" t="s">
        <v>1078</v>
      </c>
      <c r="I162" t="s">
        <v>924</v>
      </c>
      <c r="J162" t="s">
        <v>35</v>
      </c>
      <c r="K162">
        <v>136.91</v>
      </c>
      <c r="L162">
        <v>8</v>
      </c>
      <c r="M162">
        <v>0.1</v>
      </c>
      <c r="N162">
        <v>1095.28</v>
      </c>
      <c r="O162">
        <v>985.75199999999995</v>
      </c>
      <c r="P162" t="s">
        <v>464</v>
      </c>
      <c r="Q162" t="s">
        <v>17</v>
      </c>
      <c r="R162" t="s">
        <v>1150</v>
      </c>
    </row>
    <row r="163" spans="1:18" x14ac:dyDescent="0.3">
      <c r="A163" t="s">
        <v>491</v>
      </c>
      <c r="B163" s="6">
        <v>45512</v>
      </c>
      <c r="C163" t="s">
        <v>253</v>
      </c>
      <c r="D163" t="s">
        <v>1044</v>
      </c>
      <c r="E163" t="s">
        <v>20</v>
      </c>
      <c r="F163" t="s">
        <v>928</v>
      </c>
      <c r="G163" t="s">
        <v>21</v>
      </c>
      <c r="H163" t="s">
        <v>1073</v>
      </c>
      <c r="I163" t="s">
        <v>896</v>
      </c>
      <c r="J163" t="s">
        <v>35</v>
      </c>
      <c r="K163">
        <v>3772.12</v>
      </c>
      <c r="L163">
        <v>9</v>
      </c>
      <c r="M163">
        <v>0</v>
      </c>
      <c r="N163">
        <v>33949.08</v>
      </c>
      <c r="O163">
        <v>33949.08</v>
      </c>
      <c r="P163" t="s">
        <v>217</v>
      </c>
      <c r="Q163" t="s">
        <v>24</v>
      </c>
      <c r="R163" t="s">
        <v>1150</v>
      </c>
    </row>
    <row r="164" spans="1:18" x14ac:dyDescent="0.3">
      <c r="A164" t="s">
        <v>492</v>
      </c>
      <c r="B164" s="6">
        <v>45582</v>
      </c>
      <c r="C164" t="s">
        <v>120</v>
      </c>
      <c r="D164" t="s">
        <v>993</v>
      </c>
      <c r="E164" t="s">
        <v>249</v>
      </c>
      <c r="F164" t="s">
        <v>899</v>
      </c>
      <c r="G164" t="s">
        <v>82</v>
      </c>
      <c r="H164" t="s">
        <v>1076</v>
      </c>
      <c r="I164" t="s">
        <v>889</v>
      </c>
      <c r="J164" t="s">
        <v>22</v>
      </c>
      <c r="K164">
        <v>1309.58</v>
      </c>
      <c r="L164">
        <v>10</v>
      </c>
      <c r="M164">
        <v>0.05</v>
      </c>
      <c r="N164">
        <v>13095.8</v>
      </c>
      <c r="O164">
        <v>12441.009999999998</v>
      </c>
      <c r="P164" t="s">
        <v>335</v>
      </c>
      <c r="Q164" t="s">
        <v>24</v>
      </c>
      <c r="R164" t="s">
        <v>1150</v>
      </c>
    </row>
    <row r="165" spans="1:18" x14ac:dyDescent="0.3">
      <c r="A165" t="s">
        <v>493</v>
      </c>
      <c r="B165" s="6">
        <v>45517</v>
      </c>
      <c r="C165" t="s">
        <v>19</v>
      </c>
      <c r="D165" t="s">
        <v>1104</v>
      </c>
      <c r="E165" t="s">
        <v>249</v>
      </c>
      <c r="F165" t="s">
        <v>893</v>
      </c>
      <c r="G165" t="s">
        <v>21</v>
      </c>
      <c r="H165" t="s">
        <v>1073</v>
      </c>
      <c r="I165" t="s">
        <v>889</v>
      </c>
      <c r="J165" t="s">
        <v>73</v>
      </c>
      <c r="K165">
        <v>1309.58</v>
      </c>
      <c r="L165">
        <v>7</v>
      </c>
      <c r="M165">
        <v>0.1</v>
      </c>
      <c r="N165">
        <v>9167.06</v>
      </c>
      <c r="O165">
        <v>8250.3539999999994</v>
      </c>
      <c r="P165" t="s">
        <v>217</v>
      </c>
      <c r="Q165" t="s">
        <v>60</v>
      </c>
      <c r="R165" t="s">
        <v>1150</v>
      </c>
    </row>
    <row r="166" spans="1:18" x14ac:dyDescent="0.3">
      <c r="A166" t="s">
        <v>495</v>
      </c>
      <c r="B166" s="6">
        <v>45600</v>
      </c>
      <c r="C166" t="s">
        <v>102</v>
      </c>
      <c r="D166" t="s">
        <v>1111</v>
      </c>
      <c r="E166" t="s">
        <v>254</v>
      </c>
      <c r="F166" t="s">
        <v>893</v>
      </c>
      <c r="G166" t="s">
        <v>45</v>
      </c>
      <c r="H166" t="s">
        <v>1096</v>
      </c>
      <c r="I166" t="s">
        <v>917</v>
      </c>
      <c r="J166" t="s">
        <v>22</v>
      </c>
      <c r="K166">
        <v>605.26</v>
      </c>
      <c r="L166">
        <v>4</v>
      </c>
      <c r="M166">
        <v>0.2</v>
      </c>
      <c r="N166">
        <v>2421.04</v>
      </c>
      <c r="O166">
        <v>1936.8320000000001</v>
      </c>
      <c r="P166" t="s">
        <v>252</v>
      </c>
      <c r="Q166" t="s">
        <v>17</v>
      </c>
      <c r="R166" t="s">
        <v>1150</v>
      </c>
    </row>
    <row r="167" spans="1:18" x14ac:dyDescent="0.3">
      <c r="A167" t="s">
        <v>497</v>
      </c>
      <c r="B167" s="6">
        <v>45627</v>
      </c>
      <c r="C167" t="s">
        <v>89</v>
      </c>
      <c r="D167" t="s">
        <v>1059</v>
      </c>
      <c r="E167" t="s">
        <v>400</v>
      </c>
      <c r="F167" t="s">
        <v>918</v>
      </c>
      <c r="G167" t="s">
        <v>14</v>
      </c>
      <c r="H167" t="s">
        <v>1080</v>
      </c>
      <c r="I167" t="s">
        <v>924</v>
      </c>
      <c r="J167" t="s">
        <v>35</v>
      </c>
      <c r="K167">
        <v>588.75</v>
      </c>
      <c r="L167">
        <v>2</v>
      </c>
      <c r="M167">
        <v>0</v>
      </c>
      <c r="N167">
        <v>1177.5</v>
      </c>
      <c r="O167">
        <v>1177.5</v>
      </c>
      <c r="P167" t="s">
        <v>57</v>
      </c>
      <c r="Q167" t="s">
        <v>60</v>
      </c>
      <c r="R167" t="s">
        <v>1150</v>
      </c>
    </row>
    <row r="168" spans="1:18" x14ac:dyDescent="0.3">
      <c r="A168" t="s">
        <v>498</v>
      </c>
      <c r="B168" s="6">
        <v>45424</v>
      </c>
      <c r="C168" t="s">
        <v>253</v>
      </c>
      <c r="D168" t="s">
        <v>1044</v>
      </c>
      <c r="E168" t="s">
        <v>121</v>
      </c>
      <c r="F168" t="s">
        <v>923</v>
      </c>
      <c r="G168" t="s">
        <v>82</v>
      </c>
      <c r="H168" t="s">
        <v>1076</v>
      </c>
      <c r="I168" t="s">
        <v>903</v>
      </c>
      <c r="J168" t="s">
        <v>22</v>
      </c>
      <c r="K168">
        <v>3414.07</v>
      </c>
      <c r="L168">
        <v>7</v>
      </c>
      <c r="M168">
        <v>0.1</v>
      </c>
      <c r="N168">
        <v>23898.49</v>
      </c>
      <c r="O168">
        <v>21508.641000000003</v>
      </c>
      <c r="P168" t="s">
        <v>499</v>
      </c>
      <c r="Q168" t="s">
        <v>24</v>
      </c>
      <c r="R168" t="s">
        <v>1150</v>
      </c>
    </row>
    <row r="169" spans="1:18" x14ac:dyDescent="0.3">
      <c r="A169" t="s">
        <v>500</v>
      </c>
      <c r="B169" s="6">
        <v>45698</v>
      </c>
      <c r="C169" t="s">
        <v>502</v>
      </c>
      <c r="D169" t="s">
        <v>1138</v>
      </c>
      <c r="E169" t="s">
        <v>377</v>
      </c>
      <c r="F169" t="s">
        <v>906</v>
      </c>
      <c r="G169" t="s">
        <v>45</v>
      </c>
      <c r="H169" t="s">
        <v>1096</v>
      </c>
      <c r="I169" t="s">
        <v>910</v>
      </c>
      <c r="J169" t="s">
        <v>35</v>
      </c>
      <c r="K169">
        <v>4703.04</v>
      </c>
      <c r="L169">
        <v>1</v>
      </c>
      <c r="M169">
        <v>0.05</v>
      </c>
      <c r="N169">
        <v>4703.04</v>
      </c>
      <c r="O169">
        <v>4467.8879999999999</v>
      </c>
      <c r="P169" t="s">
        <v>355</v>
      </c>
      <c r="Q169" t="s">
        <v>24</v>
      </c>
      <c r="R169" t="s">
        <v>1150</v>
      </c>
    </row>
    <row r="170" spans="1:18" x14ac:dyDescent="0.3">
      <c r="A170" t="s">
        <v>503</v>
      </c>
      <c r="B170" s="6">
        <v>45612</v>
      </c>
      <c r="C170" t="s">
        <v>157</v>
      </c>
      <c r="D170" t="s">
        <v>1117</v>
      </c>
      <c r="E170" t="s">
        <v>172</v>
      </c>
      <c r="F170" t="s">
        <v>909</v>
      </c>
      <c r="G170" t="s">
        <v>45</v>
      </c>
      <c r="H170" t="s">
        <v>1096</v>
      </c>
      <c r="I170" t="s">
        <v>896</v>
      </c>
      <c r="J170" t="s">
        <v>35</v>
      </c>
      <c r="K170">
        <v>2849.53</v>
      </c>
      <c r="L170">
        <v>10</v>
      </c>
      <c r="M170">
        <v>0.05</v>
      </c>
      <c r="N170">
        <v>28495.300000000003</v>
      </c>
      <c r="O170">
        <v>27070.535</v>
      </c>
      <c r="P170" t="s">
        <v>505</v>
      </c>
      <c r="Q170" t="s">
        <v>30</v>
      </c>
      <c r="R170" t="s">
        <v>1150</v>
      </c>
    </row>
    <row r="171" spans="1:18" x14ac:dyDescent="0.3">
      <c r="A171" t="s">
        <v>506</v>
      </c>
      <c r="B171" s="6">
        <v>45588</v>
      </c>
      <c r="C171" t="s">
        <v>12</v>
      </c>
      <c r="D171" t="s">
        <v>1103</v>
      </c>
      <c r="E171" t="s">
        <v>300</v>
      </c>
      <c r="F171" t="s">
        <v>898</v>
      </c>
      <c r="G171" t="s">
        <v>82</v>
      </c>
      <c r="H171" t="s">
        <v>1076</v>
      </c>
      <c r="I171" t="s">
        <v>896</v>
      </c>
      <c r="J171" t="s">
        <v>22</v>
      </c>
      <c r="K171">
        <v>4174.32</v>
      </c>
      <c r="L171">
        <v>2</v>
      </c>
      <c r="M171">
        <v>0.05</v>
      </c>
      <c r="N171">
        <v>8348.64</v>
      </c>
      <c r="O171">
        <v>7931.2079999999987</v>
      </c>
      <c r="P171" t="s">
        <v>507</v>
      </c>
      <c r="Q171" t="s">
        <v>60</v>
      </c>
      <c r="R171" t="s">
        <v>1150</v>
      </c>
    </row>
    <row r="172" spans="1:18" x14ac:dyDescent="0.3">
      <c r="A172" t="s">
        <v>508</v>
      </c>
      <c r="B172" s="6">
        <v>45763</v>
      </c>
      <c r="C172" t="s">
        <v>311</v>
      </c>
      <c r="D172" t="s">
        <v>1132</v>
      </c>
      <c r="E172" t="s">
        <v>161</v>
      </c>
      <c r="F172" t="s">
        <v>901</v>
      </c>
      <c r="G172" t="s">
        <v>82</v>
      </c>
      <c r="H172" t="s">
        <v>1076</v>
      </c>
      <c r="I172" t="s">
        <v>903</v>
      </c>
      <c r="J172" t="s">
        <v>73</v>
      </c>
      <c r="K172">
        <v>1513.99</v>
      </c>
      <c r="L172">
        <v>6</v>
      </c>
      <c r="M172">
        <v>0</v>
      </c>
      <c r="N172">
        <v>9083.94</v>
      </c>
      <c r="O172">
        <v>9083.94</v>
      </c>
      <c r="P172" t="s">
        <v>510</v>
      </c>
      <c r="Q172" t="s">
        <v>60</v>
      </c>
      <c r="R172" t="s">
        <v>1150</v>
      </c>
    </row>
    <row r="173" spans="1:18" x14ac:dyDescent="0.3">
      <c r="A173" t="s">
        <v>511</v>
      </c>
      <c r="B173" s="6">
        <v>45738</v>
      </c>
      <c r="C173" t="s">
        <v>144</v>
      </c>
      <c r="D173" t="s">
        <v>1116</v>
      </c>
      <c r="E173" t="s">
        <v>161</v>
      </c>
      <c r="F173" t="s">
        <v>905</v>
      </c>
      <c r="G173" t="s">
        <v>21</v>
      </c>
      <c r="H173" t="s">
        <v>1073</v>
      </c>
      <c r="I173" t="s">
        <v>903</v>
      </c>
      <c r="J173" t="s">
        <v>73</v>
      </c>
      <c r="K173">
        <v>1513.99</v>
      </c>
      <c r="L173">
        <v>10</v>
      </c>
      <c r="M173">
        <v>0.05</v>
      </c>
      <c r="N173">
        <v>15139.9</v>
      </c>
      <c r="O173">
        <v>14382.904999999999</v>
      </c>
      <c r="P173" t="s">
        <v>16</v>
      </c>
      <c r="Q173" t="s">
        <v>30</v>
      </c>
      <c r="R173" t="s">
        <v>1150</v>
      </c>
    </row>
    <row r="174" spans="1:18" x14ac:dyDescent="0.3">
      <c r="A174" t="s">
        <v>512</v>
      </c>
      <c r="B174" s="6">
        <v>45609</v>
      </c>
      <c r="C174" t="s">
        <v>157</v>
      </c>
      <c r="D174" t="s">
        <v>1117</v>
      </c>
      <c r="E174" t="s">
        <v>81</v>
      </c>
      <c r="F174" t="s">
        <v>905</v>
      </c>
      <c r="G174" t="s">
        <v>14</v>
      </c>
      <c r="H174" t="s">
        <v>1080</v>
      </c>
      <c r="I174" t="s">
        <v>882</v>
      </c>
      <c r="J174" t="s">
        <v>15</v>
      </c>
      <c r="K174">
        <v>1044.7</v>
      </c>
      <c r="L174">
        <v>6</v>
      </c>
      <c r="M174">
        <v>0</v>
      </c>
      <c r="N174">
        <v>6268.2000000000007</v>
      </c>
      <c r="O174">
        <v>6268.2000000000007</v>
      </c>
      <c r="P174" t="s">
        <v>513</v>
      </c>
      <c r="Q174" t="s">
        <v>24</v>
      </c>
      <c r="R174" t="s">
        <v>1150</v>
      </c>
    </row>
    <row r="175" spans="1:18" x14ac:dyDescent="0.3">
      <c r="A175" t="s">
        <v>514</v>
      </c>
      <c r="B175" s="6">
        <v>45814</v>
      </c>
      <c r="C175" t="s">
        <v>460</v>
      </c>
      <c r="D175" t="s">
        <v>1136</v>
      </c>
      <c r="E175" t="s">
        <v>90</v>
      </c>
      <c r="F175" t="s">
        <v>886</v>
      </c>
      <c r="G175" t="s">
        <v>14</v>
      </c>
      <c r="H175" t="s">
        <v>1080</v>
      </c>
      <c r="I175" t="s">
        <v>903</v>
      </c>
      <c r="J175" t="s">
        <v>15</v>
      </c>
      <c r="K175">
        <v>928.72</v>
      </c>
      <c r="L175">
        <v>2</v>
      </c>
      <c r="M175">
        <v>0.1</v>
      </c>
      <c r="N175">
        <v>1857.44</v>
      </c>
      <c r="O175">
        <v>1671.6960000000001</v>
      </c>
      <c r="P175" t="s">
        <v>515</v>
      </c>
      <c r="Q175" t="s">
        <v>17</v>
      </c>
      <c r="R175" t="s">
        <v>1150</v>
      </c>
    </row>
    <row r="176" spans="1:18" x14ac:dyDescent="0.3">
      <c r="A176" t="s">
        <v>516</v>
      </c>
      <c r="B176" s="6">
        <v>45651</v>
      </c>
      <c r="C176" t="s">
        <v>311</v>
      </c>
      <c r="D176" t="s">
        <v>1132</v>
      </c>
      <c r="E176" t="s">
        <v>40</v>
      </c>
      <c r="F176" t="s">
        <v>902</v>
      </c>
      <c r="G176" t="s">
        <v>34</v>
      </c>
      <c r="H176" t="s">
        <v>1078</v>
      </c>
      <c r="I176" t="s">
        <v>924</v>
      </c>
      <c r="J176" t="s">
        <v>15</v>
      </c>
      <c r="K176">
        <v>136.91</v>
      </c>
      <c r="L176">
        <v>3</v>
      </c>
      <c r="M176">
        <v>0</v>
      </c>
      <c r="N176">
        <v>410.73</v>
      </c>
      <c r="O176">
        <v>410.73</v>
      </c>
      <c r="P176" t="s">
        <v>517</v>
      </c>
      <c r="Q176" t="s">
        <v>17</v>
      </c>
      <c r="R176" t="s">
        <v>1150</v>
      </c>
    </row>
    <row r="177" spans="1:18" x14ac:dyDescent="0.3">
      <c r="A177" t="s">
        <v>518</v>
      </c>
      <c r="B177" s="6">
        <v>45494</v>
      </c>
      <c r="C177" t="s">
        <v>168</v>
      </c>
      <c r="D177" t="s">
        <v>1119</v>
      </c>
      <c r="E177" t="s">
        <v>33</v>
      </c>
      <c r="F177" t="s">
        <v>928</v>
      </c>
      <c r="G177" t="s">
        <v>21</v>
      </c>
      <c r="H177" t="s">
        <v>1073</v>
      </c>
      <c r="I177" t="s">
        <v>931</v>
      </c>
      <c r="J177" t="s">
        <v>73</v>
      </c>
      <c r="K177">
        <v>620.89</v>
      </c>
      <c r="L177">
        <v>3</v>
      </c>
      <c r="M177">
        <v>0.1</v>
      </c>
      <c r="N177">
        <v>1862.67</v>
      </c>
      <c r="O177">
        <v>1676.403</v>
      </c>
      <c r="P177" t="s">
        <v>520</v>
      </c>
      <c r="Q177" t="s">
        <v>60</v>
      </c>
      <c r="R177" t="s">
        <v>1150</v>
      </c>
    </row>
    <row r="178" spans="1:18" x14ac:dyDescent="0.3">
      <c r="A178" t="s">
        <v>521</v>
      </c>
      <c r="B178" s="6">
        <v>45797</v>
      </c>
      <c r="C178" t="s">
        <v>291</v>
      </c>
      <c r="D178" t="s">
        <v>1131</v>
      </c>
      <c r="E178" t="s">
        <v>130</v>
      </c>
      <c r="F178" t="s">
        <v>932</v>
      </c>
      <c r="G178" t="s">
        <v>82</v>
      </c>
      <c r="H178" t="s">
        <v>1076</v>
      </c>
      <c r="I178" t="s">
        <v>910</v>
      </c>
      <c r="J178" t="s">
        <v>35</v>
      </c>
      <c r="K178">
        <v>3128.51</v>
      </c>
      <c r="L178">
        <v>8</v>
      </c>
      <c r="M178">
        <v>0.2</v>
      </c>
      <c r="N178">
        <v>25028.080000000002</v>
      </c>
      <c r="O178">
        <v>20022.464000000004</v>
      </c>
      <c r="P178" t="s">
        <v>444</v>
      </c>
      <c r="Q178" t="s">
        <v>42</v>
      </c>
      <c r="R178" t="s">
        <v>1150</v>
      </c>
    </row>
    <row r="179" spans="1:18" x14ac:dyDescent="0.3">
      <c r="A179" t="s">
        <v>522</v>
      </c>
      <c r="B179" s="6">
        <v>45622</v>
      </c>
      <c r="C179" t="s">
        <v>460</v>
      </c>
      <c r="D179" t="s">
        <v>1136</v>
      </c>
      <c r="E179" t="s">
        <v>50</v>
      </c>
      <c r="F179" t="s">
        <v>912</v>
      </c>
      <c r="G179" t="s">
        <v>82</v>
      </c>
      <c r="H179" t="s">
        <v>1076</v>
      </c>
      <c r="I179" t="s">
        <v>931</v>
      </c>
      <c r="J179" t="s">
        <v>73</v>
      </c>
      <c r="K179">
        <v>2041.83</v>
      </c>
      <c r="L179">
        <v>6</v>
      </c>
      <c r="M179">
        <v>0</v>
      </c>
      <c r="N179">
        <v>12250.98</v>
      </c>
      <c r="O179">
        <v>12250.98</v>
      </c>
      <c r="P179" t="s">
        <v>222</v>
      </c>
      <c r="Q179" t="s">
        <v>30</v>
      </c>
      <c r="R179" t="s">
        <v>1150</v>
      </c>
    </row>
    <row r="180" spans="1:18" x14ac:dyDescent="0.3">
      <c r="A180" t="s">
        <v>523</v>
      </c>
      <c r="B180" s="6">
        <v>45744</v>
      </c>
      <c r="C180" t="s">
        <v>462</v>
      </c>
      <c r="D180" t="s">
        <v>1137</v>
      </c>
      <c r="E180" t="s">
        <v>145</v>
      </c>
      <c r="F180" t="s">
        <v>936</v>
      </c>
      <c r="G180" t="s">
        <v>14</v>
      </c>
      <c r="H180" t="s">
        <v>1080</v>
      </c>
      <c r="I180" t="s">
        <v>896</v>
      </c>
      <c r="J180" t="s">
        <v>73</v>
      </c>
      <c r="K180">
        <v>2612.71</v>
      </c>
      <c r="L180">
        <v>5</v>
      </c>
      <c r="M180">
        <v>0.2</v>
      </c>
      <c r="N180">
        <v>13063.55</v>
      </c>
      <c r="O180">
        <v>10450.84</v>
      </c>
      <c r="P180" t="s">
        <v>337</v>
      </c>
      <c r="Q180" t="s">
        <v>17</v>
      </c>
      <c r="R180" t="s">
        <v>1150</v>
      </c>
    </row>
    <row r="181" spans="1:18" x14ac:dyDescent="0.3">
      <c r="A181" t="s">
        <v>524</v>
      </c>
      <c r="B181" s="6">
        <v>45811</v>
      </c>
      <c r="C181" t="s">
        <v>168</v>
      </c>
      <c r="D181" t="s">
        <v>1119</v>
      </c>
      <c r="E181" t="s">
        <v>99</v>
      </c>
      <c r="F181" t="s">
        <v>900</v>
      </c>
      <c r="G181" t="s">
        <v>21</v>
      </c>
      <c r="H181" t="s">
        <v>1073</v>
      </c>
      <c r="I181" t="s">
        <v>882</v>
      </c>
      <c r="J181" t="s">
        <v>35</v>
      </c>
      <c r="K181">
        <v>2352.63</v>
      </c>
      <c r="L181">
        <v>2</v>
      </c>
      <c r="M181">
        <v>0</v>
      </c>
      <c r="N181">
        <v>4705.26</v>
      </c>
      <c r="O181">
        <v>4705.26</v>
      </c>
      <c r="P181" t="s">
        <v>526</v>
      </c>
      <c r="Q181" t="s">
        <v>24</v>
      </c>
      <c r="R181" t="s">
        <v>1150</v>
      </c>
    </row>
    <row r="182" spans="1:18" x14ac:dyDescent="0.3">
      <c r="A182" t="s">
        <v>527</v>
      </c>
      <c r="B182" s="6">
        <v>45350</v>
      </c>
      <c r="C182" t="s">
        <v>105</v>
      </c>
      <c r="D182" t="s">
        <v>941</v>
      </c>
      <c r="E182" t="s">
        <v>254</v>
      </c>
      <c r="F182" t="s">
        <v>881</v>
      </c>
      <c r="G182" t="s">
        <v>34</v>
      </c>
      <c r="H182" t="s">
        <v>1078</v>
      </c>
      <c r="I182" t="s">
        <v>917</v>
      </c>
      <c r="J182" t="s">
        <v>73</v>
      </c>
      <c r="K182">
        <v>605.26</v>
      </c>
      <c r="L182">
        <v>6</v>
      </c>
      <c r="M182">
        <v>0.2</v>
      </c>
      <c r="N182">
        <v>3631.56</v>
      </c>
      <c r="O182">
        <v>2905.248</v>
      </c>
      <c r="P182" t="s">
        <v>114</v>
      </c>
      <c r="Q182" t="s">
        <v>24</v>
      </c>
      <c r="R182" t="s">
        <v>1150</v>
      </c>
    </row>
    <row r="183" spans="1:18" x14ac:dyDescent="0.3">
      <c r="A183" t="s">
        <v>529</v>
      </c>
      <c r="B183" s="6">
        <v>45811</v>
      </c>
      <c r="C183" t="s">
        <v>476</v>
      </c>
      <c r="D183" t="s">
        <v>983</v>
      </c>
      <c r="E183" t="s">
        <v>345</v>
      </c>
      <c r="F183" t="s">
        <v>918</v>
      </c>
      <c r="G183" t="s">
        <v>34</v>
      </c>
      <c r="H183" t="s">
        <v>1078</v>
      </c>
      <c r="I183" t="s">
        <v>924</v>
      </c>
      <c r="J183" t="s">
        <v>73</v>
      </c>
      <c r="K183">
        <v>1212.79</v>
      </c>
      <c r="L183">
        <v>7</v>
      </c>
      <c r="M183">
        <v>0.05</v>
      </c>
      <c r="N183">
        <v>8489.5299999999988</v>
      </c>
      <c r="O183">
        <v>8065.0534999999982</v>
      </c>
      <c r="P183" t="s">
        <v>530</v>
      </c>
      <c r="Q183" t="s">
        <v>30</v>
      </c>
      <c r="R183" t="s">
        <v>1150</v>
      </c>
    </row>
    <row r="184" spans="1:18" x14ac:dyDescent="0.3">
      <c r="A184" t="s">
        <v>531</v>
      </c>
      <c r="B184" s="6">
        <v>45484</v>
      </c>
      <c r="C184" t="s">
        <v>234</v>
      </c>
      <c r="D184" t="s">
        <v>1127</v>
      </c>
      <c r="E184" t="s">
        <v>164</v>
      </c>
      <c r="F184" t="s">
        <v>927</v>
      </c>
      <c r="G184" t="s">
        <v>45</v>
      </c>
      <c r="H184" t="s">
        <v>1096</v>
      </c>
      <c r="I184" t="s">
        <v>917</v>
      </c>
      <c r="J184" t="s">
        <v>15</v>
      </c>
      <c r="K184">
        <v>2489.91</v>
      </c>
      <c r="L184">
        <v>6</v>
      </c>
      <c r="M184">
        <v>0.1</v>
      </c>
      <c r="N184">
        <v>14939.46</v>
      </c>
      <c r="O184">
        <v>13445.513999999999</v>
      </c>
      <c r="P184" t="s">
        <v>532</v>
      </c>
      <c r="Q184" t="s">
        <v>24</v>
      </c>
      <c r="R184" t="s">
        <v>1150</v>
      </c>
    </row>
    <row r="185" spans="1:18" x14ac:dyDescent="0.3">
      <c r="A185" t="s">
        <v>533</v>
      </c>
      <c r="B185" s="6">
        <v>45753</v>
      </c>
      <c r="C185" t="s">
        <v>171</v>
      </c>
      <c r="D185" t="s">
        <v>1010</v>
      </c>
      <c r="E185" t="s">
        <v>316</v>
      </c>
      <c r="F185" t="s">
        <v>922</v>
      </c>
      <c r="G185" t="s">
        <v>14</v>
      </c>
      <c r="H185" t="s">
        <v>1080</v>
      </c>
      <c r="I185" t="s">
        <v>903</v>
      </c>
      <c r="J185" t="s">
        <v>73</v>
      </c>
      <c r="K185">
        <v>2405.98</v>
      </c>
      <c r="L185">
        <v>2</v>
      </c>
      <c r="M185">
        <v>0.2</v>
      </c>
      <c r="N185">
        <v>4811.96</v>
      </c>
      <c r="O185">
        <v>3849.5680000000002</v>
      </c>
      <c r="P185" t="s">
        <v>379</v>
      </c>
      <c r="Q185" t="s">
        <v>42</v>
      </c>
      <c r="R185" t="s">
        <v>1150</v>
      </c>
    </row>
    <row r="186" spans="1:18" x14ac:dyDescent="0.3">
      <c r="A186" t="s">
        <v>534</v>
      </c>
      <c r="B186" s="6">
        <v>45468</v>
      </c>
      <c r="C186" t="s">
        <v>253</v>
      </c>
      <c r="D186" t="s">
        <v>1044</v>
      </c>
      <c r="E186" t="s">
        <v>85</v>
      </c>
      <c r="F186" t="s">
        <v>907</v>
      </c>
      <c r="G186" t="s">
        <v>82</v>
      </c>
      <c r="H186" t="s">
        <v>1076</v>
      </c>
      <c r="I186" t="s">
        <v>931</v>
      </c>
      <c r="J186" t="s">
        <v>35</v>
      </c>
      <c r="K186">
        <v>3457.28</v>
      </c>
      <c r="L186">
        <v>1</v>
      </c>
      <c r="M186">
        <v>0</v>
      </c>
      <c r="N186">
        <v>3457.28</v>
      </c>
      <c r="O186">
        <v>3457.28</v>
      </c>
      <c r="P186" t="s">
        <v>536</v>
      </c>
      <c r="Q186" t="s">
        <v>42</v>
      </c>
      <c r="R186" t="s">
        <v>1150</v>
      </c>
    </row>
    <row r="187" spans="1:18" x14ac:dyDescent="0.3">
      <c r="A187" t="s">
        <v>537</v>
      </c>
      <c r="B187" s="6">
        <v>45827</v>
      </c>
      <c r="C187" t="s">
        <v>71</v>
      </c>
      <c r="D187" t="s">
        <v>980</v>
      </c>
      <c r="E187" t="s">
        <v>20</v>
      </c>
      <c r="F187" t="s">
        <v>934</v>
      </c>
      <c r="G187" t="s">
        <v>45</v>
      </c>
      <c r="H187" t="s">
        <v>1096</v>
      </c>
      <c r="I187" t="s">
        <v>896</v>
      </c>
      <c r="J187" t="s">
        <v>22</v>
      </c>
      <c r="K187">
        <v>3772.12</v>
      </c>
      <c r="L187">
        <v>10</v>
      </c>
      <c r="M187">
        <v>0</v>
      </c>
      <c r="N187">
        <v>37721.199999999997</v>
      </c>
      <c r="O187">
        <v>37721.199999999997</v>
      </c>
      <c r="P187" t="s">
        <v>538</v>
      </c>
      <c r="Q187" t="s">
        <v>17</v>
      </c>
      <c r="R187" t="s">
        <v>1150</v>
      </c>
    </row>
    <row r="188" spans="1:18" x14ac:dyDescent="0.3">
      <c r="A188" t="s">
        <v>539</v>
      </c>
      <c r="B188" s="6">
        <v>45688</v>
      </c>
      <c r="C188" t="s">
        <v>80</v>
      </c>
      <c r="D188" t="s">
        <v>1109</v>
      </c>
      <c r="E188" t="s">
        <v>153</v>
      </c>
      <c r="F188" t="s">
        <v>899</v>
      </c>
      <c r="G188" t="s">
        <v>34</v>
      </c>
      <c r="H188" t="s">
        <v>1078</v>
      </c>
      <c r="I188" t="s">
        <v>917</v>
      </c>
      <c r="J188" t="s">
        <v>73</v>
      </c>
      <c r="K188">
        <v>2128.4</v>
      </c>
      <c r="L188">
        <v>7</v>
      </c>
      <c r="M188">
        <v>0.2</v>
      </c>
      <c r="N188">
        <v>14898.800000000001</v>
      </c>
      <c r="O188">
        <v>11919.04</v>
      </c>
      <c r="P188" t="s">
        <v>541</v>
      </c>
      <c r="Q188" t="s">
        <v>17</v>
      </c>
      <c r="R188" t="s">
        <v>1150</v>
      </c>
    </row>
    <row r="189" spans="1:18" x14ac:dyDescent="0.3">
      <c r="A189" t="s">
        <v>542</v>
      </c>
      <c r="B189" s="6">
        <v>45359</v>
      </c>
      <c r="C189" t="s">
        <v>502</v>
      </c>
      <c r="D189" t="s">
        <v>1138</v>
      </c>
      <c r="E189" t="s">
        <v>400</v>
      </c>
      <c r="F189" t="s">
        <v>916</v>
      </c>
      <c r="G189" t="s">
        <v>45</v>
      </c>
      <c r="H189" t="s">
        <v>1096</v>
      </c>
      <c r="I189" t="s">
        <v>924</v>
      </c>
      <c r="J189" t="s">
        <v>35</v>
      </c>
      <c r="K189">
        <v>588.75</v>
      </c>
      <c r="L189">
        <v>6</v>
      </c>
      <c r="M189">
        <v>0</v>
      </c>
      <c r="N189">
        <v>3532.5</v>
      </c>
      <c r="O189">
        <v>3532.5</v>
      </c>
      <c r="P189" t="s">
        <v>250</v>
      </c>
      <c r="Q189" t="s">
        <v>17</v>
      </c>
      <c r="R189" t="s">
        <v>1150</v>
      </c>
    </row>
    <row r="190" spans="1:18" x14ac:dyDescent="0.3">
      <c r="A190" t="s">
        <v>543</v>
      </c>
      <c r="B190" s="6">
        <v>45550</v>
      </c>
      <c r="C190" t="s">
        <v>157</v>
      </c>
      <c r="D190" t="s">
        <v>1117</v>
      </c>
      <c r="E190" t="s">
        <v>54</v>
      </c>
      <c r="F190" t="s">
        <v>923</v>
      </c>
      <c r="G190" t="s">
        <v>34</v>
      </c>
      <c r="H190" t="s">
        <v>1078</v>
      </c>
      <c r="I190" t="s">
        <v>889</v>
      </c>
      <c r="J190" t="s">
        <v>22</v>
      </c>
      <c r="K190">
        <v>3929.31</v>
      </c>
      <c r="L190">
        <v>10</v>
      </c>
      <c r="M190">
        <v>0.2</v>
      </c>
      <c r="N190">
        <v>39293.1</v>
      </c>
      <c r="O190">
        <v>31434.48</v>
      </c>
      <c r="P190" t="s">
        <v>227</v>
      </c>
      <c r="Q190" t="s">
        <v>24</v>
      </c>
      <c r="R190" t="s">
        <v>1150</v>
      </c>
    </row>
    <row r="191" spans="1:18" x14ac:dyDescent="0.3">
      <c r="A191" t="s">
        <v>544</v>
      </c>
      <c r="B191" s="6">
        <v>45436</v>
      </c>
      <c r="C191" t="s">
        <v>331</v>
      </c>
      <c r="D191" t="s">
        <v>1006</v>
      </c>
      <c r="E191" t="s">
        <v>13</v>
      </c>
      <c r="F191" t="s">
        <v>891</v>
      </c>
      <c r="G191" t="s">
        <v>82</v>
      </c>
      <c r="H191" t="s">
        <v>1076</v>
      </c>
      <c r="I191" t="s">
        <v>910</v>
      </c>
      <c r="J191" t="s">
        <v>15</v>
      </c>
      <c r="K191">
        <v>3493.54</v>
      </c>
      <c r="L191">
        <v>6</v>
      </c>
      <c r="M191">
        <v>0</v>
      </c>
      <c r="N191">
        <v>20961.239999999998</v>
      </c>
      <c r="O191">
        <v>20961.239999999998</v>
      </c>
      <c r="P191" t="s">
        <v>373</v>
      </c>
      <c r="Q191" t="s">
        <v>42</v>
      </c>
      <c r="R191" t="s">
        <v>1150</v>
      </c>
    </row>
    <row r="192" spans="1:18" x14ac:dyDescent="0.3">
      <c r="A192" t="s">
        <v>545</v>
      </c>
      <c r="B192" s="6">
        <v>45378</v>
      </c>
      <c r="C192" t="s">
        <v>190</v>
      </c>
      <c r="D192" t="s">
        <v>1119</v>
      </c>
      <c r="E192" t="s">
        <v>210</v>
      </c>
      <c r="F192" t="s">
        <v>913</v>
      </c>
      <c r="G192" t="s">
        <v>82</v>
      </c>
      <c r="H192" t="s">
        <v>1076</v>
      </c>
      <c r="I192" t="s">
        <v>910</v>
      </c>
      <c r="J192" t="s">
        <v>22</v>
      </c>
      <c r="K192">
        <v>1187.29</v>
      </c>
      <c r="L192">
        <v>5</v>
      </c>
      <c r="M192">
        <v>0.1</v>
      </c>
      <c r="N192">
        <v>5936.45</v>
      </c>
      <c r="O192">
        <v>5342.8050000000003</v>
      </c>
      <c r="P192" t="s">
        <v>294</v>
      </c>
      <c r="Q192" t="s">
        <v>60</v>
      </c>
      <c r="R192" t="s">
        <v>1150</v>
      </c>
    </row>
    <row r="193" spans="1:18" x14ac:dyDescent="0.3">
      <c r="A193" t="s">
        <v>546</v>
      </c>
      <c r="B193" s="6">
        <v>45831</v>
      </c>
      <c r="C193" t="s">
        <v>547</v>
      </c>
      <c r="D193" t="s">
        <v>1139</v>
      </c>
      <c r="E193" t="s">
        <v>99</v>
      </c>
      <c r="F193" t="s">
        <v>914</v>
      </c>
      <c r="G193" t="s">
        <v>45</v>
      </c>
      <c r="H193" t="s">
        <v>1096</v>
      </c>
      <c r="I193" t="s">
        <v>882</v>
      </c>
      <c r="J193" t="s">
        <v>22</v>
      </c>
      <c r="K193">
        <v>2352.63</v>
      </c>
      <c r="L193">
        <v>2</v>
      </c>
      <c r="M193">
        <v>0.15</v>
      </c>
      <c r="N193">
        <v>4705.26</v>
      </c>
      <c r="O193">
        <v>3999.471</v>
      </c>
      <c r="P193" t="s">
        <v>548</v>
      </c>
      <c r="Q193" t="s">
        <v>24</v>
      </c>
      <c r="R193" t="s">
        <v>1150</v>
      </c>
    </row>
    <row r="194" spans="1:18" x14ac:dyDescent="0.3">
      <c r="A194" t="s">
        <v>549</v>
      </c>
      <c r="B194" s="6">
        <v>45663</v>
      </c>
      <c r="C194" t="s">
        <v>550</v>
      </c>
      <c r="D194" t="s">
        <v>1127</v>
      </c>
      <c r="E194" t="s">
        <v>260</v>
      </c>
      <c r="F194" t="s">
        <v>881</v>
      </c>
      <c r="G194" t="s">
        <v>21</v>
      </c>
      <c r="H194" t="s">
        <v>1073</v>
      </c>
      <c r="I194" t="s">
        <v>896</v>
      </c>
      <c r="J194" t="s">
        <v>22</v>
      </c>
      <c r="K194">
        <v>3981.64</v>
      </c>
      <c r="L194">
        <v>0</v>
      </c>
      <c r="M194">
        <v>0</v>
      </c>
      <c r="N194">
        <v>0</v>
      </c>
      <c r="O194">
        <v>0</v>
      </c>
      <c r="P194" t="s">
        <v>551</v>
      </c>
      <c r="Q194" t="s">
        <v>30</v>
      </c>
      <c r="R194" t="s">
        <v>1151</v>
      </c>
    </row>
    <row r="195" spans="1:18" x14ac:dyDescent="0.3">
      <c r="A195" t="s">
        <v>552</v>
      </c>
      <c r="B195" s="6">
        <v>45488</v>
      </c>
      <c r="C195" t="s">
        <v>160</v>
      </c>
      <c r="D195" t="s">
        <v>1118</v>
      </c>
      <c r="E195" t="s">
        <v>210</v>
      </c>
      <c r="F195" t="s">
        <v>895</v>
      </c>
      <c r="G195" t="s">
        <v>45</v>
      </c>
      <c r="H195" t="s">
        <v>1096</v>
      </c>
      <c r="I195" t="s">
        <v>910</v>
      </c>
      <c r="J195" t="s">
        <v>73</v>
      </c>
      <c r="K195">
        <v>1187.29</v>
      </c>
      <c r="L195">
        <v>4</v>
      </c>
      <c r="M195">
        <v>0</v>
      </c>
      <c r="N195">
        <v>4749.16</v>
      </c>
      <c r="O195">
        <v>4749.16</v>
      </c>
      <c r="P195" t="s">
        <v>554</v>
      </c>
      <c r="Q195" t="s">
        <v>17</v>
      </c>
      <c r="R195" t="s">
        <v>1150</v>
      </c>
    </row>
    <row r="196" spans="1:18" x14ac:dyDescent="0.3">
      <c r="A196" t="s">
        <v>555</v>
      </c>
      <c r="B196" s="6">
        <v>45395</v>
      </c>
      <c r="C196" t="s">
        <v>71</v>
      </c>
      <c r="D196" t="s">
        <v>980</v>
      </c>
      <c r="E196" t="s">
        <v>254</v>
      </c>
      <c r="F196" t="s">
        <v>914</v>
      </c>
      <c r="G196" t="s">
        <v>82</v>
      </c>
      <c r="H196" t="s">
        <v>1076</v>
      </c>
      <c r="I196" t="s">
        <v>917</v>
      </c>
      <c r="J196" t="s">
        <v>73</v>
      </c>
      <c r="K196">
        <v>605.26</v>
      </c>
      <c r="L196">
        <v>9</v>
      </c>
      <c r="M196">
        <v>0.2</v>
      </c>
      <c r="N196">
        <v>5447.34</v>
      </c>
      <c r="O196">
        <v>4357.8720000000003</v>
      </c>
      <c r="P196" t="s">
        <v>556</v>
      </c>
      <c r="Q196" t="s">
        <v>17</v>
      </c>
      <c r="R196" t="s">
        <v>1150</v>
      </c>
    </row>
    <row r="197" spans="1:18" x14ac:dyDescent="0.3">
      <c r="A197" t="s">
        <v>557</v>
      </c>
      <c r="B197" s="6">
        <v>45426</v>
      </c>
      <c r="C197" t="s">
        <v>202</v>
      </c>
      <c r="D197" t="s">
        <v>1124</v>
      </c>
      <c r="E197" t="s">
        <v>99</v>
      </c>
      <c r="F197" t="s">
        <v>918</v>
      </c>
      <c r="G197" t="s">
        <v>34</v>
      </c>
      <c r="H197" t="s">
        <v>1078</v>
      </c>
      <c r="I197" t="s">
        <v>882</v>
      </c>
      <c r="J197" t="s">
        <v>15</v>
      </c>
      <c r="K197">
        <v>2352.63</v>
      </c>
      <c r="L197">
        <v>10</v>
      </c>
      <c r="M197">
        <v>0.05</v>
      </c>
      <c r="N197">
        <v>23526.300000000003</v>
      </c>
      <c r="O197">
        <v>22349.985000000001</v>
      </c>
      <c r="P197" t="s">
        <v>558</v>
      </c>
      <c r="Q197" t="s">
        <v>60</v>
      </c>
      <c r="R197" t="s">
        <v>1150</v>
      </c>
    </row>
    <row r="198" spans="1:18" x14ac:dyDescent="0.3">
      <c r="A198" t="s">
        <v>559</v>
      </c>
      <c r="B198" s="6">
        <v>45461</v>
      </c>
      <c r="C198" t="s">
        <v>403</v>
      </c>
      <c r="D198" t="s">
        <v>1135</v>
      </c>
      <c r="E198" t="s">
        <v>28</v>
      </c>
      <c r="F198" t="s">
        <v>881</v>
      </c>
      <c r="G198" t="s">
        <v>34</v>
      </c>
      <c r="H198" t="s">
        <v>1078</v>
      </c>
      <c r="I198" t="s">
        <v>896</v>
      </c>
      <c r="J198" t="s">
        <v>22</v>
      </c>
      <c r="K198">
        <v>733.33</v>
      </c>
      <c r="L198">
        <v>8</v>
      </c>
      <c r="M198">
        <v>0</v>
      </c>
      <c r="N198">
        <v>5866.64</v>
      </c>
      <c r="O198">
        <v>5866.64</v>
      </c>
      <c r="P198" t="s">
        <v>535</v>
      </c>
      <c r="Q198" t="s">
        <v>60</v>
      </c>
      <c r="R198" t="s">
        <v>1150</v>
      </c>
    </row>
    <row r="199" spans="1:18" x14ac:dyDescent="0.3">
      <c r="A199" t="s">
        <v>560</v>
      </c>
      <c r="B199" s="6">
        <v>45746</v>
      </c>
      <c r="C199" t="s">
        <v>137</v>
      </c>
      <c r="D199" t="s">
        <v>1114</v>
      </c>
      <c r="E199" t="s">
        <v>148</v>
      </c>
      <c r="F199" t="s">
        <v>897</v>
      </c>
      <c r="G199" t="s">
        <v>21</v>
      </c>
      <c r="H199" t="s">
        <v>1073</v>
      </c>
      <c r="I199" t="s">
        <v>931</v>
      </c>
      <c r="J199" t="s">
        <v>15</v>
      </c>
      <c r="K199">
        <v>3576.75</v>
      </c>
      <c r="L199">
        <v>10</v>
      </c>
      <c r="M199">
        <v>0</v>
      </c>
      <c r="N199">
        <v>35767.5</v>
      </c>
      <c r="O199">
        <v>35767.5</v>
      </c>
      <c r="P199" t="s">
        <v>562</v>
      </c>
      <c r="Q199" t="s">
        <v>42</v>
      </c>
      <c r="R199" t="s">
        <v>1150</v>
      </c>
    </row>
    <row r="200" spans="1:18" x14ac:dyDescent="0.3">
      <c r="A200" t="s">
        <v>563</v>
      </c>
      <c r="B200" s="6">
        <v>45536</v>
      </c>
      <c r="C200" t="s">
        <v>462</v>
      </c>
      <c r="D200" t="s">
        <v>1137</v>
      </c>
      <c r="E200" t="s">
        <v>454</v>
      </c>
      <c r="F200" t="s">
        <v>933</v>
      </c>
      <c r="G200" t="s">
        <v>14</v>
      </c>
      <c r="H200" t="s">
        <v>1080</v>
      </c>
      <c r="I200" t="s">
        <v>917</v>
      </c>
      <c r="J200" t="s">
        <v>15</v>
      </c>
      <c r="K200">
        <v>1253.57</v>
      </c>
      <c r="L200">
        <v>5</v>
      </c>
      <c r="M200">
        <v>0.2</v>
      </c>
      <c r="N200">
        <v>6267.8499999999995</v>
      </c>
      <c r="O200">
        <v>5014.28</v>
      </c>
      <c r="P200" t="s">
        <v>565</v>
      </c>
      <c r="Q200" t="s">
        <v>17</v>
      </c>
      <c r="R200" t="s">
        <v>1150</v>
      </c>
    </row>
    <row r="201" spans="1:18" x14ac:dyDescent="0.3">
      <c r="A201" t="s">
        <v>566</v>
      </c>
      <c r="B201" s="6">
        <v>45743</v>
      </c>
      <c r="C201" t="s">
        <v>253</v>
      </c>
      <c r="D201" t="s">
        <v>1044</v>
      </c>
      <c r="E201" t="s">
        <v>67</v>
      </c>
      <c r="F201" t="s">
        <v>921</v>
      </c>
      <c r="G201" t="s">
        <v>21</v>
      </c>
      <c r="H201" t="s">
        <v>1073</v>
      </c>
      <c r="I201" t="s">
        <v>924</v>
      </c>
      <c r="J201" t="s">
        <v>35</v>
      </c>
      <c r="K201">
        <v>3205.14</v>
      </c>
      <c r="L201">
        <v>8</v>
      </c>
      <c r="M201">
        <v>0.2</v>
      </c>
      <c r="N201">
        <v>25641.119999999999</v>
      </c>
      <c r="O201">
        <v>20512.896000000001</v>
      </c>
      <c r="P201" t="s">
        <v>88</v>
      </c>
      <c r="Q201" t="s">
        <v>42</v>
      </c>
      <c r="R201" t="s">
        <v>1150</v>
      </c>
    </row>
    <row r="202" spans="1:18" x14ac:dyDescent="0.3">
      <c r="A202" t="s">
        <v>567</v>
      </c>
      <c r="B202" s="6">
        <v>45832</v>
      </c>
      <c r="C202" t="s">
        <v>291</v>
      </c>
      <c r="D202" t="s">
        <v>1131</v>
      </c>
      <c r="E202" t="s">
        <v>249</v>
      </c>
      <c r="F202" t="s">
        <v>925</v>
      </c>
      <c r="G202" t="s">
        <v>14</v>
      </c>
      <c r="H202" t="s">
        <v>1080</v>
      </c>
      <c r="I202" t="s">
        <v>889</v>
      </c>
      <c r="J202" t="s">
        <v>15</v>
      </c>
      <c r="K202">
        <v>1309.58</v>
      </c>
      <c r="L202">
        <v>7</v>
      </c>
      <c r="M202">
        <v>0</v>
      </c>
      <c r="N202">
        <v>9167.06</v>
      </c>
      <c r="O202">
        <v>9167.06</v>
      </c>
      <c r="P202" t="s">
        <v>569</v>
      </c>
      <c r="Q202" t="s">
        <v>17</v>
      </c>
      <c r="R202" t="s">
        <v>1150</v>
      </c>
    </row>
    <row r="203" spans="1:18" x14ac:dyDescent="0.3">
      <c r="A203" t="s">
        <v>570</v>
      </c>
      <c r="B203" s="6">
        <v>45345</v>
      </c>
      <c r="C203" t="s">
        <v>110</v>
      </c>
      <c r="D203" t="s">
        <v>983</v>
      </c>
      <c r="E203" t="s">
        <v>20</v>
      </c>
      <c r="F203" t="s">
        <v>893</v>
      </c>
      <c r="G203" t="s">
        <v>82</v>
      </c>
      <c r="H203" t="s">
        <v>1076</v>
      </c>
      <c r="I203" t="s">
        <v>896</v>
      </c>
      <c r="J203" t="s">
        <v>73</v>
      </c>
      <c r="K203">
        <v>3772.12</v>
      </c>
      <c r="L203">
        <v>0</v>
      </c>
      <c r="M203">
        <v>0.2</v>
      </c>
      <c r="N203">
        <v>0</v>
      </c>
      <c r="O203">
        <v>0</v>
      </c>
      <c r="P203" t="s">
        <v>572</v>
      </c>
      <c r="Q203" t="s">
        <v>42</v>
      </c>
      <c r="R203" t="s">
        <v>1151</v>
      </c>
    </row>
    <row r="204" spans="1:18" x14ac:dyDescent="0.3">
      <c r="A204" t="s">
        <v>573</v>
      </c>
      <c r="B204" s="6">
        <v>45419</v>
      </c>
      <c r="C204" t="s">
        <v>190</v>
      </c>
      <c r="D204" t="s">
        <v>1119</v>
      </c>
      <c r="E204" t="s">
        <v>130</v>
      </c>
      <c r="F204" t="s">
        <v>899</v>
      </c>
      <c r="G204" t="s">
        <v>82</v>
      </c>
      <c r="H204" t="s">
        <v>1076</v>
      </c>
      <c r="I204" t="s">
        <v>910</v>
      </c>
      <c r="J204" t="s">
        <v>22</v>
      </c>
      <c r="K204">
        <v>3128.51</v>
      </c>
      <c r="L204">
        <v>5</v>
      </c>
      <c r="M204">
        <v>0</v>
      </c>
      <c r="N204">
        <v>15642.550000000001</v>
      </c>
      <c r="O204">
        <v>15642.550000000001</v>
      </c>
      <c r="P204" t="s">
        <v>238</v>
      </c>
      <c r="Q204" t="s">
        <v>30</v>
      </c>
      <c r="R204" t="s">
        <v>1150</v>
      </c>
    </row>
    <row r="205" spans="1:18" x14ac:dyDescent="0.3">
      <c r="A205" t="s">
        <v>574</v>
      </c>
      <c r="B205" s="6">
        <v>45817</v>
      </c>
      <c r="C205" t="s">
        <v>190</v>
      </c>
      <c r="D205" t="s">
        <v>1119</v>
      </c>
      <c r="E205" t="s">
        <v>90</v>
      </c>
      <c r="F205" t="s">
        <v>912</v>
      </c>
      <c r="G205" t="s">
        <v>82</v>
      </c>
      <c r="H205" t="s">
        <v>1076</v>
      </c>
      <c r="I205" t="s">
        <v>903</v>
      </c>
      <c r="J205" t="s">
        <v>73</v>
      </c>
      <c r="K205">
        <v>928.72</v>
      </c>
      <c r="L205">
        <v>3</v>
      </c>
      <c r="M205">
        <v>0.2</v>
      </c>
      <c r="N205">
        <v>2786.16</v>
      </c>
      <c r="O205">
        <v>2228.9279999999999</v>
      </c>
      <c r="P205" t="s">
        <v>575</v>
      </c>
      <c r="Q205" t="s">
        <v>60</v>
      </c>
      <c r="R205" t="s">
        <v>1150</v>
      </c>
    </row>
    <row r="206" spans="1:18" x14ac:dyDescent="0.3">
      <c r="A206" t="s">
        <v>576</v>
      </c>
      <c r="B206" s="6">
        <v>45753</v>
      </c>
      <c r="C206" t="s">
        <v>356</v>
      </c>
      <c r="D206" t="s">
        <v>1133</v>
      </c>
      <c r="E206" t="s">
        <v>389</v>
      </c>
      <c r="F206" t="s">
        <v>902</v>
      </c>
      <c r="G206" t="s">
        <v>82</v>
      </c>
      <c r="H206" t="s">
        <v>1076</v>
      </c>
      <c r="I206" t="s">
        <v>882</v>
      </c>
      <c r="J206" t="s">
        <v>73</v>
      </c>
      <c r="K206">
        <v>991.59</v>
      </c>
      <c r="L206">
        <v>6</v>
      </c>
      <c r="M206">
        <v>0</v>
      </c>
      <c r="N206">
        <v>5949.54</v>
      </c>
      <c r="O206">
        <v>5949.54</v>
      </c>
      <c r="P206" t="s">
        <v>577</v>
      </c>
      <c r="Q206" t="s">
        <v>30</v>
      </c>
      <c r="R206" t="s">
        <v>1150</v>
      </c>
    </row>
    <row r="207" spans="1:18" x14ac:dyDescent="0.3">
      <c r="A207" t="s">
        <v>578</v>
      </c>
      <c r="B207" s="6">
        <v>45806</v>
      </c>
      <c r="C207" t="s">
        <v>115</v>
      </c>
      <c r="D207" t="s">
        <v>996</v>
      </c>
      <c r="E207" t="s">
        <v>400</v>
      </c>
      <c r="F207" t="s">
        <v>883</v>
      </c>
      <c r="G207" t="s">
        <v>34</v>
      </c>
      <c r="H207" t="s">
        <v>1078</v>
      </c>
      <c r="I207" t="s">
        <v>924</v>
      </c>
      <c r="J207" t="s">
        <v>73</v>
      </c>
      <c r="K207">
        <v>588.75</v>
      </c>
      <c r="L207">
        <v>6</v>
      </c>
      <c r="M207">
        <v>0</v>
      </c>
      <c r="N207">
        <v>3532.5</v>
      </c>
      <c r="O207">
        <v>3532.5</v>
      </c>
      <c r="P207" t="s">
        <v>580</v>
      </c>
      <c r="Q207" t="s">
        <v>17</v>
      </c>
      <c r="R207" t="s">
        <v>1150</v>
      </c>
    </row>
    <row r="208" spans="1:18" x14ac:dyDescent="0.3">
      <c r="A208" t="s">
        <v>581</v>
      </c>
      <c r="B208" s="6">
        <v>45521</v>
      </c>
      <c r="C208" t="s">
        <v>115</v>
      </c>
      <c r="D208" t="s">
        <v>996</v>
      </c>
      <c r="E208" t="s">
        <v>33</v>
      </c>
      <c r="F208" t="s">
        <v>923</v>
      </c>
      <c r="G208" t="s">
        <v>34</v>
      </c>
      <c r="H208" t="s">
        <v>1078</v>
      </c>
      <c r="I208" t="s">
        <v>931</v>
      </c>
      <c r="J208" t="s">
        <v>22</v>
      </c>
      <c r="K208">
        <v>620.89</v>
      </c>
      <c r="L208">
        <v>1</v>
      </c>
      <c r="M208">
        <v>0</v>
      </c>
      <c r="N208">
        <v>620.89</v>
      </c>
      <c r="O208">
        <v>620.89</v>
      </c>
      <c r="P208" t="s">
        <v>257</v>
      </c>
      <c r="Q208" t="s">
        <v>60</v>
      </c>
      <c r="R208" t="s">
        <v>1150</v>
      </c>
    </row>
    <row r="209" spans="1:18" x14ac:dyDescent="0.3">
      <c r="A209" t="s">
        <v>582</v>
      </c>
      <c r="B209" s="6">
        <v>45432</v>
      </c>
      <c r="C209" t="s">
        <v>71</v>
      </c>
      <c r="D209" t="s">
        <v>980</v>
      </c>
      <c r="E209" t="s">
        <v>226</v>
      </c>
      <c r="F209" t="s">
        <v>932</v>
      </c>
      <c r="G209" t="s">
        <v>34</v>
      </c>
      <c r="H209" t="s">
        <v>1078</v>
      </c>
      <c r="I209" t="s">
        <v>903</v>
      </c>
      <c r="J209" t="s">
        <v>15</v>
      </c>
      <c r="K209">
        <v>2359.5</v>
      </c>
      <c r="L209">
        <v>1</v>
      </c>
      <c r="M209">
        <v>0</v>
      </c>
      <c r="N209">
        <v>2359.5</v>
      </c>
      <c r="O209">
        <v>2359.5</v>
      </c>
      <c r="P209" t="s">
        <v>583</v>
      </c>
      <c r="Q209" t="s">
        <v>30</v>
      </c>
      <c r="R209" t="s">
        <v>1150</v>
      </c>
    </row>
    <row r="210" spans="1:18" x14ac:dyDescent="0.3">
      <c r="A210" t="s">
        <v>584</v>
      </c>
      <c r="B210" s="6">
        <v>45751</v>
      </c>
      <c r="C210" t="s">
        <v>214</v>
      </c>
      <c r="D210" t="s">
        <v>1125</v>
      </c>
      <c r="E210" t="s">
        <v>226</v>
      </c>
      <c r="F210" t="s">
        <v>904</v>
      </c>
      <c r="G210" t="s">
        <v>21</v>
      </c>
      <c r="H210" t="s">
        <v>1073</v>
      </c>
      <c r="I210" t="s">
        <v>903</v>
      </c>
      <c r="J210" t="s">
        <v>73</v>
      </c>
      <c r="K210">
        <v>2359.5</v>
      </c>
      <c r="L210">
        <v>10</v>
      </c>
      <c r="M210">
        <v>0</v>
      </c>
      <c r="N210">
        <v>23595</v>
      </c>
      <c r="O210">
        <v>23595</v>
      </c>
      <c r="P210" t="s">
        <v>423</v>
      </c>
      <c r="Q210" t="s">
        <v>17</v>
      </c>
      <c r="R210" t="s">
        <v>1150</v>
      </c>
    </row>
    <row r="211" spans="1:18" x14ac:dyDescent="0.3">
      <c r="A211" t="s">
        <v>586</v>
      </c>
      <c r="B211" s="6">
        <v>45512</v>
      </c>
      <c r="C211" t="s">
        <v>27</v>
      </c>
      <c r="D211" t="s">
        <v>1105</v>
      </c>
      <c r="E211" t="s">
        <v>468</v>
      </c>
      <c r="F211" t="s">
        <v>904</v>
      </c>
      <c r="G211" t="s">
        <v>82</v>
      </c>
      <c r="H211" t="s">
        <v>1076</v>
      </c>
      <c r="I211" t="s">
        <v>924</v>
      </c>
      <c r="J211" t="s">
        <v>35</v>
      </c>
      <c r="K211">
        <v>2113.67</v>
      </c>
      <c r="L211">
        <v>3</v>
      </c>
      <c r="M211">
        <v>0.1</v>
      </c>
      <c r="N211">
        <v>6341.01</v>
      </c>
      <c r="O211">
        <v>5706.9090000000006</v>
      </c>
      <c r="P211" t="s">
        <v>158</v>
      </c>
      <c r="Q211" t="s">
        <v>24</v>
      </c>
      <c r="R211" t="s">
        <v>1150</v>
      </c>
    </row>
    <row r="212" spans="1:18" x14ac:dyDescent="0.3">
      <c r="A212" t="s">
        <v>587</v>
      </c>
      <c r="B212" s="6">
        <v>45587</v>
      </c>
      <c r="C212" t="s">
        <v>141</v>
      </c>
      <c r="D212" t="s">
        <v>1115</v>
      </c>
      <c r="E212" t="s">
        <v>33</v>
      </c>
      <c r="F212" t="s">
        <v>926</v>
      </c>
      <c r="G212" t="s">
        <v>82</v>
      </c>
      <c r="H212" t="s">
        <v>1076</v>
      </c>
      <c r="I212" t="s">
        <v>931</v>
      </c>
      <c r="J212" t="s">
        <v>73</v>
      </c>
      <c r="K212">
        <v>620.89</v>
      </c>
      <c r="L212">
        <v>4</v>
      </c>
      <c r="M212">
        <v>0</v>
      </c>
      <c r="N212">
        <v>2483.56</v>
      </c>
      <c r="O212">
        <v>2483.56</v>
      </c>
      <c r="P212" t="s">
        <v>507</v>
      </c>
      <c r="Q212" t="s">
        <v>60</v>
      </c>
      <c r="R212" t="s">
        <v>1150</v>
      </c>
    </row>
    <row r="213" spans="1:18" x14ac:dyDescent="0.3">
      <c r="A213" t="s">
        <v>589</v>
      </c>
      <c r="B213" s="6">
        <v>45721</v>
      </c>
      <c r="C213" t="s">
        <v>590</v>
      </c>
      <c r="D213" t="s">
        <v>1140</v>
      </c>
      <c r="E213" t="s">
        <v>468</v>
      </c>
      <c r="F213" t="s">
        <v>932</v>
      </c>
      <c r="G213" t="s">
        <v>21</v>
      </c>
      <c r="H213" t="s">
        <v>1073</v>
      </c>
      <c r="I213" t="s">
        <v>924</v>
      </c>
      <c r="J213" t="s">
        <v>73</v>
      </c>
      <c r="K213">
        <v>2113.67</v>
      </c>
      <c r="L213">
        <v>10</v>
      </c>
      <c r="M213">
        <v>0.05</v>
      </c>
      <c r="N213">
        <v>21136.7</v>
      </c>
      <c r="O213">
        <v>20079.864999999998</v>
      </c>
      <c r="P213" t="s">
        <v>591</v>
      </c>
      <c r="Q213" t="s">
        <v>30</v>
      </c>
      <c r="R213" t="s">
        <v>1150</v>
      </c>
    </row>
    <row r="214" spans="1:18" x14ac:dyDescent="0.3">
      <c r="A214" t="s">
        <v>592</v>
      </c>
      <c r="B214" s="6">
        <v>45308</v>
      </c>
      <c r="C214" t="s">
        <v>176</v>
      </c>
      <c r="D214" t="s">
        <v>1120</v>
      </c>
      <c r="E214" t="s">
        <v>40</v>
      </c>
      <c r="F214" t="s">
        <v>926</v>
      </c>
      <c r="G214" t="s">
        <v>21</v>
      </c>
      <c r="H214" t="s">
        <v>1073</v>
      </c>
      <c r="I214" t="s">
        <v>924</v>
      </c>
      <c r="J214" t="s">
        <v>15</v>
      </c>
      <c r="K214">
        <v>136.91</v>
      </c>
      <c r="L214">
        <v>9</v>
      </c>
      <c r="M214">
        <v>0.1</v>
      </c>
      <c r="N214">
        <v>1232.19</v>
      </c>
      <c r="O214">
        <v>1108.971</v>
      </c>
      <c r="P214" t="s">
        <v>119</v>
      </c>
      <c r="Q214" t="s">
        <v>17</v>
      </c>
      <c r="R214" t="s">
        <v>1150</v>
      </c>
    </row>
    <row r="215" spans="1:18" x14ac:dyDescent="0.3">
      <c r="A215" t="s">
        <v>594</v>
      </c>
      <c r="B215" s="6">
        <v>45731</v>
      </c>
      <c r="C215" t="s">
        <v>115</v>
      </c>
      <c r="D215" t="s">
        <v>996</v>
      </c>
      <c r="E215" t="s">
        <v>106</v>
      </c>
      <c r="F215" t="s">
        <v>928</v>
      </c>
      <c r="G215" t="s">
        <v>45</v>
      </c>
      <c r="H215" t="s">
        <v>1096</v>
      </c>
      <c r="I215" t="s">
        <v>889</v>
      </c>
      <c r="J215" t="s">
        <v>15</v>
      </c>
      <c r="K215">
        <v>1559.65</v>
      </c>
      <c r="L215">
        <v>1</v>
      </c>
      <c r="M215">
        <v>0.1</v>
      </c>
      <c r="N215">
        <v>1559.65</v>
      </c>
      <c r="O215">
        <v>1403.6850000000002</v>
      </c>
      <c r="P215" t="s">
        <v>595</v>
      </c>
      <c r="Q215" t="s">
        <v>42</v>
      </c>
      <c r="R215" t="s">
        <v>1150</v>
      </c>
    </row>
    <row r="216" spans="1:18" x14ac:dyDescent="0.3">
      <c r="A216" t="s">
        <v>596</v>
      </c>
      <c r="B216" s="6">
        <v>45718</v>
      </c>
      <c r="C216" t="s">
        <v>403</v>
      </c>
      <c r="D216" t="s">
        <v>1135</v>
      </c>
      <c r="E216" t="s">
        <v>254</v>
      </c>
      <c r="F216" t="s">
        <v>894</v>
      </c>
      <c r="G216" t="s">
        <v>14</v>
      </c>
      <c r="H216" t="s">
        <v>1080</v>
      </c>
      <c r="I216" t="s">
        <v>917</v>
      </c>
      <c r="J216" t="s">
        <v>22</v>
      </c>
      <c r="K216">
        <v>605.26</v>
      </c>
      <c r="L216">
        <v>3</v>
      </c>
      <c r="M216">
        <v>0.15</v>
      </c>
      <c r="N216">
        <v>1815.78</v>
      </c>
      <c r="O216">
        <v>1543.413</v>
      </c>
      <c r="P216" t="s">
        <v>597</v>
      </c>
      <c r="Q216" t="s">
        <v>24</v>
      </c>
      <c r="R216" t="s">
        <v>1150</v>
      </c>
    </row>
    <row r="217" spans="1:18" x14ac:dyDescent="0.3">
      <c r="A217" t="s">
        <v>598</v>
      </c>
      <c r="B217" s="6">
        <v>45830</v>
      </c>
      <c r="C217" t="s">
        <v>311</v>
      </c>
      <c r="D217" t="s">
        <v>1132</v>
      </c>
      <c r="E217" t="s">
        <v>254</v>
      </c>
      <c r="F217" t="s">
        <v>918</v>
      </c>
      <c r="G217" t="s">
        <v>14</v>
      </c>
      <c r="H217" t="s">
        <v>1080</v>
      </c>
      <c r="I217" t="s">
        <v>917</v>
      </c>
      <c r="J217" t="s">
        <v>73</v>
      </c>
      <c r="K217">
        <v>605.26</v>
      </c>
      <c r="L217">
        <v>9</v>
      </c>
      <c r="M217">
        <v>0.1</v>
      </c>
      <c r="N217">
        <v>5447.34</v>
      </c>
      <c r="O217">
        <v>4902.6060000000007</v>
      </c>
      <c r="P217" t="s">
        <v>600</v>
      </c>
      <c r="Q217" t="s">
        <v>30</v>
      </c>
      <c r="R217" t="s">
        <v>1150</v>
      </c>
    </row>
    <row r="218" spans="1:18" x14ac:dyDescent="0.3">
      <c r="A218" t="s">
        <v>601</v>
      </c>
      <c r="B218" s="6">
        <v>45773</v>
      </c>
      <c r="C218" t="s">
        <v>98</v>
      </c>
      <c r="D218" t="s">
        <v>1110</v>
      </c>
      <c r="E218" t="s">
        <v>121</v>
      </c>
      <c r="F218" t="s">
        <v>918</v>
      </c>
      <c r="G218" t="s">
        <v>14</v>
      </c>
      <c r="H218" t="s">
        <v>1080</v>
      </c>
      <c r="I218" t="s">
        <v>903</v>
      </c>
      <c r="J218" t="s">
        <v>22</v>
      </c>
      <c r="K218">
        <v>3414.07</v>
      </c>
      <c r="L218">
        <v>1</v>
      </c>
      <c r="M218">
        <v>0.15</v>
      </c>
      <c r="N218">
        <v>3414.07</v>
      </c>
      <c r="O218">
        <v>2901.9594999999999</v>
      </c>
      <c r="P218" t="s">
        <v>165</v>
      </c>
      <c r="Q218" t="s">
        <v>17</v>
      </c>
      <c r="R218" t="s">
        <v>1150</v>
      </c>
    </row>
    <row r="219" spans="1:18" x14ac:dyDescent="0.3">
      <c r="A219" t="s">
        <v>602</v>
      </c>
      <c r="B219" s="6">
        <v>45308</v>
      </c>
      <c r="C219" t="s">
        <v>66</v>
      </c>
      <c r="D219" t="s">
        <v>1108</v>
      </c>
      <c r="E219" t="s">
        <v>85</v>
      </c>
      <c r="F219" t="s">
        <v>906</v>
      </c>
      <c r="G219" t="s">
        <v>82</v>
      </c>
      <c r="H219" t="s">
        <v>1076</v>
      </c>
      <c r="I219" t="s">
        <v>931</v>
      </c>
      <c r="J219" t="s">
        <v>22</v>
      </c>
      <c r="K219">
        <v>3457.28</v>
      </c>
      <c r="L219">
        <v>6</v>
      </c>
      <c r="M219">
        <v>0.2</v>
      </c>
      <c r="N219">
        <v>20743.68</v>
      </c>
      <c r="O219">
        <v>16594.944</v>
      </c>
      <c r="P219" t="s">
        <v>375</v>
      </c>
      <c r="Q219" t="s">
        <v>60</v>
      </c>
      <c r="R219" t="s">
        <v>1150</v>
      </c>
    </row>
    <row r="220" spans="1:18" x14ac:dyDescent="0.3">
      <c r="A220" t="s">
        <v>603</v>
      </c>
      <c r="B220" s="6">
        <v>45398</v>
      </c>
      <c r="C220" t="s">
        <v>605</v>
      </c>
      <c r="D220" t="s">
        <v>1023</v>
      </c>
      <c r="E220" t="s">
        <v>50</v>
      </c>
      <c r="F220" t="s">
        <v>934</v>
      </c>
      <c r="G220" t="s">
        <v>21</v>
      </c>
      <c r="H220" t="s">
        <v>1073</v>
      </c>
      <c r="I220" t="s">
        <v>931</v>
      </c>
      <c r="J220" t="s">
        <v>15</v>
      </c>
      <c r="K220">
        <v>2041.83</v>
      </c>
      <c r="L220">
        <v>10</v>
      </c>
      <c r="M220">
        <v>0.15</v>
      </c>
      <c r="N220">
        <v>20418.3</v>
      </c>
      <c r="O220">
        <v>17355.555</v>
      </c>
      <c r="P220" t="s">
        <v>556</v>
      </c>
      <c r="Q220" t="s">
        <v>24</v>
      </c>
      <c r="R220" t="s">
        <v>1150</v>
      </c>
    </row>
    <row r="221" spans="1:18" x14ac:dyDescent="0.3">
      <c r="A221" t="s">
        <v>606</v>
      </c>
      <c r="B221" s="6">
        <v>45652</v>
      </c>
      <c r="C221" t="s">
        <v>607</v>
      </c>
      <c r="D221" t="s">
        <v>1141</v>
      </c>
      <c r="E221" t="s">
        <v>40</v>
      </c>
      <c r="F221" t="s">
        <v>936</v>
      </c>
      <c r="G221" t="s">
        <v>21</v>
      </c>
      <c r="H221" t="s">
        <v>1073</v>
      </c>
      <c r="I221" t="s">
        <v>924</v>
      </c>
      <c r="J221" t="s">
        <v>35</v>
      </c>
      <c r="K221">
        <v>136.91</v>
      </c>
      <c r="L221">
        <v>9</v>
      </c>
      <c r="M221">
        <v>0</v>
      </c>
      <c r="N221">
        <v>1232.19</v>
      </c>
      <c r="O221">
        <v>1232.19</v>
      </c>
      <c r="P221" t="s">
        <v>608</v>
      </c>
      <c r="Q221" t="s">
        <v>30</v>
      </c>
      <c r="R221" t="s">
        <v>1150</v>
      </c>
    </row>
    <row r="222" spans="1:18" x14ac:dyDescent="0.3">
      <c r="A222" t="s">
        <v>609</v>
      </c>
      <c r="B222" s="6">
        <v>45478</v>
      </c>
      <c r="C222" t="s">
        <v>124</v>
      </c>
      <c r="D222" t="s">
        <v>1112</v>
      </c>
      <c r="E222" t="s">
        <v>81</v>
      </c>
      <c r="F222" t="s">
        <v>928</v>
      </c>
      <c r="G222" t="s">
        <v>82</v>
      </c>
      <c r="H222" t="s">
        <v>1076</v>
      </c>
      <c r="I222" t="s">
        <v>882</v>
      </c>
      <c r="J222" t="s">
        <v>73</v>
      </c>
      <c r="K222">
        <v>1044.7</v>
      </c>
      <c r="L222">
        <v>3</v>
      </c>
      <c r="M222">
        <v>0</v>
      </c>
      <c r="N222">
        <v>3134.1000000000004</v>
      </c>
      <c r="O222">
        <v>3134.1000000000004</v>
      </c>
      <c r="P222" t="s">
        <v>388</v>
      </c>
      <c r="Q222" t="s">
        <v>17</v>
      </c>
      <c r="R222" t="s">
        <v>1150</v>
      </c>
    </row>
    <row r="223" spans="1:18" x14ac:dyDescent="0.3">
      <c r="A223" t="s">
        <v>610</v>
      </c>
      <c r="B223" s="6">
        <v>45498</v>
      </c>
      <c r="C223" t="s">
        <v>58</v>
      </c>
      <c r="D223" t="s">
        <v>1014</v>
      </c>
      <c r="E223" t="s">
        <v>54</v>
      </c>
      <c r="F223" t="s">
        <v>886</v>
      </c>
      <c r="G223" t="s">
        <v>34</v>
      </c>
      <c r="H223" t="s">
        <v>1078</v>
      </c>
      <c r="I223" t="s">
        <v>889</v>
      </c>
      <c r="J223" t="s">
        <v>73</v>
      </c>
      <c r="K223">
        <v>3929.31</v>
      </c>
      <c r="L223">
        <v>1</v>
      </c>
      <c r="M223">
        <v>0.2</v>
      </c>
      <c r="N223">
        <v>3929.31</v>
      </c>
      <c r="O223">
        <v>3143.4480000000003</v>
      </c>
      <c r="P223" t="s">
        <v>612</v>
      </c>
      <c r="Q223" t="s">
        <v>17</v>
      </c>
      <c r="R223" t="s">
        <v>1150</v>
      </c>
    </row>
    <row r="224" spans="1:18" x14ac:dyDescent="0.3">
      <c r="A224" t="s">
        <v>613</v>
      </c>
      <c r="B224" s="6">
        <v>45609</v>
      </c>
      <c r="C224" t="s">
        <v>187</v>
      </c>
      <c r="D224" t="s">
        <v>1122</v>
      </c>
      <c r="E224" t="s">
        <v>130</v>
      </c>
      <c r="F224" t="s">
        <v>891</v>
      </c>
      <c r="G224" t="s">
        <v>82</v>
      </c>
      <c r="H224" t="s">
        <v>1076</v>
      </c>
      <c r="I224" t="s">
        <v>910</v>
      </c>
      <c r="J224" t="s">
        <v>35</v>
      </c>
      <c r="K224">
        <v>3128.51</v>
      </c>
      <c r="L224">
        <v>9</v>
      </c>
      <c r="M224">
        <v>0.05</v>
      </c>
      <c r="N224">
        <v>28156.590000000004</v>
      </c>
      <c r="O224">
        <v>26748.760500000004</v>
      </c>
      <c r="P224" t="s">
        <v>393</v>
      </c>
      <c r="Q224" t="s">
        <v>17</v>
      </c>
      <c r="R224" t="s">
        <v>1150</v>
      </c>
    </row>
    <row r="225" spans="1:18" x14ac:dyDescent="0.3">
      <c r="A225" t="s">
        <v>614</v>
      </c>
      <c r="B225" s="6">
        <v>45329</v>
      </c>
      <c r="C225" t="s">
        <v>590</v>
      </c>
      <c r="D225" t="s">
        <v>1140</v>
      </c>
      <c r="E225" t="s">
        <v>316</v>
      </c>
      <c r="F225" t="s">
        <v>912</v>
      </c>
      <c r="G225" t="s">
        <v>14</v>
      </c>
      <c r="H225" t="s">
        <v>1080</v>
      </c>
      <c r="I225" t="s">
        <v>903</v>
      </c>
      <c r="J225" t="s">
        <v>73</v>
      </c>
      <c r="K225">
        <v>2405.98</v>
      </c>
      <c r="L225">
        <v>4</v>
      </c>
      <c r="M225">
        <v>0</v>
      </c>
      <c r="N225">
        <v>9623.92</v>
      </c>
      <c r="O225">
        <v>9623.92</v>
      </c>
      <c r="P225" t="s">
        <v>308</v>
      </c>
      <c r="Q225" t="s">
        <v>17</v>
      </c>
      <c r="R225" t="s">
        <v>1150</v>
      </c>
    </row>
    <row r="226" spans="1:18" x14ac:dyDescent="0.3">
      <c r="A226" t="s">
        <v>615</v>
      </c>
      <c r="B226" s="6">
        <v>45571</v>
      </c>
      <c r="C226" t="s">
        <v>331</v>
      </c>
      <c r="D226" t="s">
        <v>1006</v>
      </c>
      <c r="E226" t="s">
        <v>345</v>
      </c>
      <c r="F226" t="s">
        <v>907</v>
      </c>
      <c r="G226" t="s">
        <v>45</v>
      </c>
      <c r="H226" t="s">
        <v>1096</v>
      </c>
      <c r="I226" t="s">
        <v>924</v>
      </c>
      <c r="J226" t="s">
        <v>35</v>
      </c>
      <c r="K226">
        <v>1212.79</v>
      </c>
      <c r="L226">
        <v>2</v>
      </c>
      <c r="M226">
        <v>0.2</v>
      </c>
      <c r="N226">
        <v>2425.58</v>
      </c>
      <c r="O226">
        <v>1940.4639999999999</v>
      </c>
      <c r="P226" t="s">
        <v>195</v>
      </c>
      <c r="Q226" t="s">
        <v>30</v>
      </c>
      <c r="R226" t="s">
        <v>1150</v>
      </c>
    </row>
    <row r="227" spans="1:18" x14ac:dyDescent="0.3">
      <c r="A227" t="s">
        <v>616</v>
      </c>
      <c r="B227" s="6">
        <v>45742</v>
      </c>
      <c r="C227" t="s">
        <v>199</v>
      </c>
      <c r="D227" t="s">
        <v>1123</v>
      </c>
      <c r="E227" t="s">
        <v>454</v>
      </c>
      <c r="F227" t="s">
        <v>927</v>
      </c>
      <c r="G227" t="s">
        <v>34</v>
      </c>
      <c r="H227" t="s">
        <v>1078</v>
      </c>
      <c r="I227" t="s">
        <v>917</v>
      </c>
      <c r="J227" t="s">
        <v>35</v>
      </c>
      <c r="K227">
        <v>1253.57</v>
      </c>
      <c r="L227">
        <v>7</v>
      </c>
      <c r="M227">
        <v>0</v>
      </c>
      <c r="N227">
        <v>8774.99</v>
      </c>
      <c r="O227">
        <v>8774.99</v>
      </c>
      <c r="P227" t="s">
        <v>618</v>
      </c>
      <c r="Q227" t="s">
        <v>30</v>
      </c>
      <c r="R227" t="s">
        <v>1150</v>
      </c>
    </row>
    <row r="228" spans="1:18" x14ac:dyDescent="0.3">
      <c r="A228" t="s">
        <v>619</v>
      </c>
      <c r="B228" s="6">
        <v>45668</v>
      </c>
      <c r="C228" t="s">
        <v>245</v>
      </c>
      <c r="D228" t="s">
        <v>1128</v>
      </c>
      <c r="E228" t="s">
        <v>206</v>
      </c>
      <c r="F228" t="s">
        <v>921</v>
      </c>
      <c r="G228" t="s">
        <v>82</v>
      </c>
      <c r="H228" t="s">
        <v>1076</v>
      </c>
      <c r="I228" t="s">
        <v>882</v>
      </c>
      <c r="J228" t="s">
        <v>35</v>
      </c>
      <c r="K228">
        <v>2779.58</v>
      </c>
      <c r="L228">
        <v>9</v>
      </c>
      <c r="M228">
        <v>0</v>
      </c>
      <c r="N228">
        <v>25016.22</v>
      </c>
      <c r="O228">
        <v>25016.22</v>
      </c>
      <c r="P228" t="s">
        <v>620</v>
      </c>
      <c r="Q228" t="s">
        <v>24</v>
      </c>
      <c r="R228" t="s">
        <v>1150</v>
      </c>
    </row>
    <row r="229" spans="1:18" x14ac:dyDescent="0.3">
      <c r="A229" t="s">
        <v>621</v>
      </c>
      <c r="B229" s="6">
        <v>45732</v>
      </c>
      <c r="C229" t="s">
        <v>462</v>
      </c>
      <c r="D229" t="s">
        <v>1137</v>
      </c>
      <c r="E229" t="s">
        <v>116</v>
      </c>
      <c r="F229" t="s">
        <v>887</v>
      </c>
      <c r="G229" t="s">
        <v>14</v>
      </c>
      <c r="H229" t="s">
        <v>1080</v>
      </c>
      <c r="I229" t="s">
        <v>889</v>
      </c>
      <c r="J229" t="s">
        <v>22</v>
      </c>
      <c r="K229">
        <v>1156.02</v>
      </c>
      <c r="L229">
        <v>10</v>
      </c>
      <c r="M229">
        <v>0.2</v>
      </c>
      <c r="N229">
        <v>11560.2</v>
      </c>
      <c r="O229">
        <v>9248.1600000000017</v>
      </c>
      <c r="P229" t="s">
        <v>186</v>
      </c>
      <c r="Q229" t="s">
        <v>17</v>
      </c>
      <c r="R229" t="s">
        <v>1150</v>
      </c>
    </row>
    <row r="230" spans="1:18" x14ac:dyDescent="0.3">
      <c r="A230" t="s">
        <v>622</v>
      </c>
      <c r="B230" s="6">
        <v>45397</v>
      </c>
      <c r="C230" t="s">
        <v>176</v>
      </c>
      <c r="D230" t="s">
        <v>1120</v>
      </c>
      <c r="E230" t="s">
        <v>210</v>
      </c>
      <c r="F230" t="s">
        <v>892</v>
      </c>
      <c r="G230" t="s">
        <v>82</v>
      </c>
      <c r="H230" t="s">
        <v>1076</v>
      </c>
      <c r="I230" t="s">
        <v>910</v>
      </c>
      <c r="J230" t="s">
        <v>22</v>
      </c>
      <c r="K230">
        <v>1187.29</v>
      </c>
      <c r="L230">
        <v>2</v>
      </c>
      <c r="M230">
        <v>0</v>
      </c>
      <c r="N230">
        <v>2374.58</v>
      </c>
      <c r="O230">
        <v>2374.58</v>
      </c>
      <c r="P230" t="s">
        <v>412</v>
      </c>
      <c r="Q230" t="s">
        <v>30</v>
      </c>
      <c r="R230" t="s">
        <v>1150</v>
      </c>
    </row>
    <row r="231" spans="1:18" x14ac:dyDescent="0.3">
      <c r="A231" t="s">
        <v>623</v>
      </c>
      <c r="B231" s="6">
        <v>45728</v>
      </c>
      <c r="C231" t="s">
        <v>171</v>
      </c>
      <c r="D231" t="s">
        <v>1010</v>
      </c>
      <c r="E231" t="s">
        <v>196</v>
      </c>
      <c r="F231" t="s">
        <v>914</v>
      </c>
      <c r="G231" t="s">
        <v>45</v>
      </c>
      <c r="H231" t="s">
        <v>1096</v>
      </c>
      <c r="I231" t="s">
        <v>882</v>
      </c>
      <c r="J231" t="s">
        <v>22</v>
      </c>
      <c r="K231">
        <v>2184.5100000000002</v>
      </c>
      <c r="L231">
        <v>3</v>
      </c>
      <c r="M231">
        <v>0.15</v>
      </c>
      <c r="N231">
        <v>6553.5300000000007</v>
      </c>
      <c r="O231">
        <v>5570.5005000000001</v>
      </c>
      <c r="P231" t="s">
        <v>78</v>
      </c>
      <c r="Q231" t="s">
        <v>30</v>
      </c>
      <c r="R231" t="s">
        <v>1150</v>
      </c>
    </row>
    <row r="232" spans="1:18" x14ac:dyDescent="0.3">
      <c r="A232" t="s">
        <v>624</v>
      </c>
      <c r="B232" s="6">
        <v>45335</v>
      </c>
      <c r="C232" t="s">
        <v>27</v>
      </c>
      <c r="D232" t="s">
        <v>1105</v>
      </c>
      <c r="E232" t="s">
        <v>13</v>
      </c>
      <c r="F232" t="s">
        <v>885</v>
      </c>
      <c r="G232" t="s">
        <v>14</v>
      </c>
      <c r="H232" t="s">
        <v>1080</v>
      </c>
      <c r="I232" t="s">
        <v>910</v>
      </c>
      <c r="J232" t="s">
        <v>22</v>
      </c>
      <c r="K232">
        <v>3493.54</v>
      </c>
      <c r="L232">
        <v>6</v>
      </c>
      <c r="M232">
        <v>0.1</v>
      </c>
      <c r="N232">
        <v>20961.239999999998</v>
      </c>
      <c r="O232">
        <v>18865.115999999998</v>
      </c>
      <c r="P232" t="s">
        <v>298</v>
      </c>
      <c r="Q232" t="s">
        <v>24</v>
      </c>
      <c r="R232" t="s">
        <v>1150</v>
      </c>
    </row>
    <row r="233" spans="1:18" x14ac:dyDescent="0.3">
      <c r="A233" t="s">
        <v>625</v>
      </c>
      <c r="B233" s="6">
        <v>45368</v>
      </c>
      <c r="C233" t="s">
        <v>187</v>
      </c>
      <c r="D233" t="s">
        <v>1122</v>
      </c>
      <c r="E233" t="s">
        <v>148</v>
      </c>
      <c r="F233" t="s">
        <v>913</v>
      </c>
      <c r="G233" t="s">
        <v>34</v>
      </c>
      <c r="H233" t="s">
        <v>1078</v>
      </c>
      <c r="I233" t="s">
        <v>931</v>
      </c>
      <c r="J233" t="s">
        <v>15</v>
      </c>
      <c r="K233">
        <v>3576.75</v>
      </c>
      <c r="L233">
        <v>7</v>
      </c>
      <c r="M233">
        <v>0</v>
      </c>
      <c r="N233">
        <v>25037.25</v>
      </c>
      <c r="O233">
        <v>25037.25</v>
      </c>
      <c r="P233" t="s">
        <v>626</v>
      </c>
      <c r="Q233" t="s">
        <v>24</v>
      </c>
      <c r="R233" t="s">
        <v>1150</v>
      </c>
    </row>
    <row r="234" spans="1:18" x14ac:dyDescent="0.3">
      <c r="A234" t="s">
        <v>627</v>
      </c>
      <c r="B234" s="6">
        <v>45438</v>
      </c>
      <c r="C234" t="s">
        <v>32</v>
      </c>
      <c r="D234" t="s">
        <v>1106</v>
      </c>
      <c r="E234" t="s">
        <v>54</v>
      </c>
      <c r="F234" t="s">
        <v>933</v>
      </c>
      <c r="G234" t="s">
        <v>82</v>
      </c>
      <c r="H234" t="s">
        <v>1076</v>
      </c>
      <c r="I234" t="s">
        <v>889</v>
      </c>
      <c r="J234" t="s">
        <v>73</v>
      </c>
      <c r="K234">
        <v>3929.31</v>
      </c>
      <c r="L234">
        <v>10</v>
      </c>
      <c r="M234">
        <v>0.15</v>
      </c>
      <c r="N234">
        <v>39293.1</v>
      </c>
      <c r="O234">
        <v>33399.134999999995</v>
      </c>
      <c r="P234" t="s">
        <v>628</v>
      </c>
      <c r="Q234" t="s">
        <v>60</v>
      </c>
      <c r="R234" t="s">
        <v>1150</v>
      </c>
    </row>
    <row r="235" spans="1:18" x14ac:dyDescent="0.3">
      <c r="A235" t="s">
        <v>629</v>
      </c>
      <c r="B235" s="6">
        <v>45360</v>
      </c>
      <c r="C235" t="s">
        <v>607</v>
      </c>
      <c r="D235" t="s">
        <v>1141</v>
      </c>
      <c r="E235" t="s">
        <v>77</v>
      </c>
      <c r="F235" t="s">
        <v>891</v>
      </c>
      <c r="G235" t="s">
        <v>21</v>
      </c>
      <c r="H235" t="s">
        <v>1073</v>
      </c>
      <c r="I235" t="s">
        <v>882</v>
      </c>
      <c r="J235" t="s">
        <v>22</v>
      </c>
      <c r="K235">
        <v>3550.89</v>
      </c>
      <c r="L235">
        <v>4</v>
      </c>
      <c r="M235">
        <v>0.2</v>
      </c>
      <c r="N235">
        <v>14203.56</v>
      </c>
      <c r="O235">
        <v>11362.848</v>
      </c>
      <c r="P235" t="s">
        <v>65</v>
      </c>
      <c r="Q235" t="s">
        <v>30</v>
      </c>
      <c r="R235" t="s">
        <v>1150</v>
      </c>
    </row>
    <row r="236" spans="1:18" x14ac:dyDescent="0.3">
      <c r="A236" t="s">
        <v>631</v>
      </c>
      <c r="B236" s="6">
        <v>45325</v>
      </c>
      <c r="C236" t="s">
        <v>171</v>
      </c>
      <c r="D236" t="s">
        <v>1010</v>
      </c>
      <c r="E236" t="s">
        <v>94</v>
      </c>
      <c r="F236" t="s">
        <v>884</v>
      </c>
      <c r="G236" t="s">
        <v>34</v>
      </c>
      <c r="H236" t="s">
        <v>1078</v>
      </c>
      <c r="I236" t="s">
        <v>931</v>
      </c>
      <c r="J236" t="s">
        <v>22</v>
      </c>
      <c r="K236">
        <v>3610.44</v>
      </c>
      <c r="L236">
        <v>10</v>
      </c>
      <c r="M236">
        <v>0</v>
      </c>
      <c r="N236">
        <v>36104.400000000001</v>
      </c>
      <c r="O236">
        <v>36104.400000000001</v>
      </c>
      <c r="P236" t="s">
        <v>297</v>
      </c>
      <c r="Q236" t="s">
        <v>17</v>
      </c>
      <c r="R236" t="s">
        <v>1150</v>
      </c>
    </row>
    <row r="237" spans="1:18" x14ac:dyDescent="0.3">
      <c r="A237" t="s">
        <v>632</v>
      </c>
      <c r="B237" s="6">
        <v>45746</v>
      </c>
      <c r="C237" t="s">
        <v>152</v>
      </c>
      <c r="D237" t="s">
        <v>944</v>
      </c>
      <c r="E237" t="s">
        <v>389</v>
      </c>
      <c r="F237" t="s">
        <v>935</v>
      </c>
      <c r="G237" t="s">
        <v>21</v>
      </c>
      <c r="H237" t="s">
        <v>1073</v>
      </c>
      <c r="I237" t="s">
        <v>882</v>
      </c>
      <c r="J237" t="s">
        <v>22</v>
      </c>
      <c r="K237">
        <v>991.59</v>
      </c>
      <c r="L237">
        <v>2</v>
      </c>
      <c r="M237">
        <v>0.1</v>
      </c>
      <c r="N237">
        <v>1983.18</v>
      </c>
      <c r="O237">
        <v>1784.8620000000001</v>
      </c>
      <c r="P237" t="s">
        <v>337</v>
      </c>
      <c r="Q237" t="s">
        <v>30</v>
      </c>
      <c r="R237" t="s">
        <v>1150</v>
      </c>
    </row>
    <row r="238" spans="1:18" x14ac:dyDescent="0.3">
      <c r="A238" t="s">
        <v>633</v>
      </c>
      <c r="B238" s="6">
        <v>45613</v>
      </c>
      <c r="C238" t="s">
        <v>392</v>
      </c>
      <c r="D238" t="s">
        <v>1134</v>
      </c>
      <c r="E238" t="s">
        <v>67</v>
      </c>
      <c r="F238" t="s">
        <v>883</v>
      </c>
      <c r="G238" t="s">
        <v>82</v>
      </c>
      <c r="H238" t="s">
        <v>1076</v>
      </c>
      <c r="I238" t="s">
        <v>924</v>
      </c>
      <c r="J238" t="s">
        <v>73</v>
      </c>
      <c r="K238">
        <v>3205.14</v>
      </c>
      <c r="L238">
        <v>5</v>
      </c>
      <c r="M238">
        <v>0</v>
      </c>
      <c r="N238">
        <v>16025.699999999999</v>
      </c>
      <c r="O238">
        <v>16025.699999999999</v>
      </c>
      <c r="P238" t="s">
        <v>513</v>
      </c>
      <c r="Q238" t="s">
        <v>60</v>
      </c>
      <c r="R238" t="s">
        <v>1150</v>
      </c>
    </row>
    <row r="239" spans="1:18" x14ac:dyDescent="0.3">
      <c r="A239" t="s">
        <v>635</v>
      </c>
      <c r="B239" s="6">
        <v>45803</v>
      </c>
      <c r="C239" t="s">
        <v>110</v>
      </c>
      <c r="D239" t="s">
        <v>983</v>
      </c>
      <c r="E239" t="s">
        <v>121</v>
      </c>
      <c r="F239" t="s">
        <v>925</v>
      </c>
      <c r="G239" t="s">
        <v>82</v>
      </c>
      <c r="H239" t="s">
        <v>1076</v>
      </c>
      <c r="I239" t="s">
        <v>903</v>
      </c>
      <c r="J239" t="s">
        <v>73</v>
      </c>
      <c r="K239">
        <v>3414.07</v>
      </c>
      <c r="L239">
        <v>9</v>
      </c>
      <c r="M239">
        <v>0.05</v>
      </c>
      <c r="N239">
        <v>30726.63</v>
      </c>
      <c r="O239">
        <v>29190.298500000001</v>
      </c>
      <c r="P239" t="s">
        <v>288</v>
      </c>
      <c r="Q239" t="s">
        <v>17</v>
      </c>
      <c r="R239" t="s">
        <v>1150</v>
      </c>
    </row>
    <row r="240" spans="1:18" x14ac:dyDescent="0.3">
      <c r="A240" t="s">
        <v>636</v>
      </c>
      <c r="B240" s="6">
        <v>45558</v>
      </c>
      <c r="C240" t="s">
        <v>152</v>
      </c>
      <c r="D240" t="s">
        <v>944</v>
      </c>
      <c r="E240" t="s">
        <v>206</v>
      </c>
      <c r="F240" t="s">
        <v>906</v>
      </c>
      <c r="G240" t="s">
        <v>21</v>
      </c>
      <c r="H240" t="s">
        <v>1073</v>
      </c>
      <c r="I240" t="s">
        <v>882</v>
      </c>
      <c r="J240" t="s">
        <v>22</v>
      </c>
      <c r="K240">
        <v>2779.58</v>
      </c>
      <c r="L240">
        <v>0</v>
      </c>
      <c r="M240">
        <v>0</v>
      </c>
      <c r="N240">
        <v>0</v>
      </c>
      <c r="O240">
        <v>0</v>
      </c>
      <c r="P240" t="s">
        <v>637</v>
      </c>
      <c r="Q240" t="s">
        <v>30</v>
      </c>
      <c r="R240" t="s">
        <v>1151</v>
      </c>
    </row>
    <row r="241" spans="1:18" x14ac:dyDescent="0.3">
      <c r="A241" t="s">
        <v>638</v>
      </c>
      <c r="B241" s="6">
        <v>45496</v>
      </c>
      <c r="C241" t="s">
        <v>141</v>
      </c>
      <c r="D241" t="s">
        <v>1115</v>
      </c>
      <c r="E241" t="s">
        <v>260</v>
      </c>
      <c r="F241" t="s">
        <v>887</v>
      </c>
      <c r="G241" t="s">
        <v>82</v>
      </c>
      <c r="H241" t="s">
        <v>1076</v>
      </c>
      <c r="I241" t="s">
        <v>896</v>
      </c>
      <c r="J241" t="s">
        <v>35</v>
      </c>
      <c r="K241">
        <v>3981.64</v>
      </c>
      <c r="L241">
        <v>2</v>
      </c>
      <c r="M241">
        <v>0</v>
      </c>
      <c r="N241">
        <v>7963.28</v>
      </c>
      <c r="O241">
        <v>7963.28</v>
      </c>
      <c r="P241" t="s">
        <v>611</v>
      </c>
      <c r="Q241" t="s">
        <v>60</v>
      </c>
      <c r="R241" t="s">
        <v>1150</v>
      </c>
    </row>
    <row r="242" spans="1:18" x14ac:dyDescent="0.3">
      <c r="A242" t="s">
        <v>639</v>
      </c>
      <c r="B242" s="6">
        <v>45747</v>
      </c>
      <c r="C242" t="s">
        <v>120</v>
      </c>
      <c r="D242" t="s">
        <v>993</v>
      </c>
      <c r="E242" t="s">
        <v>116</v>
      </c>
      <c r="F242" t="s">
        <v>895</v>
      </c>
      <c r="G242" t="s">
        <v>21</v>
      </c>
      <c r="H242" t="s">
        <v>1073</v>
      </c>
      <c r="I242" t="s">
        <v>889</v>
      </c>
      <c r="J242" t="s">
        <v>22</v>
      </c>
      <c r="K242">
        <v>1156.02</v>
      </c>
      <c r="L242">
        <v>2</v>
      </c>
      <c r="M242">
        <v>0.2</v>
      </c>
      <c r="N242">
        <v>2312.04</v>
      </c>
      <c r="O242">
        <v>1849.6320000000001</v>
      </c>
      <c r="P242" t="s">
        <v>423</v>
      </c>
      <c r="Q242" t="s">
        <v>24</v>
      </c>
      <c r="R242" t="s">
        <v>1150</v>
      </c>
    </row>
    <row r="243" spans="1:18" x14ac:dyDescent="0.3">
      <c r="A243" t="s">
        <v>640</v>
      </c>
      <c r="B243" s="6">
        <v>45589</v>
      </c>
      <c r="C243" t="s">
        <v>245</v>
      </c>
      <c r="D243" t="s">
        <v>1128</v>
      </c>
      <c r="E243" t="s">
        <v>240</v>
      </c>
      <c r="F243" t="s">
        <v>892</v>
      </c>
      <c r="G243" t="s">
        <v>82</v>
      </c>
      <c r="H243" t="s">
        <v>1076</v>
      </c>
      <c r="I243" t="s">
        <v>917</v>
      </c>
      <c r="J243" t="s">
        <v>15</v>
      </c>
      <c r="K243">
        <v>2036.67</v>
      </c>
      <c r="L243">
        <v>5</v>
      </c>
      <c r="M243">
        <v>0.2</v>
      </c>
      <c r="N243">
        <v>10183.35</v>
      </c>
      <c r="O243">
        <v>8146.68</v>
      </c>
      <c r="P243" t="s">
        <v>641</v>
      </c>
      <c r="Q243" t="s">
        <v>17</v>
      </c>
      <c r="R243" t="s">
        <v>1150</v>
      </c>
    </row>
    <row r="244" spans="1:18" x14ac:dyDescent="0.3">
      <c r="A244" t="s">
        <v>642</v>
      </c>
      <c r="B244" s="6">
        <v>45812</v>
      </c>
      <c r="C244" t="s">
        <v>53</v>
      </c>
      <c r="D244" t="s">
        <v>1047</v>
      </c>
      <c r="E244" t="s">
        <v>468</v>
      </c>
      <c r="F244" t="s">
        <v>920</v>
      </c>
      <c r="G244" t="s">
        <v>82</v>
      </c>
      <c r="H244" t="s">
        <v>1076</v>
      </c>
      <c r="I244" t="s">
        <v>924</v>
      </c>
      <c r="J244" t="s">
        <v>15</v>
      </c>
      <c r="K244">
        <v>2113.67</v>
      </c>
      <c r="L244">
        <v>4</v>
      </c>
      <c r="M244">
        <v>0</v>
      </c>
      <c r="N244">
        <v>8454.68</v>
      </c>
      <c r="O244">
        <v>8454.68</v>
      </c>
      <c r="P244" t="s">
        <v>643</v>
      </c>
      <c r="Q244" t="s">
        <v>60</v>
      </c>
      <c r="R244" t="s">
        <v>1150</v>
      </c>
    </row>
    <row r="245" spans="1:18" x14ac:dyDescent="0.3">
      <c r="A245" t="s">
        <v>644</v>
      </c>
      <c r="B245" s="6">
        <v>45797</v>
      </c>
      <c r="C245" t="s">
        <v>279</v>
      </c>
      <c r="D245" t="s">
        <v>1130</v>
      </c>
      <c r="E245" t="s">
        <v>196</v>
      </c>
      <c r="F245" t="s">
        <v>926</v>
      </c>
      <c r="G245" t="s">
        <v>82</v>
      </c>
      <c r="H245" t="s">
        <v>1076</v>
      </c>
      <c r="I245" t="s">
        <v>882</v>
      </c>
      <c r="J245" t="s">
        <v>22</v>
      </c>
      <c r="K245">
        <v>2184.5100000000002</v>
      </c>
      <c r="L245">
        <v>1</v>
      </c>
      <c r="M245">
        <v>0</v>
      </c>
      <c r="N245">
        <v>2184.5100000000002</v>
      </c>
      <c r="O245">
        <v>2184.5100000000002</v>
      </c>
      <c r="P245" t="s">
        <v>579</v>
      </c>
      <c r="Q245" t="s">
        <v>30</v>
      </c>
      <c r="R245" t="s">
        <v>1150</v>
      </c>
    </row>
    <row r="246" spans="1:18" x14ac:dyDescent="0.3">
      <c r="A246" t="s">
        <v>645</v>
      </c>
      <c r="B246" s="6">
        <v>45424</v>
      </c>
      <c r="C246" t="s">
        <v>49</v>
      </c>
      <c r="D246" t="s">
        <v>1107</v>
      </c>
      <c r="E246" t="s">
        <v>116</v>
      </c>
      <c r="F246" t="s">
        <v>885</v>
      </c>
      <c r="G246" t="s">
        <v>45</v>
      </c>
      <c r="H246" t="s">
        <v>1096</v>
      </c>
      <c r="I246" t="s">
        <v>889</v>
      </c>
      <c r="J246" t="s">
        <v>22</v>
      </c>
      <c r="K246">
        <v>1156.02</v>
      </c>
      <c r="L246">
        <v>10</v>
      </c>
      <c r="M246">
        <v>0</v>
      </c>
      <c r="N246">
        <v>11560.2</v>
      </c>
      <c r="O246">
        <v>11560.2</v>
      </c>
      <c r="P246" t="s">
        <v>319</v>
      </c>
      <c r="Q246" t="s">
        <v>30</v>
      </c>
      <c r="R246" t="s">
        <v>1150</v>
      </c>
    </row>
    <row r="247" spans="1:18" x14ac:dyDescent="0.3">
      <c r="A247" t="s">
        <v>646</v>
      </c>
      <c r="B247" s="6">
        <v>45782</v>
      </c>
      <c r="C247" t="s">
        <v>89</v>
      </c>
      <c r="D247" t="s">
        <v>1059</v>
      </c>
      <c r="E247" t="s">
        <v>468</v>
      </c>
      <c r="F247" t="s">
        <v>892</v>
      </c>
      <c r="G247" t="s">
        <v>45</v>
      </c>
      <c r="H247" t="s">
        <v>1096</v>
      </c>
      <c r="I247" t="s">
        <v>924</v>
      </c>
      <c r="J247" t="s">
        <v>73</v>
      </c>
      <c r="K247">
        <v>2113.67</v>
      </c>
      <c r="L247">
        <v>9</v>
      </c>
      <c r="M247">
        <v>0.05</v>
      </c>
      <c r="N247">
        <v>19023.03</v>
      </c>
      <c r="O247">
        <v>18071.878499999999</v>
      </c>
      <c r="P247" t="s">
        <v>647</v>
      </c>
      <c r="Q247" t="s">
        <v>60</v>
      </c>
      <c r="R247" t="s">
        <v>1150</v>
      </c>
    </row>
    <row r="248" spans="1:18" x14ac:dyDescent="0.3">
      <c r="A248" t="s">
        <v>648</v>
      </c>
      <c r="B248" s="6">
        <v>45616</v>
      </c>
      <c r="C248" t="s">
        <v>98</v>
      </c>
      <c r="D248" t="s">
        <v>1110</v>
      </c>
      <c r="E248" t="s">
        <v>468</v>
      </c>
      <c r="F248" t="s">
        <v>926</v>
      </c>
      <c r="G248" t="s">
        <v>82</v>
      </c>
      <c r="H248" t="s">
        <v>1076</v>
      </c>
      <c r="I248" t="s">
        <v>924</v>
      </c>
      <c r="J248" t="s">
        <v>22</v>
      </c>
      <c r="K248">
        <v>2113.67</v>
      </c>
      <c r="L248">
        <v>2</v>
      </c>
      <c r="M248">
        <v>0.05</v>
      </c>
      <c r="N248">
        <v>4227.34</v>
      </c>
      <c r="O248">
        <v>4015.973</v>
      </c>
      <c r="P248" t="s">
        <v>365</v>
      </c>
      <c r="Q248" t="s">
        <v>60</v>
      </c>
      <c r="R248" t="s">
        <v>1150</v>
      </c>
    </row>
    <row r="249" spans="1:18" x14ac:dyDescent="0.3">
      <c r="A249" t="s">
        <v>649</v>
      </c>
      <c r="B249" s="6">
        <v>45478</v>
      </c>
      <c r="C249" t="s">
        <v>476</v>
      </c>
      <c r="D249" t="s">
        <v>983</v>
      </c>
      <c r="E249" t="s">
        <v>468</v>
      </c>
      <c r="F249" t="s">
        <v>926</v>
      </c>
      <c r="G249" t="s">
        <v>82</v>
      </c>
      <c r="H249" t="s">
        <v>1076</v>
      </c>
      <c r="I249" t="s">
        <v>924</v>
      </c>
      <c r="J249" t="s">
        <v>73</v>
      </c>
      <c r="K249">
        <v>2113.67</v>
      </c>
      <c r="L249">
        <v>3</v>
      </c>
      <c r="M249">
        <v>0.05</v>
      </c>
      <c r="N249">
        <v>6341.01</v>
      </c>
      <c r="O249">
        <v>6023.9594999999999</v>
      </c>
      <c r="P249" t="s">
        <v>330</v>
      </c>
      <c r="Q249" t="s">
        <v>24</v>
      </c>
      <c r="R249" t="s">
        <v>1150</v>
      </c>
    </row>
    <row r="250" spans="1:18" x14ac:dyDescent="0.3">
      <c r="A250" t="s">
        <v>650</v>
      </c>
      <c r="B250" s="6">
        <v>45822</v>
      </c>
      <c r="C250" t="s">
        <v>80</v>
      </c>
      <c r="D250" t="s">
        <v>1109</v>
      </c>
      <c r="E250" t="s">
        <v>33</v>
      </c>
      <c r="F250" t="s">
        <v>926</v>
      </c>
      <c r="G250" t="s">
        <v>82</v>
      </c>
      <c r="H250" t="s">
        <v>1076</v>
      </c>
      <c r="I250" t="s">
        <v>931</v>
      </c>
      <c r="J250" t="s">
        <v>15</v>
      </c>
      <c r="K250">
        <v>620.89</v>
      </c>
      <c r="L250">
        <v>3</v>
      </c>
      <c r="M250">
        <v>0</v>
      </c>
      <c r="N250">
        <v>1862.67</v>
      </c>
      <c r="O250">
        <v>1862.67</v>
      </c>
      <c r="P250" t="s">
        <v>651</v>
      </c>
      <c r="Q250" t="s">
        <v>17</v>
      </c>
      <c r="R250" t="s">
        <v>1150</v>
      </c>
    </row>
    <row r="251" spans="1:18" x14ac:dyDescent="0.3">
      <c r="A251" t="s">
        <v>652</v>
      </c>
      <c r="B251" s="6">
        <v>45522</v>
      </c>
      <c r="C251" t="s">
        <v>168</v>
      </c>
      <c r="D251" t="s">
        <v>1119</v>
      </c>
      <c r="E251" t="s">
        <v>345</v>
      </c>
      <c r="F251" t="s">
        <v>932</v>
      </c>
      <c r="G251" t="s">
        <v>45</v>
      </c>
      <c r="H251" t="s">
        <v>1096</v>
      </c>
      <c r="I251" t="s">
        <v>924</v>
      </c>
      <c r="J251" t="s">
        <v>73</v>
      </c>
      <c r="K251">
        <v>1212.79</v>
      </c>
      <c r="L251">
        <v>6</v>
      </c>
      <c r="M251">
        <v>0.1</v>
      </c>
      <c r="N251">
        <v>7276.74</v>
      </c>
      <c r="O251">
        <v>6549.0659999999998</v>
      </c>
      <c r="P251" t="s">
        <v>653</v>
      </c>
      <c r="Q251" t="s">
        <v>17</v>
      </c>
      <c r="R251" t="s">
        <v>1150</v>
      </c>
    </row>
    <row r="252" spans="1:18" x14ac:dyDescent="0.3">
      <c r="A252" t="s">
        <v>654</v>
      </c>
      <c r="B252" s="6">
        <v>45493</v>
      </c>
      <c r="C252" t="s">
        <v>279</v>
      </c>
      <c r="D252" t="s">
        <v>1130</v>
      </c>
      <c r="E252" t="s">
        <v>125</v>
      </c>
      <c r="F252" t="s">
        <v>927</v>
      </c>
      <c r="G252" t="s">
        <v>45</v>
      </c>
      <c r="H252" t="s">
        <v>1096</v>
      </c>
      <c r="I252" t="s">
        <v>931</v>
      </c>
      <c r="J252" t="s">
        <v>22</v>
      </c>
      <c r="K252">
        <v>2458.91</v>
      </c>
      <c r="L252">
        <v>9</v>
      </c>
      <c r="M252">
        <v>0</v>
      </c>
      <c r="N252">
        <v>22130.19</v>
      </c>
      <c r="O252">
        <v>22130.19</v>
      </c>
      <c r="P252" t="s">
        <v>63</v>
      </c>
      <c r="Q252" t="s">
        <v>42</v>
      </c>
      <c r="R252" t="s">
        <v>1150</v>
      </c>
    </row>
    <row r="253" spans="1:18" x14ac:dyDescent="0.3">
      <c r="A253" t="s">
        <v>656</v>
      </c>
      <c r="B253" s="6">
        <v>45387</v>
      </c>
      <c r="C253" t="s">
        <v>168</v>
      </c>
      <c r="D253" t="s">
        <v>1119</v>
      </c>
      <c r="E253" t="s">
        <v>81</v>
      </c>
      <c r="F253" t="s">
        <v>930</v>
      </c>
      <c r="G253" t="s">
        <v>82</v>
      </c>
      <c r="H253" t="s">
        <v>1076</v>
      </c>
      <c r="I253" t="s">
        <v>882</v>
      </c>
      <c r="J253" t="s">
        <v>15</v>
      </c>
      <c r="K253">
        <v>1044.7</v>
      </c>
      <c r="L253">
        <v>9</v>
      </c>
      <c r="M253">
        <v>0.15</v>
      </c>
      <c r="N253">
        <v>9402.3000000000011</v>
      </c>
      <c r="O253">
        <v>7991.9550000000008</v>
      </c>
      <c r="P253" t="s">
        <v>657</v>
      </c>
      <c r="Q253" t="s">
        <v>60</v>
      </c>
      <c r="R253" t="s">
        <v>1150</v>
      </c>
    </row>
    <row r="254" spans="1:18" x14ac:dyDescent="0.3">
      <c r="A254" t="s">
        <v>658</v>
      </c>
      <c r="B254" s="6">
        <v>45637</v>
      </c>
      <c r="C254" t="s">
        <v>27</v>
      </c>
      <c r="D254" t="s">
        <v>1105</v>
      </c>
      <c r="E254" t="s">
        <v>226</v>
      </c>
      <c r="F254" t="s">
        <v>886</v>
      </c>
      <c r="G254" t="s">
        <v>45</v>
      </c>
      <c r="H254" t="s">
        <v>1096</v>
      </c>
      <c r="I254" t="s">
        <v>903</v>
      </c>
      <c r="J254" t="s">
        <v>73</v>
      </c>
      <c r="K254">
        <v>2359.5</v>
      </c>
      <c r="L254">
        <v>10</v>
      </c>
      <c r="M254">
        <v>0</v>
      </c>
      <c r="N254">
        <v>23595</v>
      </c>
      <c r="O254">
        <v>23595</v>
      </c>
      <c r="P254" t="s">
        <v>223</v>
      </c>
      <c r="Q254" t="s">
        <v>24</v>
      </c>
      <c r="R254" t="s">
        <v>1150</v>
      </c>
    </row>
    <row r="255" spans="1:18" x14ac:dyDescent="0.3">
      <c r="A255" t="s">
        <v>659</v>
      </c>
      <c r="B255" s="6">
        <v>45563</v>
      </c>
      <c r="C255" t="s">
        <v>403</v>
      </c>
      <c r="D255" t="s">
        <v>1135</v>
      </c>
      <c r="E255" t="s">
        <v>33</v>
      </c>
      <c r="F255" t="s">
        <v>904</v>
      </c>
      <c r="G255" t="s">
        <v>45</v>
      </c>
      <c r="H255" t="s">
        <v>1096</v>
      </c>
      <c r="I255" t="s">
        <v>931</v>
      </c>
      <c r="J255" t="s">
        <v>35</v>
      </c>
      <c r="K255">
        <v>620.89</v>
      </c>
      <c r="L255">
        <v>4</v>
      </c>
      <c r="M255">
        <v>0.2</v>
      </c>
      <c r="N255">
        <v>2483.56</v>
      </c>
      <c r="O255">
        <v>1986.848</v>
      </c>
      <c r="P255" t="s">
        <v>97</v>
      </c>
      <c r="Q255" t="s">
        <v>42</v>
      </c>
      <c r="R255" t="s">
        <v>1150</v>
      </c>
    </row>
    <row r="256" spans="1:18" x14ac:dyDescent="0.3">
      <c r="A256" t="s">
        <v>660</v>
      </c>
      <c r="B256" s="6">
        <v>45323</v>
      </c>
      <c r="C256" t="s">
        <v>180</v>
      </c>
      <c r="D256" t="s">
        <v>1121</v>
      </c>
      <c r="E256" t="s">
        <v>77</v>
      </c>
      <c r="F256" t="s">
        <v>932</v>
      </c>
      <c r="G256" t="s">
        <v>14</v>
      </c>
      <c r="H256" t="s">
        <v>1080</v>
      </c>
      <c r="I256" t="s">
        <v>882</v>
      </c>
      <c r="J256" t="s">
        <v>22</v>
      </c>
      <c r="K256">
        <v>3550.89</v>
      </c>
      <c r="L256">
        <v>8</v>
      </c>
      <c r="M256">
        <v>0.15</v>
      </c>
      <c r="N256">
        <v>28407.119999999999</v>
      </c>
      <c r="O256">
        <v>24146.052</v>
      </c>
      <c r="P256" t="s">
        <v>290</v>
      </c>
      <c r="Q256" t="s">
        <v>17</v>
      </c>
      <c r="R256" t="s">
        <v>1150</v>
      </c>
    </row>
    <row r="257" spans="1:18" x14ac:dyDescent="0.3">
      <c r="A257" t="s">
        <v>661</v>
      </c>
      <c r="B257" s="6">
        <v>45786</v>
      </c>
      <c r="C257" t="s">
        <v>273</v>
      </c>
      <c r="D257" t="s">
        <v>1129</v>
      </c>
      <c r="E257" t="s">
        <v>77</v>
      </c>
      <c r="F257" t="s">
        <v>884</v>
      </c>
      <c r="G257" t="s">
        <v>82</v>
      </c>
      <c r="H257" t="s">
        <v>1076</v>
      </c>
      <c r="I257" t="s">
        <v>882</v>
      </c>
      <c r="J257" t="s">
        <v>22</v>
      </c>
      <c r="K257">
        <v>3550.89</v>
      </c>
      <c r="L257">
        <v>4</v>
      </c>
      <c r="M257">
        <v>0.2</v>
      </c>
      <c r="N257">
        <v>14203.56</v>
      </c>
      <c r="O257">
        <v>11362.848</v>
      </c>
      <c r="P257" t="s">
        <v>662</v>
      </c>
      <c r="Q257" t="s">
        <v>30</v>
      </c>
      <c r="R257" t="s">
        <v>1150</v>
      </c>
    </row>
    <row r="258" spans="1:18" x14ac:dyDescent="0.3">
      <c r="A258" t="s">
        <v>663</v>
      </c>
      <c r="B258" s="6">
        <v>45366</v>
      </c>
      <c r="C258" t="s">
        <v>157</v>
      </c>
      <c r="D258" t="s">
        <v>1117</v>
      </c>
      <c r="E258" t="s">
        <v>20</v>
      </c>
      <c r="F258" t="s">
        <v>884</v>
      </c>
      <c r="G258" t="s">
        <v>34</v>
      </c>
      <c r="H258" t="s">
        <v>1078</v>
      </c>
      <c r="I258" t="s">
        <v>896</v>
      </c>
      <c r="J258" t="s">
        <v>35</v>
      </c>
      <c r="K258">
        <v>3772.12</v>
      </c>
      <c r="L258">
        <v>1</v>
      </c>
      <c r="M258">
        <v>0</v>
      </c>
      <c r="N258">
        <v>3772.12</v>
      </c>
      <c r="O258">
        <v>3772.12</v>
      </c>
      <c r="P258" t="s">
        <v>664</v>
      </c>
      <c r="Q258" t="s">
        <v>30</v>
      </c>
      <c r="R258" t="s">
        <v>1150</v>
      </c>
    </row>
    <row r="259" spans="1:18" x14ac:dyDescent="0.3">
      <c r="A259" t="s">
        <v>665</v>
      </c>
      <c r="B259" s="6">
        <v>45767</v>
      </c>
      <c r="C259" t="s">
        <v>124</v>
      </c>
      <c r="D259" t="s">
        <v>1112</v>
      </c>
      <c r="E259" t="s">
        <v>206</v>
      </c>
      <c r="F259" t="s">
        <v>899</v>
      </c>
      <c r="G259" t="s">
        <v>45</v>
      </c>
      <c r="H259" t="s">
        <v>1096</v>
      </c>
      <c r="I259" t="s">
        <v>882</v>
      </c>
      <c r="J259" t="s">
        <v>15</v>
      </c>
      <c r="K259">
        <v>2779.58</v>
      </c>
      <c r="L259">
        <v>4</v>
      </c>
      <c r="M259">
        <v>0</v>
      </c>
      <c r="N259">
        <v>11118.32</v>
      </c>
      <c r="O259">
        <v>11118.32</v>
      </c>
      <c r="P259" t="s">
        <v>666</v>
      </c>
      <c r="Q259" t="s">
        <v>17</v>
      </c>
      <c r="R259" t="s">
        <v>1150</v>
      </c>
    </row>
    <row r="260" spans="1:18" x14ac:dyDescent="0.3">
      <c r="A260" t="s">
        <v>667</v>
      </c>
      <c r="B260" s="6">
        <v>45618</v>
      </c>
      <c r="C260" t="s">
        <v>120</v>
      </c>
      <c r="D260" t="s">
        <v>993</v>
      </c>
      <c r="E260" t="s">
        <v>254</v>
      </c>
      <c r="F260" t="s">
        <v>887</v>
      </c>
      <c r="G260" t="s">
        <v>34</v>
      </c>
      <c r="H260" t="s">
        <v>1078</v>
      </c>
      <c r="I260" t="s">
        <v>917</v>
      </c>
      <c r="J260" t="s">
        <v>22</v>
      </c>
      <c r="K260">
        <v>605.26</v>
      </c>
      <c r="L260">
        <v>6</v>
      </c>
      <c r="M260">
        <v>0.05</v>
      </c>
      <c r="N260">
        <v>3631.56</v>
      </c>
      <c r="O260">
        <v>3449.982</v>
      </c>
      <c r="P260" t="s">
        <v>48</v>
      </c>
      <c r="Q260" t="s">
        <v>42</v>
      </c>
      <c r="R260" t="s">
        <v>1150</v>
      </c>
    </row>
    <row r="261" spans="1:18" x14ac:dyDescent="0.3">
      <c r="A261" t="s">
        <v>668</v>
      </c>
      <c r="B261" s="6">
        <v>45400</v>
      </c>
      <c r="C261" t="s">
        <v>141</v>
      </c>
      <c r="D261" t="s">
        <v>1115</v>
      </c>
      <c r="E261" t="s">
        <v>196</v>
      </c>
      <c r="F261" t="s">
        <v>918</v>
      </c>
      <c r="G261" t="s">
        <v>82</v>
      </c>
      <c r="H261" t="s">
        <v>1076</v>
      </c>
      <c r="I261" t="s">
        <v>882</v>
      </c>
      <c r="J261" t="s">
        <v>73</v>
      </c>
      <c r="K261">
        <v>2184.5100000000002</v>
      </c>
      <c r="L261">
        <v>6</v>
      </c>
      <c r="M261">
        <v>0</v>
      </c>
      <c r="N261">
        <v>13107.060000000001</v>
      </c>
      <c r="O261">
        <v>13107.060000000001</v>
      </c>
      <c r="P261" t="s">
        <v>670</v>
      </c>
      <c r="Q261" t="s">
        <v>17</v>
      </c>
      <c r="R261" t="s">
        <v>1150</v>
      </c>
    </row>
    <row r="262" spans="1:18" x14ac:dyDescent="0.3">
      <c r="A262" t="s">
        <v>671</v>
      </c>
      <c r="B262" s="6">
        <v>45752</v>
      </c>
      <c r="C262" t="s">
        <v>120</v>
      </c>
      <c r="D262" t="s">
        <v>993</v>
      </c>
      <c r="E262" t="s">
        <v>300</v>
      </c>
      <c r="F262" t="s">
        <v>885</v>
      </c>
      <c r="G262" t="s">
        <v>14</v>
      </c>
      <c r="H262" t="s">
        <v>1080</v>
      </c>
      <c r="I262" t="s">
        <v>896</v>
      </c>
      <c r="J262" t="s">
        <v>73</v>
      </c>
      <c r="K262">
        <v>4174.32</v>
      </c>
      <c r="L262">
        <v>4</v>
      </c>
      <c r="M262">
        <v>0</v>
      </c>
      <c r="N262">
        <v>16697.28</v>
      </c>
      <c r="O262">
        <v>16697.28</v>
      </c>
      <c r="P262" t="s">
        <v>562</v>
      </c>
      <c r="Q262" t="s">
        <v>17</v>
      </c>
      <c r="R262" t="s">
        <v>1150</v>
      </c>
    </row>
    <row r="263" spans="1:18" x14ac:dyDescent="0.3">
      <c r="A263" t="s">
        <v>673</v>
      </c>
      <c r="B263" s="6">
        <v>45685</v>
      </c>
      <c r="C263" t="s">
        <v>234</v>
      </c>
      <c r="D263" t="s">
        <v>1127</v>
      </c>
      <c r="E263" t="s">
        <v>153</v>
      </c>
      <c r="F263" t="s">
        <v>901</v>
      </c>
      <c r="G263" t="s">
        <v>82</v>
      </c>
      <c r="H263" t="s">
        <v>1076</v>
      </c>
      <c r="I263" t="s">
        <v>917</v>
      </c>
      <c r="J263" t="s">
        <v>15</v>
      </c>
      <c r="K263">
        <v>2128.4</v>
      </c>
      <c r="L263">
        <v>10</v>
      </c>
      <c r="M263">
        <v>0.05</v>
      </c>
      <c r="N263">
        <v>21284</v>
      </c>
      <c r="O263">
        <v>20219.8</v>
      </c>
      <c r="P263" t="s">
        <v>674</v>
      </c>
      <c r="Q263" t="s">
        <v>17</v>
      </c>
      <c r="R263" t="s">
        <v>1150</v>
      </c>
    </row>
    <row r="264" spans="1:18" x14ac:dyDescent="0.3">
      <c r="A264" t="s">
        <v>675</v>
      </c>
      <c r="B264" s="6">
        <v>45612</v>
      </c>
      <c r="C264" t="s">
        <v>403</v>
      </c>
      <c r="D264" t="s">
        <v>1135</v>
      </c>
      <c r="E264" t="s">
        <v>454</v>
      </c>
      <c r="F264" t="s">
        <v>916</v>
      </c>
      <c r="G264" t="s">
        <v>82</v>
      </c>
      <c r="H264" t="s">
        <v>1076</v>
      </c>
      <c r="I264" t="s">
        <v>917</v>
      </c>
      <c r="J264" t="s">
        <v>35</v>
      </c>
      <c r="K264">
        <v>1253.57</v>
      </c>
      <c r="L264">
        <v>4</v>
      </c>
      <c r="M264">
        <v>0.2</v>
      </c>
      <c r="N264">
        <v>5014.28</v>
      </c>
      <c r="O264">
        <v>4011.424</v>
      </c>
      <c r="P264" t="s">
        <v>513</v>
      </c>
      <c r="Q264" t="s">
        <v>42</v>
      </c>
      <c r="R264" t="s">
        <v>1150</v>
      </c>
    </row>
    <row r="265" spans="1:18" x14ac:dyDescent="0.3">
      <c r="A265" t="s">
        <v>676</v>
      </c>
      <c r="B265" s="6">
        <v>45770</v>
      </c>
      <c r="C265" t="s">
        <v>199</v>
      </c>
      <c r="D265" t="s">
        <v>1123</v>
      </c>
      <c r="E265" t="s">
        <v>121</v>
      </c>
      <c r="F265" t="s">
        <v>921</v>
      </c>
      <c r="G265" t="s">
        <v>14</v>
      </c>
      <c r="H265" t="s">
        <v>1080</v>
      </c>
      <c r="I265" t="s">
        <v>903</v>
      </c>
      <c r="J265" t="s">
        <v>73</v>
      </c>
      <c r="K265">
        <v>3414.07</v>
      </c>
      <c r="L265">
        <v>8</v>
      </c>
      <c r="M265">
        <v>0</v>
      </c>
      <c r="N265">
        <v>27312.560000000001</v>
      </c>
      <c r="O265">
        <v>27312.560000000001</v>
      </c>
      <c r="P265" t="s">
        <v>55</v>
      </c>
      <c r="Q265" t="s">
        <v>24</v>
      </c>
      <c r="R265" t="s">
        <v>1150</v>
      </c>
    </row>
    <row r="266" spans="1:18" x14ac:dyDescent="0.3">
      <c r="A266" t="s">
        <v>677</v>
      </c>
      <c r="B266" s="6">
        <v>45694</v>
      </c>
      <c r="C266" t="s">
        <v>502</v>
      </c>
      <c r="D266" t="s">
        <v>1138</v>
      </c>
      <c r="E266" t="s">
        <v>206</v>
      </c>
      <c r="F266" t="s">
        <v>906</v>
      </c>
      <c r="G266" t="s">
        <v>34</v>
      </c>
      <c r="H266" t="s">
        <v>1078</v>
      </c>
      <c r="I266" t="s">
        <v>882</v>
      </c>
      <c r="J266" t="s">
        <v>15</v>
      </c>
      <c r="K266">
        <v>2779.58</v>
      </c>
      <c r="L266">
        <v>9</v>
      </c>
      <c r="M266">
        <v>0.05</v>
      </c>
      <c r="N266">
        <v>25016.22</v>
      </c>
      <c r="O266">
        <v>23765.409</v>
      </c>
      <c r="P266" t="s">
        <v>501</v>
      </c>
      <c r="Q266" t="s">
        <v>42</v>
      </c>
      <c r="R266" t="s">
        <v>1150</v>
      </c>
    </row>
    <row r="267" spans="1:18" x14ac:dyDescent="0.3">
      <c r="A267" t="s">
        <v>678</v>
      </c>
      <c r="B267" s="6">
        <v>45653</v>
      </c>
      <c r="C267" t="s">
        <v>12</v>
      </c>
      <c r="D267" t="s">
        <v>1103</v>
      </c>
      <c r="E267" t="s">
        <v>300</v>
      </c>
      <c r="F267" t="s">
        <v>887</v>
      </c>
      <c r="G267" t="s">
        <v>14</v>
      </c>
      <c r="H267" t="s">
        <v>1080</v>
      </c>
      <c r="I267" t="s">
        <v>896</v>
      </c>
      <c r="J267" t="s">
        <v>35</v>
      </c>
      <c r="K267">
        <v>4174.32</v>
      </c>
      <c r="L267">
        <v>1</v>
      </c>
      <c r="M267">
        <v>0</v>
      </c>
      <c r="N267">
        <v>4174.32</v>
      </c>
      <c r="O267">
        <v>4174.32</v>
      </c>
      <c r="P267" t="s">
        <v>438</v>
      </c>
      <c r="Q267" t="s">
        <v>42</v>
      </c>
      <c r="R267" t="s">
        <v>1150</v>
      </c>
    </row>
    <row r="268" spans="1:18" x14ac:dyDescent="0.3">
      <c r="A268" t="s">
        <v>679</v>
      </c>
      <c r="B268" s="6">
        <v>45773</v>
      </c>
      <c r="C268" t="s">
        <v>199</v>
      </c>
      <c r="D268" t="s">
        <v>1123</v>
      </c>
      <c r="E268" t="s">
        <v>164</v>
      </c>
      <c r="F268" t="s">
        <v>901</v>
      </c>
      <c r="G268" t="s">
        <v>34</v>
      </c>
      <c r="H268" t="s">
        <v>1078</v>
      </c>
      <c r="I268" t="s">
        <v>917</v>
      </c>
      <c r="J268" t="s">
        <v>73</v>
      </c>
      <c r="K268">
        <v>2489.91</v>
      </c>
      <c r="L268">
        <v>5</v>
      </c>
      <c r="M268">
        <v>0.1</v>
      </c>
      <c r="N268">
        <v>12449.55</v>
      </c>
      <c r="O268">
        <v>11204.594999999999</v>
      </c>
      <c r="P268" t="s">
        <v>680</v>
      </c>
      <c r="Q268" t="s">
        <v>30</v>
      </c>
      <c r="R268" t="s">
        <v>1150</v>
      </c>
    </row>
    <row r="269" spans="1:18" x14ac:dyDescent="0.3">
      <c r="A269" t="s">
        <v>681</v>
      </c>
      <c r="B269" s="6">
        <v>45429</v>
      </c>
      <c r="C269" t="s">
        <v>124</v>
      </c>
      <c r="D269" t="s">
        <v>1112</v>
      </c>
      <c r="E269" t="s">
        <v>454</v>
      </c>
      <c r="F269" t="s">
        <v>922</v>
      </c>
      <c r="G269" t="s">
        <v>82</v>
      </c>
      <c r="H269" t="s">
        <v>1076</v>
      </c>
      <c r="I269" t="s">
        <v>917</v>
      </c>
      <c r="J269" t="s">
        <v>35</v>
      </c>
      <c r="K269">
        <v>1253.57</v>
      </c>
      <c r="L269">
        <v>5</v>
      </c>
      <c r="M269">
        <v>0.15</v>
      </c>
      <c r="N269">
        <v>6267.8499999999995</v>
      </c>
      <c r="O269">
        <v>5327.6724999999997</v>
      </c>
      <c r="P269" t="s">
        <v>682</v>
      </c>
      <c r="Q269" t="s">
        <v>17</v>
      </c>
      <c r="R269" t="s">
        <v>1150</v>
      </c>
    </row>
    <row r="270" spans="1:18" x14ac:dyDescent="0.3">
      <c r="A270" t="s">
        <v>683</v>
      </c>
      <c r="B270" s="6">
        <v>45338</v>
      </c>
      <c r="C270" t="s">
        <v>27</v>
      </c>
      <c r="D270" t="s">
        <v>1105</v>
      </c>
      <c r="E270" t="s">
        <v>20</v>
      </c>
      <c r="F270" t="s">
        <v>921</v>
      </c>
      <c r="G270" t="s">
        <v>21</v>
      </c>
      <c r="H270" t="s">
        <v>1073</v>
      </c>
      <c r="I270" t="s">
        <v>896</v>
      </c>
      <c r="J270" t="s">
        <v>15</v>
      </c>
      <c r="K270">
        <v>3772.12</v>
      </c>
      <c r="L270">
        <v>7</v>
      </c>
      <c r="M270">
        <v>0</v>
      </c>
      <c r="N270">
        <v>26404.84</v>
      </c>
      <c r="O270">
        <v>26404.84</v>
      </c>
      <c r="P270" t="s">
        <v>684</v>
      </c>
      <c r="Q270" t="s">
        <v>17</v>
      </c>
      <c r="R270" t="s">
        <v>1150</v>
      </c>
    </row>
    <row r="271" spans="1:18" x14ac:dyDescent="0.3">
      <c r="A271" t="s">
        <v>685</v>
      </c>
      <c r="B271" s="6">
        <v>45587</v>
      </c>
      <c r="C271" t="s">
        <v>89</v>
      </c>
      <c r="D271" t="s">
        <v>1059</v>
      </c>
      <c r="E271" t="s">
        <v>260</v>
      </c>
      <c r="F271" t="s">
        <v>899</v>
      </c>
      <c r="G271" t="s">
        <v>34</v>
      </c>
      <c r="H271" t="s">
        <v>1078</v>
      </c>
      <c r="I271" t="s">
        <v>896</v>
      </c>
      <c r="J271" t="s">
        <v>35</v>
      </c>
      <c r="K271">
        <v>3981.64</v>
      </c>
      <c r="L271">
        <v>2</v>
      </c>
      <c r="M271">
        <v>0.05</v>
      </c>
      <c r="N271">
        <v>7963.28</v>
      </c>
      <c r="O271">
        <v>7565.1159999999991</v>
      </c>
      <c r="P271" t="s">
        <v>686</v>
      </c>
      <c r="Q271" t="s">
        <v>42</v>
      </c>
      <c r="R271" t="s">
        <v>1150</v>
      </c>
    </row>
    <row r="272" spans="1:18" x14ac:dyDescent="0.3">
      <c r="A272" t="s">
        <v>687</v>
      </c>
      <c r="B272" s="6">
        <v>45578</v>
      </c>
      <c r="C272" t="s">
        <v>229</v>
      </c>
      <c r="D272" t="s">
        <v>1126</v>
      </c>
      <c r="E272" t="s">
        <v>304</v>
      </c>
      <c r="F272" t="s">
        <v>895</v>
      </c>
      <c r="G272" t="s">
        <v>45</v>
      </c>
      <c r="H272" t="s">
        <v>1096</v>
      </c>
      <c r="I272" t="s">
        <v>889</v>
      </c>
      <c r="J272" t="s">
        <v>73</v>
      </c>
      <c r="K272">
        <v>1498.91</v>
      </c>
      <c r="L272">
        <v>10</v>
      </c>
      <c r="M272">
        <v>0.15</v>
      </c>
      <c r="N272">
        <v>14989.1</v>
      </c>
      <c r="O272">
        <v>12740.735000000001</v>
      </c>
      <c r="P272" t="s">
        <v>361</v>
      </c>
      <c r="Q272" t="s">
        <v>60</v>
      </c>
      <c r="R272" t="s">
        <v>1150</v>
      </c>
    </row>
    <row r="273" spans="1:18" x14ac:dyDescent="0.3">
      <c r="A273" t="s">
        <v>688</v>
      </c>
      <c r="B273" s="6">
        <v>45391</v>
      </c>
      <c r="C273" t="s">
        <v>137</v>
      </c>
      <c r="D273" t="s">
        <v>1114</v>
      </c>
      <c r="E273" t="s">
        <v>13</v>
      </c>
      <c r="F273" t="s">
        <v>890</v>
      </c>
      <c r="G273" t="s">
        <v>14</v>
      </c>
      <c r="H273" t="s">
        <v>1080</v>
      </c>
      <c r="I273" t="s">
        <v>910</v>
      </c>
      <c r="J273" t="s">
        <v>22</v>
      </c>
      <c r="K273">
        <v>3493.54</v>
      </c>
      <c r="L273">
        <v>7</v>
      </c>
      <c r="M273">
        <v>0</v>
      </c>
      <c r="N273">
        <v>24454.78</v>
      </c>
      <c r="O273">
        <v>24454.78</v>
      </c>
      <c r="P273" t="s">
        <v>264</v>
      </c>
      <c r="Q273" t="s">
        <v>60</v>
      </c>
      <c r="R273" t="s">
        <v>1150</v>
      </c>
    </row>
    <row r="274" spans="1:18" x14ac:dyDescent="0.3">
      <c r="A274" t="s">
        <v>689</v>
      </c>
      <c r="B274" s="6">
        <v>45495</v>
      </c>
      <c r="C274" t="s">
        <v>690</v>
      </c>
      <c r="D274" t="s">
        <v>1142</v>
      </c>
      <c r="E274" t="s">
        <v>125</v>
      </c>
      <c r="F274" t="s">
        <v>913</v>
      </c>
      <c r="G274" t="s">
        <v>82</v>
      </c>
      <c r="H274" t="s">
        <v>1076</v>
      </c>
      <c r="I274" t="s">
        <v>931</v>
      </c>
      <c r="J274" t="s">
        <v>73</v>
      </c>
      <c r="K274">
        <v>2458.91</v>
      </c>
      <c r="L274">
        <v>10</v>
      </c>
      <c r="M274">
        <v>0.1</v>
      </c>
      <c r="N274">
        <v>24589.1</v>
      </c>
      <c r="O274">
        <v>22130.19</v>
      </c>
      <c r="P274" t="s">
        <v>612</v>
      </c>
      <c r="Q274" t="s">
        <v>24</v>
      </c>
      <c r="R274" t="s">
        <v>1150</v>
      </c>
    </row>
    <row r="275" spans="1:18" x14ac:dyDescent="0.3">
      <c r="A275" t="s">
        <v>691</v>
      </c>
      <c r="B275" s="6">
        <v>45331</v>
      </c>
      <c r="C275" t="s">
        <v>214</v>
      </c>
      <c r="D275" t="s">
        <v>1125</v>
      </c>
      <c r="E275" t="s">
        <v>254</v>
      </c>
      <c r="F275" t="s">
        <v>930</v>
      </c>
      <c r="G275" t="s">
        <v>82</v>
      </c>
      <c r="H275" t="s">
        <v>1076</v>
      </c>
      <c r="I275" t="s">
        <v>917</v>
      </c>
      <c r="J275" t="s">
        <v>35</v>
      </c>
      <c r="K275">
        <v>605.26</v>
      </c>
      <c r="L275">
        <v>3</v>
      </c>
      <c r="M275">
        <v>0.15</v>
      </c>
      <c r="N275">
        <v>1815.78</v>
      </c>
      <c r="O275">
        <v>1543.413</v>
      </c>
      <c r="P275" t="s">
        <v>693</v>
      </c>
      <c r="Q275" t="s">
        <v>42</v>
      </c>
      <c r="R275" t="s">
        <v>1150</v>
      </c>
    </row>
    <row r="276" spans="1:18" x14ac:dyDescent="0.3">
      <c r="A276" t="s">
        <v>694</v>
      </c>
      <c r="B276" s="6">
        <v>45759</v>
      </c>
      <c r="C276" t="s">
        <v>157</v>
      </c>
      <c r="D276" t="s">
        <v>1117</v>
      </c>
      <c r="E276" t="s">
        <v>77</v>
      </c>
      <c r="F276" t="s">
        <v>918</v>
      </c>
      <c r="G276" t="s">
        <v>34</v>
      </c>
      <c r="H276" t="s">
        <v>1078</v>
      </c>
      <c r="I276" t="s">
        <v>882</v>
      </c>
      <c r="J276" t="s">
        <v>15</v>
      </c>
      <c r="K276">
        <v>3550.89</v>
      </c>
      <c r="L276">
        <v>3</v>
      </c>
      <c r="M276">
        <v>0.1</v>
      </c>
      <c r="N276">
        <v>10652.67</v>
      </c>
      <c r="O276">
        <v>9587.4030000000002</v>
      </c>
      <c r="P276" t="s">
        <v>695</v>
      </c>
      <c r="Q276" t="s">
        <v>17</v>
      </c>
      <c r="R276" t="s">
        <v>1150</v>
      </c>
    </row>
    <row r="277" spans="1:18" x14ac:dyDescent="0.3">
      <c r="A277" t="s">
        <v>696</v>
      </c>
      <c r="B277" s="6">
        <v>45618</v>
      </c>
      <c r="C277" t="s">
        <v>39</v>
      </c>
      <c r="D277" t="s">
        <v>990</v>
      </c>
      <c r="E277" t="s">
        <v>106</v>
      </c>
      <c r="F277" t="s">
        <v>884</v>
      </c>
      <c r="G277" t="s">
        <v>21</v>
      </c>
      <c r="H277" t="s">
        <v>1073</v>
      </c>
      <c r="I277" t="s">
        <v>889</v>
      </c>
      <c r="J277" t="s">
        <v>22</v>
      </c>
      <c r="K277">
        <v>1559.65</v>
      </c>
      <c r="L277">
        <v>3</v>
      </c>
      <c r="M277">
        <v>0.05</v>
      </c>
      <c r="N277">
        <v>4678.9500000000007</v>
      </c>
      <c r="O277">
        <v>4445.0025000000005</v>
      </c>
      <c r="P277" t="s">
        <v>697</v>
      </c>
      <c r="Q277" t="s">
        <v>42</v>
      </c>
      <c r="R277" t="s">
        <v>1150</v>
      </c>
    </row>
    <row r="278" spans="1:18" x14ac:dyDescent="0.3">
      <c r="A278" t="s">
        <v>698</v>
      </c>
      <c r="B278" s="6">
        <v>45636</v>
      </c>
      <c r="C278" t="s">
        <v>115</v>
      </c>
      <c r="D278" t="s">
        <v>996</v>
      </c>
      <c r="E278" t="s">
        <v>44</v>
      </c>
      <c r="F278" t="s">
        <v>894</v>
      </c>
      <c r="G278" t="s">
        <v>21</v>
      </c>
      <c r="H278" t="s">
        <v>1073</v>
      </c>
      <c r="I278" t="s">
        <v>910</v>
      </c>
      <c r="J278" t="s">
        <v>35</v>
      </c>
      <c r="K278">
        <v>973.21</v>
      </c>
      <c r="L278">
        <v>9</v>
      </c>
      <c r="M278">
        <v>0.2</v>
      </c>
      <c r="N278">
        <v>8758.89</v>
      </c>
      <c r="O278">
        <v>7007.1120000000001</v>
      </c>
      <c r="P278" t="s">
        <v>699</v>
      </c>
      <c r="Q278" t="s">
        <v>42</v>
      </c>
      <c r="R278" t="s">
        <v>1150</v>
      </c>
    </row>
    <row r="279" spans="1:18" x14ac:dyDescent="0.3">
      <c r="A279" t="s">
        <v>700</v>
      </c>
      <c r="B279" s="6">
        <v>45598</v>
      </c>
      <c r="C279" t="s">
        <v>110</v>
      </c>
      <c r="D279" t="s">
        <v>983</v>
      </c>
      <c r="E279" t="s">
        <v>125</v>
      </c>
      <c r="F279" t="s">
        <v>911</v>
      </c>
      <c r="G279" t="s">
        <v>45</v>
      </c>
      <c r="H279" t="s">
        <v>1096</v>
      </c>
      <c r="I279" t="s">
        <v>931</v>
      </c>
      <c r="J279" t="s">
        <v>22</v>
      </c>
      <c r="K279">
        <v>2458.91</v>
      </c>
      <c r="L279">
        <v>8</v>
      </c>
      <c r="M279">
        <v>0.2</v>
      </c>
      <c r="N279">
        <v>19671.28</v>
      </c>
      <c r="O279">
        <v>15737.023999999999</v>
      </c>
      <c r="P279" t="s">
        <v>26</v>
      </c>
      <c r="Q279" t="s">
        <v>17</v>
      </c>
      <c r="R279" t="s">
        <v>1150</v>
      </c>
    </row>
    <row r="280" spans="1:18" x14ac:dyDescent="0.3">
      <c r="A280" t="s">
        <v>701</v>
      </c>
      <c r="B280" s="6">
        <v>45404</v>
      </c>
      <c r="C280" t="s">
        <v>199</v>
      </c>
      <c r="D280" t="s">
        <v>1123</v>
      </c>
      <c r="E280" t="s">
        <v>145</v>
      </c>
      <c r="F280" t="s">
        <v>930</v>
      </c>
      <c r="G280" t="s">
        <v>45</v>
      </c>
      <c r="H280" t="s">
        <v>1096</v>
      </c>
      <c r="I280" t="s">
        <v>896</v>
      </c>
      <c r="J280" t="s">
        <v>73</v>
      </c>
      <c r="K280">
        <v>2612.71</v>
      </c>
      <c r="L280">
        <v>7</v>
      </c>
      <c r="M280">
        <v>0.1</v>
      </c>
      <c r="N280">
        <v>18288.97</v>
      </c>
      <c r="O280">
        <v>16460.073</v>
      </c>
      <c r="P280" t="s">
        <v>278</v>
      </c>
      <c r="Q280" t="s">
        <v>42</v>
      </c>
      <c r="R280" t="s">
        <v>1150</v>
      </c>
    </row>
    <row r="281" spans="1:18" x14ac:dyDescent="0.3">
      <c r="A281" t="s">
        <v>702</v>
      </c>
      <c r="B281" s="6">
        <v>45777</v>
      </c>
      <c r="C281" t="s">
        <v>403</v>
      </c>
      <c r="D281" t="s">
        <v>1135</v>
      </c>
      <c r="E281" t="s">
        <v>454</v>
      </c>
      <c r="F281" t="s">
        <v>900</v>
      </c>
      <c r="G281" t="s">
        <v>45</v>
      </c>
      <c r="H281" t="s">
        <v>1096</v>
      </c>
      <c r="I281" t="s">
        <v>917</v>
      </c>
      <c r="J281" t="s">
        <v>15</v>
      </c>
      <c r="K281">
        <v>1253.57</v>
      </c>
      <c r="L281">
        <v>5</v>
      </c>
      <c r="M281">
        <v>0.15</v>
      </c>
      <c r="N281">
        <v>6267.8499999999995</v>
      </c>
      <c r="O281">
        <v>5327.6724999999997</v>
      </c>
      <c r="P281" t="s">
        <v>474</v>
      </c>
      <c r="Q281" t="s">
        <v>24</v>
      </c>
      <c r="R281" t="s">
        <v>1150</v>
      </c>
    </row>
    <row r="282" spans="1:18" x14ac:dyDescent="0.3">
      <c r="A282" t="s">
        <v>703</v>
      </c>
      <c r="B282" s="6">
        <v>45783</v>
      </c>
      <c r="C282" t="s">
        <v>590</v>
      </c>
      <c r="D282" t="s">
        <v>1140</v>
      </c>
      <c r="E282" t="s">
        <v>468</v>
      </c>
      <c r="F282" t="s">
        <v>921</v>
      </c>
      <c r="G282" t="s">
        <v>14</v>
      </c>
      <c r="H282" t="s">
        <v>1080</v>
      </c>
      <c r="I282" t="s">
        <v>924</v>
      </c>
      <c r="J282" t="s">
        <v>35</v>
      </c>
      <c r="K282">
        <v>2113.67</v>
      </c>
      <c r="L282">
        <v>3</v>
      </c>
      <c r="M282">
        <v>0.1</v>
      </c>
      <c r="N282">
        <v>6341.01</v>
      </c>
      <c r="O282">
        <v>5706.9090000000006</v>
      </c>
      <c r="P282" t="s">
        <v>662</v>
      </c>
      <c r="Q282" t="s">
        <v>60</v>
      </c>
      <c r="R282" t="s">
        <v>1150</v>
      </c>
    </row>
    <row r="283" spans="1:18" x14ac:dyDescent="0.3">
      <c r="A283" t="s">
        <v>704</v>
      </c>
      <c r="B283" s="6">
        <v>45540</v>
      </c>
      <c r="C283" t="s">
        <v>187</v>
      </c>
      <c r="D283" t="s">
        <v>1122</v>
      </c>
      <c r="E283" t="s">
        <v>125</v>
      </c>
      <c r="F283" t="s">
        <v>926</v>
      </c>
      <c r="G283" t="s">
        <v>34</v>
      </c>
      <c r="H283" t="s">
        <v>1078</v>
      </c>
      <c r="I283" t="s">
        <v>931</v>
      </c>
      <c r="J283" t="s">
        <v>15</v>
      </c>
      <c r="K283">
        <v>2458.91</v>
      </c>
      <c r="L283">
        <v>1</v>
      </c>
      <c r="M283">
        <v>0.1</v>
      </c>
      <c r="N283">
        <v>2458.91</v>
      </c>
      <c r="O283">
        <v>2213.0189999999998</v>
      </c>
      <c r="P283" t="s">
        <v>705</v>
      </c>
      <c r="Q283" t="s">
        <v>24</v>
      </c>
      <c r="R283" t="s">
        <v>1150</v>
      </c>
    </row>
    <row r="284" spans="1:18" x14ac:dyDescent="0.3">
      <c r="A284" t="s">
        <v>706</v>
      </c>
      <c r="B284" s="6">
        <v>45743</v>
      </c>
      <c r="C284" t="s">
        <v>356</v>
      </c>
      <c r="D284" t="s">
        <v>1133</v>
      </c>
      <c r="E284" t="s">
        <v>125</v>
      </c>
      <c r="F284" t="s">
        <v>930</v>
      </c>
      <c r="G284" t="s">
        <v>14</v>
      </c>
      <c r="H284" t="s">
        <v>1080</v>
      </c>
      <c r="I284" t="s">
        <v>931</v>
      </c>
      <c r="J284" t="s">
        <v>35</v>
      </c>
      <c r="K284">
        <v>2458.91</v>
      </c>
      <c r="L284">
        <v>6</v>
      </c>
      <c r="M284">
        <v>0.05</v>
      </c>
      <c r="N284">
        <v>14753.46</v>
      </c>
      <c r="O284">
        <v>14015.786999999998</v>
      </c>
      <c r="P284" t="s">
        <v>561</v>
      </c>
      <c r="Q284" t="s">
        <v>60</v>
      </c>
      <c r="R284" t="s">
        <v>1150</v>
      </c>
    </row>
    <row r="285" spans="1:18" x14ac:dyDescent="0.3">
      <c r="A285" t="s">
        <v>707</v>
      </c>
      <c r="B285" s="6">
        <v>45712</v>
      </c>
      <c r="C285" t="s">
        <v>66</v>
      </c>
      <c r="D285" t="s">
        <v>1108</v>
      </c>
      <c r="E285" t="s">
        <v>377</v>
      </c>
      <c r="F285" t="s">
        <v>930</v>
      </c>
      <c r="G285" t="s">
        <v>82</v>
      </c>
      <c r="H285" t="s">
        <v>1076</v>
      </c>
      <c r="I285" t="s">
        <v>910</v>
      </c>
      <c r="J285" t="s">
        <v>35</v>
      </c>
      <c r="K285">
        <v>4703.04</v>
      </c>
      <c r="L285">
        <v>9</v>
      </c>
      <c r="M285">
        <v>0.2</v>
      </c>
      <c r="N285">
        <v>42327.360000000001</v>
      </c>
      <c r="O285">
        <v>33861.887999999999</v>
      </c>
      <c r="P285" t="s">
        <v>708</v>
      </c>
      <c r="Q285" t="s">
        <v>24</v>
      </c>
      <c r="R285" t="s">
        <v>1150</v>
      </c>
    </row>
    <row r="286" spans="1:18" x14ac:dyDescent="0.3">
      <c r="A286" t="s">
        <v>709</v>
      </c>
      <c r="B286" s="6">
        <v>45433</v>
      </c>
      <c r="C286" t="s">
        <v>279</v>
      </c>
      <c r="D286" t="s">
        <v>1130</v>
      </c>
      <c r="E286" t="s">
        <v>116</v>
      </c>
      <c r="F286" t="s">
        <v>909</v>
      </c>
      <c r="G286" t="s">
        <v>82</v>
      </c>
      <c r="H286" t="s">
        <v>1076</v>
      </c>
      <c r="I286" t="s">
        <v>889</v>
      </c>
      <c r="J286" t="s">
        <v>22</v>
      </c>
      <c r="K286">
        <v>1156.02</v>
      </c>
      <c r="L286">
        <v>9</v>
      </c>
      <c r="M286">
        <v>0</v>
      </c>
      <c r="N286">
        <v>10404.18</v>
      </c>
      <c r="O286">
        <v>10404.18</v>
      </c>
      <c r="P286" t="s">
        <v>710</v>
      </c>
      <c r="Q286" t="s">
        <v>30</v>
      </c>
      <c r="R286" t="s">
        <v>1150</v>
      </c>
    </row>
    <row r="287" spans="1:18" x14ac:dyDescent="0.3">
      <c r="A287" t="s">
        <v>711</v>
      </c>
      <c r="B287" s="6">
        <v>45830</v>
      </c>
      <c r="C287" t="s">
        <v>80</v>
      </c>
      <c r="D287" t="s">
        <v>1109</v>
      </c>
      <c r="E287" t="s">
        <v>304</v>
      </c>
      <c r="F287" t="s">
        <v>892</v>
      </c>
      <c r="G287" t="s">
        <v>82</v>
      </c>
      <c r="H287" t="s">
        <v>1076</v>
      </c>
      <c r="I287" t="s">
        <v>889</v>
      </c>
      <c r="J287" t="s">
        <v>35</v>
      </c>
      <c r="K287">
        <v>1498.91</v>
      </c>
      <c r="L287">
        <v>7</v>
      </c>
      <c r="M287">
        <v>0</v>
      </c>
      <c r="N287">
        <v>10492.37</v>
      </c>
      <c r="O287">
        <v>10492.37</v>
      </c>
      <c r="P287" t="s">
        <v>538</v>
      </c>
      <c r="Q287" t="s">
        <v>42</v>
      </c>
      <c r="R287" t="s">
        <v>1150</v>
      </c>
    </row>
    <row r="288" spans="1:18" x14ac:dyDescent="0.3">
      <c r="A288" t="s">
        <v>712</v>
      </c>
      <c r="B288" s="6">
        <v>45642</v>
      </c>
      <c r="C288" t="s">
        <v>199</v>
      </c>
      <c r="D288" t="s">
        <v>1123</v>
      </c>
      <c r="E288" t="s">
        <v>345</v>
      </c>
      <c r="F288" t="s">
        <v>890</v>
      </c>
      <c r="G288" t="s">
        <v>21</v>
      </c>
      <c r="H288" t="s">
        <v>1073</v>
      </c>
      <c r="I288" t="s">
        <v>924</v>
      </c>
      <c r="J288" t="s">
        <v>35</v>
      </c>
      <c r="K288">
        <v>1212.79</v>
      </c>
      <c r="L288">
        <v>9</v>
      </c>
      <c r="M288">
        <v>0</v>
      </c>
      <c r="N288">
        <v>10915.11</v>
      </c>
      <c r="O288">
        <v>10915.11</v>
      </c>
      <c r="P288" t="s">
        <v>713</v>
      </c>
      <c r="Q288" t="s">
        <v>60</v>
      </c>
      <c r="R288" t="s">
        <v>1150</v>
      </c>
    </row>
    <row r="289" spans="1:18" x14ac:dyDescent="0.3">
      <c r="A289" t="s">
        <v>714</v>
      </c>
      <c r="B289" s="6">
        <v>45544</v>
      </c>
      <c r="C289" t="s">
        <v>550</v>
      </c>
      <c r="D289" t="s">
        <v>1127</v>
      </c>
      <c r="E289" t="s">
        <v>130</v>
      </c>
      <c r="F289" t="s">
        <v>927</v>
      </c>
      <c r="G289" t="s">
        <v>45</v>
      </c>
      <c r="H289" t="s">
        <v>1096</v>
      </c>
      <c r="I289" t="s">
        <v>910</v>
      </c>
      <c r="J289" t="s">
        <v>15</v>
      </c>
      <c r="K289">
        <v>3128.51</v>
      </c>
      <c r="L289">
        <v>5</v>
      </c>
      <c r="M289">
        <v>0.1</v>
      </c>
      <c r="N289">
        <v>15642.550000000001</v>
      </c>
      <c r="O289">
        <v>14078.295000000002</v>
      </c>
      <c r="P289" t="s">
        <v>225</v>
      </c>
      <c r="Q289" t="s">
        <v>17</v>
      </c>
      <c r="R289" t="s">
        <v>1150</v>
      </c>
    </row>
    <row r="290" spans="1:18" x14ac:dyDescent="0.3">
      <c r="A290" t="s">
        <v>715</v>
      </c>
      <c r="B290" s="6">
        <v>45587</v>
      </c>
      <c r="C290" t="s">
        <v>550</v>
      </c>
      <c r="D290" t="s">
        <v>1127</v>
      </c>
      <c r="E290" t="s">
        <v>389</v>
      </c>
      <c r="F290" t="s">
        <v>912</v>
      </c>
      <c r="G290" t="s">
        <v>82</v>
      </c>
      <c r="H290" t="s">
        <v>1076</v>
      </c>
      <c r="I290" t="s">
        <v>882</v>
      </c>
      <c r="J290" t="s">
        <v>22</v>
      </c>
      <c r="K290">
        <v>991.59</v>
      </c>
      <c r="L290">
        <v>4</v>
      </c>
      <c r="M290">
        <v>0.15</v>
      </c>
      <c r="N290">
        <v>3966.36</v>
      </c>
      <c r="O290">
        <v>3371.4059999999999</v>
      </c>
      <c r="P290" t="s">
        <v>716</v>
      </c>
      <c r="Q290" t="s">
        <v>30</v>
      </c>
      <c r="R290" t="s">
        <v>1150</v>
      </c>
    </row>
    <row r="291" spans="1:18" x14ac:dyDescent="0.3">
      <c r="A291" t="s">
        <v>717</v>
      </c>
      <c r="B291" s="6">
        <v>45649</v>
      </c>
      <c r="C291" t="s">
        <v>49</v>
      </c>
      <c r="D291" t="s">
        <v>1107</v>
      </c>
      <c r="E291" t="s">
        <v>50</v>
      </c>
      <c r="F291" t="s">
        <v>883</v>
      </c>
      <c r="G291" t="s">
        <v>82</v>
      </c>
      <c r="H291" t="s">
        <v>1076</v>
      </c>
      <c r="I291" t="s">
        <v>931</v>
      </c>
      <c r="J291" t="s">
        <v>22</v>
      </c>
      <c r="K291">
        <v>2041.83</v>
      </c>
      <c r="L291">
        <v>9</v>
      </c>
      <c r="M291">
        <v>0.2</v>
      </c>
      <c r="N291">
        <v>18376.47</v>
      </c>
      <c r="O291">
        <v>14701.176000000001</v>
      </c>
      <c r="P291" t="s">
        <v>305</v>
      </c>
      <c r="Q291" t="s">
        <v>24</v>
      </c>
      <c r="R291" t="s">
        <v>1150</v>
      </c>
    </row>
    <row r="292" spans="1:18" x14ac:dyDescent="0.3">
      <c r="A292" t="s">
        <v>718</v>
      </c>
      <c r="B292" s="6">
        <v>45680</v>
      </c>
      <c r="C292" t="s">
        <v>27</v>
      </c>
      <c r="D292" t="s">
        <v>1105</v>
      </c>
      <c r="E292" t="s">
        <v>389</v>
      </c>
      <c r="F292" t="s">
        <v>936</v>
      </c>
      <c r="G292" t="s">
        <v>14</v>
      </c>
      <c r="H292" t="s">
        <v>1080</v>
      </c>
      <c r="I292" t="s">
        <v>882</v>
      </c>
      <c r="J292" t="s">
        <v>15</v>
      </c>
      <c r="K292">
        <v>991.59</v>
      </c>
      <c r="L292">
        <v>7</v>
      </c>
      <c r="M292">
        <v>0.2</v>
      </c>
      <c r="N292">
        <v>6941.13</v>
      </c>
      <c r="O292">
        <v>5552.9040000000005</v>
      </c>
      <c r="P292" t="s">
        <v>719</v>
      </c>
      <c r="Q292" t="s">
        <v>17</v>
      </c>
      <c r="R292" t="s">
        <v>1150</v>
      </c>
    </row>
    <row r="293" spans="1:18" x14ac:dyDescent="0.3">
      <c r="A293" t="s">
        <v>720</v>
      </c>
      <c r="B293" s="6">
        <v>45335</v>
      </c>
      <c r="C293" t="s">
        <v>124</v>
      </c>
      <c r="D293" t="s">
        <v>1112</v>
      </c>
      <c r="E293" t="s">
        <v>13</v>
      </c>
      <c r="F293" t="s">
        <v>883</v>
      </c>
      <c r="G293" t="s">
        <v>21</v>
      </c>
      <c r="H293" t="s">
        <v>1073</v>
      </c>
      <c r="I293" t="s">
        <v>910</v>
      </c>
      <c r="J293" t="s">
        <v>22</v>
      </c>
      <c r="K293">
        <v>3493.54</v>
      </c>
      <c r="L293">
        <v>5</v>
      </c>
      <c r="M293">
        <v>0.15</v>
      </c>
      <c r="N293">
        <v>17467.7</v>
      </c>
      <c r="O293">
        <v>14847.545</v>
      </c>
      <c r="P293" t="s">
        <v>693</v>
      </c>
      <c r="Q293" t="s">
        <v>30</v>
      </c>
      <c r="R293" t="s">
        <v>1150</v>
      </c>
    </row>
    <row r="294" spans="1:18" x14ac:dyDescent="0.3">
      <c r="A294" t="s">
        <v>721</v>
      </c>
      <c r="B294" s="6">
        <v>45554</v>
      </c>
      <c r="C294" t="s">
        <v>476</v>
      </c>
      <c r="D294" t="s">
        <v>983</v>
      </c>
      <c r="E294" t="s">
        <v>465</v>
      </c>
      <c r="F294" t="s">
        <v>913</v>
      </c>
      <c r="G294" t="s">
        <v>45</v>
      </c>
      <c r="H294" t="s">
        <v>1096</v>
      </c>
      <c r="I294" t="s">
        <v>903</v>
      </c>
      <c r="J294" t="s">
        <v>22</v>
      </c>
      <c r="K294">
        <v>1140.8</v>
      </c>
      <c r="L294">
        <v>8</v>
      </c>
      <c r="M294">
        <v>0</v>
      </c>
      <c r="N294">
        <v>9126.4</v>
      </c>
      <c r="O294">
        <v>9126.4</v>
      </c>
      <c r="P294" t="s">
        <v>143</v>
      </c>
      <c r="Q294" t="s">
        <v>42</v>
      </c>
      <c r="R294" t="s">
        <v>1150</v>
      </c>
    </row>
    <row r="295" spans="1:18" x14ac:dyDescent="0.3">
      <c r="A295" t="s">
        <v>722</v>
      </c>
      <c r="B295" s="6">
        <v>45570</v>
      </c>
      <c r="C295" t="s">
        <v>476</v>
      </c>
      <c r="D295" t="s">
        <v>983</v>
      </c>
      <c r="E295" t="s">
        <v>67</v>
      </c>
      <c r="F295" t="s">
        <v>908</v>
      </c>
      <c r="G295" t="s">
        <v>82</v>
      </c>
      <c r="H295" t="s">
        <v>1076</v>
      </c>
      <c r="I295" t="s">
        <v>924</v>
      </c>
      <c r="J295" t="s">
        <v>15</v>
      </c>
      <c r="K295">
        <v>3205.14</v>
      </c>
      <c r="L295">
        <v>3</v>
      </c>
      <c r="M295">
        <v>0</v>
      </c>
      <c r="N295">
        <v>9615.42</v>
      </c>
      <c r="O295">
        <v>9615.42</v>
      </c>
      <c r="P295" t="s">
        <v>723</v>
      </c>
      <c r="Q295" t="s">
        <v>60</v>
      </c>
      <c r="R295" t="s">
        <v>1150</v>
      </c>
    </row>
    <row r="296" spans="1:18" x14ac:dyDescent="0.3">
      <c r="A296" t="s">
        <v>724</v>
      </c>
      <c r="B296" s="6">
        <v>45343</v>
      </c>
      <c r="C296" t="s">
        <v>605</v>
      </c>
      <c r="D296" t="s">
        <v>1023</v>
      </c>
      <c r="E296" t="s">
        <v>454</v>
      </c>
      <c r="F296" t="s">
        <v>925</v>
      </c>
      <c r="G296" t="s">
        <v>34</v>
      </c>
      <c r="H296" t="s">
        <v>1078</v>
      </c>
      <c r="I296" t="s">
        <v>917</v>
      </c>
      <c r="J296" t="s">
        <v>73</v>
      </c>
      <c r="K296">
        <v>1253.57</v>
      </c>
      <c r="L296">
        <v>9</v>
      </c>
      <c r="M296">
        <v>0</v>
      </c>
      <c r="N296">
        <v>11282.13</v>
      </c>
      <c r="O296">
        <v>11282.13</v>
      </c>
      <c r="P296" t="s">
        <v>726</v>
      </c>
      <c r="Q296" t="s">
        <v>24</v>
      </c>
      <c r="R296" t="s">
        <v>1150</v>
      </c>
    </row>
    <row r="297" spans="1:18" x14ac:dyDescent="0.3">
      <c r="A297" t="s">
        <v>727</v>
      </c>
      <c r="B297" s="6">
        <v>45715</v>
      </c>
      <c r="C297" t="s">
        <v>590</v>
      </c>
      <c r="D297" t="s">
        <v>1140</v>
      </c>
      <c r="E297" t="s">
        <v>206</v>
      </c>
      <c r="F297" t="s">
        <v>921</v>
      </c>
      <c r="G297" t="s">
        <v>34</v>
      </c>
      <c r="H297" t="s">
        <v>1078</v>
      </c>
      <c r="I297" t="s">
        <v>882</v>
      </c>
      <c r="J297" t="s">
        <v>73</v>
      </c>
      <c r="K297">
        <v>2779.58</v>
      </c>
      <c r="L297">
        <v>6</v>
      </c>
      <c r="M297">
        <v>0.15</v>
      </c>
      <c r="N297">
        <v>16677.48</v>
      </c>
      <c r="O297">
        <v>14175.857999999998</v>
      </c>
      <c r="P297" t="s">
        <v>591</v>
      </c>
      <c r="Q297" t="s">
        <v>60</v>
      </c>
      <c r="R297" t="s">
        <v>1150</v>
      </c>
    </row>
    <row r="298" spans="1:18" x14ac:dyDescent="0.3">
      <c r="A298" t="s">
        <v>728</v>
      </c>
      <c r="B298" s="6">
        <v>45297</v>
      </c>
      <c r="C298" t="s">
        <v>605</v>
      </c>
      <c r="D298" t="s">
        <v>1023</v>
      </c>
      <c r="E298" t="s">
        <v>729</v>
      </c>
      <c r="F298" t="s">
        <v>887</v>
      </c>
      <c r="G298" t="s">
        <v>14</v>
      </c>
      <c r="H298" t="s">
        <v>1080</v>
      </c>
      <c r="I298" t="s">
        <v>889</v>
      </c>
      <c r="J298" t="s">
        <v>35</v>
      </c>
      <c r="K298">
        <v>2208.33</v>
      </c>
      <c r="L298">
        <v>9</v>
      </c>
      <c r="M298">
        <v>0</v>
      </c>
      <c r="N298">
        <v>19874.97</v>
      </c>
      <c r="O298">
        <v>19874.97</v>
      </c>
      <c r="P298" t="s">
        <v>270</v>
      </c>
      <c r="Q298" t="s">
        <v>30</v>
      </c>
      <c r="R298" t="s">
        <v>1150</v>
      </c>
    </row>
    <row r="299" spans="1:18" x14ac:dyDescent="0.3">
      <c r="A299" t="s">
        <v>730</v>
      </c>
      <c r="B299" s="6">
        <v>45496</v>
      </c>
      <c r="C299" t="s">
        <v>202</v>
      </c>
      <c r="D299" t="s">
        <v>1124</v>
      </c>
      <c r="E299" t="s">
        <v>465</v>
      </c>
      <c r="F299" t="s">
        <v>888</v>
      </c>
      <c r="G299" t="s">
        <v>34</v>
      </c>
      <c r="H299" t="s">
        <v>1078</v>
      </c>
      <c r="I299" t="s">
        <v>903</v>
      </c>
      <c r="J299" t="s">
        <v>73</v>
      </c>
      <c r="K299">
        <v>1140.8</v>
      </c>
      <c r="L299">
        <v>5</v>
      </c>
      <c r="M299">
        <v>0</v>
      </c>
      <c r="N299">
        <v>5704</v>
      </c>
      <c r="O299">
        <v>5704</v>
      </c>
      <c r="P299" t="s">
        <v>731</v>
      </c>
      <c r="Q299" t="s">
        <v>24</v>
      </c>
      <c r="R299" t="s">
        <v>1150</v>
      </c>
    </row>
    <row r="300" spans="1:18" x14ac:dyDescent="0.3">
      <c r="A300" t="s">
        <v>732</v>
      </c>
      <c r="B300" s="6">
        <v>45529</v>
      </c>
      <c r="C300" t="s">
        <v>27</v>
      </c>
      <c r="D300" t="s">
        <v>1105</v>
      </c>
      <c r="E300" t="s">
        <v>153</v>
      </c>
      <c r="F300" t="s">
        <v>908</v>
      </c>
      <c r="G300" t="s">
        <v>34</v>
      </c>
      <c r="H300" t="s">
        <v>1078</v>
      </c>
      <c r="I300" t="s">
        <v>917</v>
      </c>
      <c r="J300" t="s">
        <v>15</v>
      </c>
      <c r="K300">
        <v>2128.4</v>
      </c>
      <c r="L300">
        <v>9</v>
      </c>
      <c r="M300">
        <v>0.15</v>
      </c>
      <c r="N300">
        <v>19155.600000000002</v>
      </c>
      <c r="O300">
        <v>16282.260000000002</v>
      </c>
      <c r="P300" t="s">
        <v>733</v>
      </c>
      <c r="Q300" t="s">
        <v>30</v>
      </c>
      <c r="R300" t="s">
        <v>1150</v>
      </c>
    </row>
    <row r="301" spans="1:18" x14ac:dyDescent="0.3">
      <c r="A301" t="s">
        <v>734</v>
      </c>
      <c r="B301" s="6">
        <v>45472</v>
      </c>
      <c r="C301" t="s">
        <v>547</v>
      </c>
      <c r="D301" t="s">
        <v>1139</v>
      </c>
      <c r="E301" t="s">
        <v>164</v>
      </c>
      <c r="F301" t="s">
        <v>916</v>
      </c>
      <c r="G301" t="s">
        <v>45</v>
      </c>
      <c r="H301" t="s">
        <v>1096</v>
      </c>
      <c r="I301" t="s">
        <v>917</v>
      </c>
      <c r="J301" t="s">
        <v>35</v>
      </c>
      <c r="K301">
        <v>2489.91</v>
      </c>
      <c r="L301">
        <v>1</v>
      </c>
      <c r="M301">
        <v>0.2</v>
      </c>
      <c r="N301">
        <v>2489.91</v>
      </c>
      <c r="O301">
        <v>1991.9279999999999</v>
      </c>
      <c r="P301" t="s">
        <v>735</v>
      </c>
      <c r="Q301" t="s">
        <v>60</v>
      </c>
      <c r="R301" t="s">
        <v>1150</v>
      </c>
    </row>
    <row r="302" spans="1:18" x14ac:dyDescent="0.3">
      <c r="A302" t="s">
        <v>736</v>
      </c>
      <c r="B302" s="6">
        <v>45588</v>
      </c>
      <c r="C302" t="s">
        <v>32</v>
      </c>
      <c r="D302" t="s">
        <v>1106</v>
      </c>
      <c r="E302" t="s">
        <v>389</v>
      </c>
      <c r="F302" t="s">
        <v>922</v>
      </c>
      <c r="G302" t="s">
        <v>14</v>
      </c>
      <c r="H302" t="s">
        <v>1080</v>
      </c>
      <c r="I302" t="s">
        <v>882</v>
      </c>
      <c r="J302" t="s">
        <v>73</v>
      </c>
      <c r="K302">
        <v>991.59</v>
      </c>
      <c r="L302">
        <v>1</v>
      </c>
      <c r="M302">
        <v>0</v>
      </c>
      <c r="N302">
        <v>991.59</v>
      </c>
      <c r="O302">
        <v>991.59</v>
      </c>
      <c r="P302" t="s">
        <v>737</v>
      </c>
      <c r="Q302" t="s">
        <v>17</v>
      </c>
      <c r="R302" t="s">
        <v>1150</v>
      </c>
    </row>
    <row r="303" spans="1:18" x14ac:dyDescent="0.3">
      <c r="A303" t="s">
        <v>738</v>
      </c>
      <c r="B303" s="6">
        <v>45583</v>
      </c>
      <c r="C303" t="s">
        <v>547</v>
      </c>
      <c r="D303" t="s">
        <v>1139</v>
      </c>
      <c r="E303" t="s">
        <v>40</v>
      </c>
      <c r="F303" t="s">
        <v>883</v>
      </c>
      <c r="G303" t="s">
        <v>45</v>
      </c>
      <c r="H303" t="s">
        <v>1096</v>
      </c>
      <c r="I303" t="s">
        <v>924</v>
      </c>
      <c r="J303" t="s">
        <v>35</v>
      </c>
      <c r="K303">
        <v>136.91</v>
      </c>
      <c r="L303">
        <v>8</v>
      </c>
      <c r="M303">
        <v>0.15</v>
      </c>
      <c r="N303">
        <v>1095.28</v>
      </c>
      <c r="O303">
        <v>930.98799999999994</v>
      </c>
      <c r="P303" t="s">
        <v>641</v>
      </c>
      <c r="Q303" t="s">
        <v>60</v>
      </c>
      <c r="R303" t="s">
        <v>1150</v>
      </c>
    </row>
    <row r="304" spans="1:18" x14ac:dyDescent="0.3">
      <c r="A304" t="s">
        <v>739</v>
      </c>
      <c r="B304" s="6">
        <v>45808</v>
      </c>
      <c r="C304" t="s">
        <v>550</v>
      </c>
      <c r="D304" t="s">
        <v>1127</v>
      </c>
      <c r="E304" t="s">
        <v>468</v>
      </c>
      <c r="F304" t="s">
        <v>928</v>
      </c>
      <c r="G304" t="s">
        <v>14</v>
      </c>
      <c r="H304" t="s">
        <v>1080</v>
      </c>
      <c r="I304" t="s">
        <v>924</v>
      </c>
      <c r="J304" t="s">
        <v>73</v>
      </c>
      <c r="K304">
        <v>2113.67</v>
      </c>
      <c r="L304">
        <v>8</v>
      </c>
      <c r="M304">
        <v>0</v>
      </c>
      <c r="N304">
        <v>16909.36</v>
      </c>
      <c r="O304">
        <v>16909.36</v>
      </c>
      <c r="P304" t="s">
        <v>288</v>
      </c>
      <c r="Q304" t="s">
        <v>17</v>
      </c>
      <c r="R304" t="s">
        <v>1150</v>
      </c>
    </row>
    <row r="305" spans="1:18" x14ac:dyDescent="0.3">
      <c r="A305" t="s">
        <v>740</v>
      </c>
      <c r="B305" s="6">
        <v>45458</v>
      </c>
      <c r="C305" t="s">
        <v>89</v>
      </c>
      <c r="D305" t="s">
        <v>1059</v>
      </c>
      <c r="E305" t="s">
        <v>153</v>
      </c>
      <c r="F305" t="s">
        <v>926</v>
      </c>
      <c r="G305" t="s">
        <v>21</v>
      </c>
      <c r="H305" t="s">
        <v>1073</v>
      </c>
      <c r="I305" t="s">
        <v>917</v>
      </c>
      <c r="J305" t="s">
        <v>15</v>
      </c>
      <c r="K305">
        <v>2128.4</v>
      </c>
      <c r="L305">
        <v>8</v>
      </c>
      <c r="M305">
        <v>0.15</v>
      </c>
      <c r="N305">
        <v>17027.2</v>
      </c>
      <c r="O305">
        <v>14473.12</v>
      </c>
      <c r="P305" t="s">
        <v>741</v>
      </c>
      <c r="Q305" t="s">
        <v>24</v>
      </c>
      <c r="R305" t="s">
        <v>1150</v>
      </c>
    </row>
    <row r="306" spans="1:18" x14ac:dyDescent="0.3">
      <c r="A306" t="s">
        <v>742</v>
      </c>
      <c r="B306" s="6">
        <v>45637</v>
      </c>
      <c r="C306" t="s">
        <v>311</v>
      </c>
      <c r="D306" t="s">
        <v>1132</v>
      </c>
      <c r="E306" t="s">
        <v>33</v>
      </c>
      <c r="F306" t="s">
        <v>916</v>
      </c>
      <c r="G306" t="s">
        <v>34</v>
      </c>
      <c r="H306" t="s">
        <v>1078</v>
      </c>
      <c r="I306" t="s">
        <v>931</v>
      </c>
      <c r="J306" t="s">
        <v>15</v>
      </c>
      <c r="K306">
        <v>620.89</v>
      </c>
      <c r="L306">
        <v>5</v>
      </c>
      <c r="M306">
        <v>0.1</v>
      </c>
      <c r="N306">
        <v>3104.45</v>
      </c>
      <c r="O306">
        <v>2794.0050000000001</v>
      </c>
      <c r="P306" t="s">
        <v>743</v>
      </c>
      <c r="Q306" t="s">
        <v>42</v>
      </c>
      <c r="R306" t="s">
        <v>1150</v>
      </c>
    </row>
    <row r="307" spans="1:18" x14ac:dyDescent="0.3">
      <c r="A307" t="s">
        <v>744</v>
      </c>
      <c r="B307" s="6">
        <v>45707</v>
      </c>
      <c r="C307" t="s">
        <v>80</v>
      </c>
      <c r="D307" t="s">
        <v>1109</v>
      </c>
      <c r="E307" t="s">
        <v>77</v>
      </c>
      <c r="F307" t="s">
        <v>932</v>
      </c>
      <c r="G307" t="s">
        <v>82</v>
      </c>
      <c r="H307" t="s">
        <v>1076</v>
      </c>
      <c r="I307" t="s">
        <v>882</v>
      </c>
      <c r="J307" t="s">
        <v>73</v>
      </c>
      <c r="K307">
        <v>3550.89</v>
      </c>
      <c r="L307">
        <v>7</v>
      </c>
      <c r="M307">
        <v>0.1</v>
      </c>
      <c r="N307">
        <v>24856.23</v>
      </c>
      <c r="O307">
        <v>22370.607</v>
      </c>
      <c r="P307" t="s">
        <v>746</v>
      </c>
      <c r="Q307" t="s">
        <v>30</v>
      </c>
      <c r="R307" t="s">
        <v>1150</v>
      </c>
    </row>
    <row r="308" spans="1:18" x14ac:dyDescent="0.3">
      <c r="A308" t="s">
        <v>747</v>
      </c>
      <c r="B308" s="6">
        <v>45389</v>
      </c>
      <c r="C308" t="s">
        <v>311</v>
      </c>
      <c r="D308" t="s">
        <v>1132</v>
      </c>
      <c r="E308" t="s">
        <v>240</v>
      </c>
      <c r="F308" t="s">
        <v>884</v>
      </c>
      <c r="G308" t="s">
        <v>34</v>
      </c>
      <c r="H308" t="s">
        <v>1078</v>
      </c>
      <c r="I308" t="s">
        <v>917</v>
      </c>
      <c r="J308" t="s">
        <v>22</v>
      </c>
      <c r="K308">
        <v>2036.67</v>
      </c>
      <c r="L308">
        <v>3</v>
      </c>
      <c r="M308">
        <v>0</v>
      </c>
      <c r="N308">
        <v>6110.01</v>
      </c>
      <c r="O308">
        <v>6110.01</v>
      </c>
      <c r="P308" t="s">
        <v>264</v>
      </c>
      <c r="Q308" t="s">
        <v>60</v>
      </c>
      <c r="R308" t="s">
        <v>1150</v>
      </c>
    </row>
    <row r="309" spans="1:18" x14ac:dyDescent="0.3">
      <c r="A309" t="s">
        <v>748</v>
      </c>
      <c r="B309" s="6">
        <v>45298</v>
      </c>
      <c r="C309" t="s">
        <v>144</v>
      </c>
      <c r="D309" t="s">
        <v>1116</v>
      </c>
      <c r="E309" t="s">
        <v>111</v>
      </c>
      <c r="F309" t="s">
        <v>920</v>
      </c>
      <c r="G309" t="s">
        <v>34</v>
      </c>
      <c r="H309" t="s">
        <v>1078</v>
      </c>
      <c r="I309" t="s">
        <v>924</v>
      </c>
      <c r="J309" t="s">
        <v>35</v>
      </c>
      <c r="K309">
        <v>4390.62</v>
      </c>
      <c r="L309">
        <v>5</v>
      </c>
      <c r="M309">
        <v>0.05</v>
      </c>
      <c r="N309">
        <v>21953.1</v>
      </c>
      <c r="O309">
        <v>20855.444999999996</v>
      </c>
      <c r="P309" t="s">
        <v>750</v>
      </c>
      <c r="Q309" t="s">
        <v>17</v>
      </c>
      <c r="R309" t="s">
        <v>1150</v>
      </c>
    </row>
    <row r="310" spans="1:18" x14ac:dyDescent="0.3">
      <c r="A310" t="s">
        <v>751</v>
      </c>
      <c r="B310" s="6">
        <v>45629</v>
      </c>
      <c r="C310" t="s">
        <v>476</v>
      </c>
      <c r="D310" t="s">
        <v>983</v>
      </c>
      <c r="E310" t="s">
        <v>111</v>
      </c>
      <c r="F310" t="s">
        <v>929</v>
      </c>
      <c r="G310" t="s">
        <v>34</v>
      </c>
      <c r="H310" t="s">
        <v>1078</v>
      </c>
      <c r="I310" t="s">
        <v>924</v>
      </c>
      <c r="J310" t="s">
        <v>73</v>
      </c>
      <c r="K310">
        <v>4390.62</v>
      </c>
      <c r="L310">
        <v>5</v>
      </c>
      <c r="M310">
        <v>0.1</v>
      </c>
      <c r="N310">
        <v>21953.1</v>
      </c>
      <c r="O310">
        <v>19757.79</v>
      </c>
      <c r="P310" t="s">
        <v>59</v>
      </c>
      <c r="Q310" t="s">
        <v>17</v>
      </c>
      <c r="R310" t="s">
        <v>1150</v>
      </c>
    </row>
    <row r="311" spans="1:18" x14ac:dyDescent="0.3">
      <c r="A311" t="s">
        <v>752</v>
      </c>
      <c r="B311" s="6">
        <v>45660</v>
      </c>
      <c r="C311" t="s">
        <v>180</v>
      </c>
      <c r="D311" t="s">
        <v>1121</v>
      </c>
      <c r="E311" t="s">
        <v>148</v>
      </c>
      <c r="F311" t="s">
        <v>929</v>
      </c>
      <c r="G311" t="s">
        <v>82</v>
      </c>
      <c r="H311" t="s">
        <v>1076</v>
      </c>
      <c r="I311" t="s">
        <v>931</v>
      </c>
      <c r="J311" t="s">
        <v>35</v>
      </c>
      <c r="K311">
        <v>3576.75</v>
      </c>
      <c r="L311">
        <v>4</v>
      </c>
      <c r="M311">
        <v>0</v>
      </c>
      <c r="N311">
        <v>14307</v>
      </c>
      <c r="O311">
        <v>14307</v>
      </c>
      <c r="P311" t="s">
        <v>753</v>
      </c>
      <c r="Q311" t="s">
        <v>17</v>
      </c>
      <c r="R311" t="s">
        <v>1150</v>
      </c>
    </row>
    <row r="312" spans="1:18" x14ac:dyDescent="0.3">
      <c r="A312" t="s">
        <v>754</v>
      </c>
      <c r="B312" s="6">
        <v>45455</v>
      </c>
      <c r="C312" t="s">
        <v>605</v>
      </c>
      <c r="D312" t="s">
        <v>1023</v>
      </c>
      <c r="E312" t="s">
        <v>316</v>
      </c>
      <c r="F312" t="s">
        <v>933</v>
      </c>
      <c r="G312" t="s">
        <v>21</v>
      </c>
      <c r="H312" t="s">
        <v>1073</v>
      </c>
      <c r="I312" t="s">
        <v>903</v>
      </c>
      <c r="J312" t="s">
        <v>22</v>
      </c>
      <c r="K312">
        <v>2405.98</v>
      </c>
      <c r="L312">
        <v>7</v>
      </c>
      <c r="M312">
        <v>0.15</v>
      </c>
      <c r="N312">
        <v>16841.86</v>
      </c>
      <c r="O312">
        <v>14315.581</v>
      </c>
      <c r="P312" t="s">
        <v>755</v>
      </c>
      <c r="Q312" t="s">
        <v>24</v>
      </c>
      <c r="R312" t="s">
        <v>1150</v>
      </c>
    </row>
    <row r="313" spans="1:18" x14ac:dyDescent="0.3">
      <c r="A313" t="s">
        <v>756</v>
      </c>
      <c r="B313" s="6">
        <v>45594</v>
      </c>
      <c r="C313" t="s">
        <v>66</v>
      </c>
      <c r="D313" t="s">
        <v>1108</v>
      </c>
      <c r="E313" t="s">
        <v>377</v>
      </c>
      <c r="F313" t="s">
        <v>907</v>
      </c>
      <c r="G313" t="s">
        <v>21</v>
      </c>
      <c r="H313" t="s">
        <v>1073</v>
      </c>
      <c r="I313" t="s">
        <v>910</v>
      </c>
      <c r="J313" t="s">
        <v>15</v>
      </c>
      <c r="K313">
        <v>4703.04</v>
      </c>
      <c r="L313">
        <v>6</v>
      </c>
      <c r="M313">
        <v>0.1</v>
      </c>
      <c r="N313">
        <v>28218.239999999998</v>
      </c>
      <c r="O313">
        <v>25396.415999999997</v>
      </c>
      <c r="P313" t="s">
        <v>36</v>
      </c>
      <c r="Q313" t="s">
        <v>60</v>
      </c>
      <c r="R313" t="s">
        <v>1150</v>
      </c>
    </row>
    <row r="314" spans="1:18" x14ac:dyDescent="0.3">
      <c r="A314" t="s">
        <v>757</v>
      </c>
      <c r="B314" s="6">
        <v>45781</v>
      </c>
      <c r="C314" t="s">
        <v>476</v>
      </c>
      <c r="D314" t="s">
        <v>983</v>
      </c>
      <c r="E314" t="s">
        <v>145</v>
      </c>
      <c r="F314" t="s">
        <v>909</v>
      </c>
      <c r="G314" t="s">
        <v>45</v>
      </c>
      <c r="H314" t="s">
        <v>1096</v>
      </c>
      <c r="I314" t="s">
        <v>896</v>
      </c>
      <c r="J314" t="s">
        <v>22</v>
      </c>
      <c r="K314">
        <v>2612.71</v>
      </c>
      <c r="L314">
        <v>3</v>
      </c>
      <c r="M314">
        <v>0.05</v>
      </c>
      <c r="N314">
        <v>7838.13</v>
      </c>
      <c r="O314">
        <v>7446.2235000000001</v>
      </c>
      <c r="P314" t="s">
        <v>359</v>
      </c>
      <c r="Q314" t="s">
        <v>30</v>
      </c>
      <c r="R314" t="s">
        <v>1150</v>
      </c>
    </row>
    <row r="315" spans="1:18" x14ac:dyDescent="0.3">
      <c r="A315" t="s">
        <v>758</v>
      </c>
      <c r="B315" s="6">
        <v>45774</v>
      </c>
      <c r="C315" t="s">
        <v>199</v>
      </c>
      <c r="D315" t="s">
        <v>1123</v>
      </c>
      <c r="E315" t="s">
        <v>226</v>
      </c>
      <c r="F315" t="s">
        <v>900</v>
      </c>
      <c r="G315" t="s">
        <v>34</v>
      </c>
      <c r="H315" t="s">
        <v>1078</v>
      </c>
      <c r="I315" t="s">
        <v>903</v>
      </c>
      <c r="J315" t="s">
        <v>15</v>
      </c>
      <c r="K315">
        <v>2359.5</v>
      </c>
      <c r="L315">
        <v>9</v>
      </c>
      <c r="M315">
        <v>0.2</v>
      </c>
      <c r="N315">
        <v>21235.5</v>
      </c>
      <c r="O315">
        <v>16988.400000000001</v>
      </c>
      <c r="P315" t="s">
        <v>55</v>
      </c>
      <c r="Q315" t="s">
        <v>42</v>
      </c>
      <c r="R315" t="s">
        <v>1150</v>
      </c>
    </row>
    <row r="316" spans="1:18" x14ac:dyDescent="0.3">
      <c r="A316" t="s">
        <v>759</v>
      </c>
      <c r="B316" s="6">
        <v>45375</v>
      </c>
      <c r="C316" t="s">
        <v>80</v>
      </c>
      <c r="D316" t="s">
        <v>1109</v>
      </c>
      <c r="E316" t="s">
        <v>389</v>
      </c>
      <c r="F316" t="s">
        <v>904</v>
      </c>
      <c r="G316" t="s">
        <v>21</v>
      </c>
      <c r="H316" t="s">
        <v>1073</v>
      </c>
      <c r="I316" t="s">
        <v>882</v>
      </c>
      <c r="J316" t="s">
        <v>22</v>
      </c>
      <c r="K316">
        <v>991.59</v>
      </c>
      <c r="L316">
        <v>9</v>
      </c>
      <c r="M316">
        <v>0.05</v>
      </c>
      <c r="N316">
        <v>8924.31</v>
      </c>
      <c r="O316">
        <v>8478.0944999999992</v>
      </c>
      <c r="P316" t="s">
        <v>395</v>
      </c>
      <c r="Q316" t="s">
        <v>24</v>
      </c>
      <c r="R316" t="s">
        <v>1150</v>
      </c>
    </row>
    <row r="317" spans="1:18" x14ac:dyDescent="0.3">
      <c r="A317" t="s">
        <v>761</v>
      </c>
      <c r="B317" s="6">
        <v>45406</v>
      </c>
      <c r="C317" t="s">
        <v>392</v>
      </c>
      <c r="D317" t="s">
        <v>1134</v>
      </c>
      <c r="E317" t="s">
        <v>72</v>
      </c>
      <c r="F317" t="s">
        <v>883</v>
      </c>
      <c r="G317" t="s">
        <v>34</v>
      </c>
      <c r="H317" t="s">
        <v>1078</v>
      </c>
      <c r="I317" t="s">
        <v>917</v>
      </c>
      <c r="J317" t="s">
        <v>15</v>
      </c>
      <c r="K317">
        <v>2316.1999999999998</v>
      </c>
      <c r="L317">
        <v>1</v>
      </c>
      <c r="M317">
        <v>0.2</v>
      </c>
      <c r="N317">
        <v>2316.1999999999998</v>
      </c>
      <c r="O317">
        <v>1852.96</v>
      </c>
      <c r="P317" t="s">
        <v>762</v>
      </c>
      <c r="Q317" t="s">
        <v>42</v>
      </c>
      <c r="R317" t="s">
        <v>1150</v>
      </c>
    </row>
    <row r="318" spans="1:18" x14ac:dyDescent="0.3">
      <c r="A318" t="s">
        <v>763</v>
      </c>
      <c r="B318" s="6">
        <v>45445</v>
      </c>
      <c r="C318" t="s">
        <v>53</v>
      </c>
      <c r="D318" t="s">
        <v>1047</v>
      </c>
      <c r="E318" t="s">
        <v>54</v>
      </c>
      <c r="F318" t="s">
        <v>919</v>
      </c>
      <c r="G318" t="s">
        <v>14</v>
      </c>
      <c r="H318" t="s">
        <v>1080</v>
      </c>
      <c r="I318" t="s">
        <v>889</v>
      </c>
      <c r="J318" t="s">
        <v>35</v>
      </c>
      <c r="K318">
        <v>3929.31</v>
      </c>
      <c r="L318">
        <v>3</v>
      </c>
      <c r="M318">
        <v>0</v>
      </c>
      <c r="N318">
        <v>11787.93</v>
      </c>
      <c r="O318">
        <v>11787.93</v>
      </c>
      <c r="P318" t="s">
        <v>327</v>
      </c>
      <c r="Q318" t="s">
        <v>24</v>
      </c>
      <c r="R318" t="s">
        <v>1150</v>
      </c>
    </row>
    <row r="319" spans="1:18" x14ac:dyDescent="0.3">
      <c r="A319" t="s">
        <v>764</v>
      </c>
      <c r="B319" s="6">
        <v>45502</v>
      </c>
      <c r="C319" t="s">
        <v>590</v>
      </c>
      <c r="D319" t="s">
        <v>1140</v>
      </c>
      <c r="E319" t="s">
        <v>130</v>
      </c>
      <c r="F319" t="s">
        <v>891</v>
      </c>
      <c r="G319" t="s">
        <v>34</v>
      </c>
      <c r="H319" t="s">
        <v>1078</v>
      </c>
      <c r="I319" t="s">
        <v>910</v>
      </c>
      <c r="J319" t="s">
        <v>35</v>
      </c>
      <c r="K319">
        <v>3128.51</v>
      </c>
      <c r="L319">
        <v>10</v>
      </c>
      <c r="M319">
        <v>0.05</v>
      </c>
      <c r="N319">
        <v>31285.100000000002</v>
      </c>
      <c r="O319">
        <v>29720.845000000001</v>
      </c>
      <c r="P319" t="s">
        <v>432</v>
      </c>
      <c r="Q319" t="s">
        <v>24</v>
      </c>
      <c r="R319" t="s">
        <v>1150</v>
      </c>
    </row>
    <row r="320" spans="1:18" x14ac:dyDescent="0.3">
      <c r="A320" t="s">
        <v>765</v>
      </c>
      <c r="B320" s="6">
        <v>45756</v>
      </c>
      <c r="C320" t="s">
        <v>392</v>
      </c>
      <c r="D320" t="s">
        <v>1134</v>
      </c>
      <c r="E320" t="s">
        <v>254</v>
      </c>
      <c r="F320" t="s">
        <v>912</v>
      </c>
      <c r="G320" t="s">
        <v>14</v>
      </c>
      <c r="H320" t="s">
        <v>1080</v>
      </c>
      <c r="I320" t="s">
        <v>917</v>
      </c>
      <c r="J320" t="s">
        <v>35</v>
      </c>
      <c r="K320">
        <v>605.26</v>
      </c>
      <c r="L320">
        <v>3</v>
      </c>
      <c r="M320">
        <v>0.1</v>
      </c>
      <c r="N320">
        <v>1815.78</v>
      </c>
      <c r="O320">
        <v>1634.202</v>
      </c>
      <c r="P320" t="s">
        <v>509</v>
      </c>
      <c r="Q320" t="s">
        <v>42</v>
      </c>
      <c r="R320" t="s">
        <v>1150</v>
      </c>
    </row>
    <row r="321" spans="1:18" x14ac:dyDescent="0.3">
      <c r="A321" t="s">
        <v>766</v>
      </c>
      <c r="B321" s="6">
        <v>45351</v>
      </c>
      <c r="C321" t="s">
        <v>49</v>
      </c>
      <c r="D321" t="s">
        <v>1107</v>
      </c>
      <c r="E321" t="s">
        <v>121</v>
      </c>
      <c r="F321" t="s">
        <v>918</v>
      </c>
      <c r="G321" t="s">
        <v>45</v>
      </c>
      <c r="H321" t="s">
        <v>1096</v>
      </c>
      <c r="I321" t="s">
        <v>903</v>
      </c>
      <c r="J321" t="s">
        <v>73</v>
      </c>
      <c r="K321">
        <v>3414.07</v>
      </c>
      <c r="L321">
        <v>9</v>
      </c>
      <c r="M321">
        <v>0.05</v>
      </c>
      <c r="N321">
        <v>30726.63</v>
      </c>
      <c r="O321">
        <v>29190.298500000001</v>
      </c>
      <c r="P321" t="s">
        <v>767</v>
      </c>
      <c r="Q321" t="s">
        <v>30</v>
      </c>
      <c r="R321" t="s">
        <v>1150</v>
      </c>
    </row>
    <row r="322" spans="1:18" x14ac:dyDescent="0.3">
      <c r="A322" t="s">
        <v>768</v>
      </c>
      <c r="B322" s="6">
        <v>45552</v>
      </c>
      <c r="C322" t="s">
        <v>49</v>
      </c>
      <c r="D322" t="s">
        <v>1107</v>
      </c>
      <c r="E322" t="s">
        <v>465</v>
      </c>
      <c r="F322" t="s">
        <v>906</v>
      </c>
      <c r="G322" t="s">
        <v>21</v>
      </c>
      <c r="H322" t="s">
        <v>1073</v>
      </c>
      <c r="I322" t="s">
        <v>903</v>
      </c>
      <c r="J322" t="s">
        <v>73</v>
      </c>
      <c r="K322">
        <v>1140.8</v>
      </c>
      <c r="L322">
        <v>1</v>
      </c>
      <c r="M322">
        <v>0.15</v>
      </c>
      <c r="N322">
        <v>1140.8</v>
      </c>
      <c r="O322">
        <v>969.68</v>
      </c>
      <c r="P322" t="s">
        <v>770</v>
      </c>
      <c r="Q322" t="s">
        <v>24</v>
      </c>
      <c r="R322" t="s">
        <v>1150</v>
      </c>
    </row>
    <row r="323" spans="1:18" x14ac:dyDescent="0.3">
      <c r="A323" t="s">
        <v>771</v>
      </c>
      <c r="B323" s="6">
        <v>45725</v>
      </c>
      <c r="C323" t="s">
        <v>124</v>
      </c>
      <c r="D323" t="s">
        <v>1112</v>
      </c>
      <c r="E323" t="s">
        <v>67</v>
      </c>
      <c r="F323" t="s">
        <v>908</v>
      </c>
      <c r="G323" t="s">
        <v>34</v>
      </c>
      <c r="H323" t="s">
        <v>1078</v>
      </c>
      <c r="I323" t="s">
        <v>924</v>
      </c>
      <c r="J323" t="s">
        <v>73</v>
      </c>
      <c r="K323">
        <v>3205.14</v>
      </c>
      <c r="L323">
        <v>6</v>
      </c>
      <c r="M323">
        <v>0.15</v>
      </c>
      <c r="N323">
        <v>19230.84</v>
      </c>
      <c r="O323">
        <v>16346.214</v>
      </c>
      <c r="P323" t="s">
        <v>76</v>
      </c>
      <c r="Q323" t="s">
        <v>24</v>
      </c>
      <c r="R323" t="s">
        <v>1150</v>
      </c>
    </row>
    <row r="324" spans="1:18" x14ac:dyDescent="0.3">
      <c r="A324" t="s">
        <v>772</v>
      </c>
      <c r="B324" s="6">
        <v>45775</v>
      </c>
      <c r="C324" t="s">
        <v>690</v>
      </c>
      <c r="D324" t="s">
        <v>1142</v>
      </c>
      <c r="E324" t="s">
        <v>304</v>
      </c>
      <c r="F324" t="s">
        <v>925</v>
      </c>
      <c r="G324" t="s">
        <v>45</v>
      </c>
      <c r="H324" t="s">
        <v>1096</v>
      </c>
      <c r="I324" t="s">
        <v>889</v>
      </c>
      <c r="J324" t="s">
        <v>15</v>
      </c>
      <c r="K324">
        <v>1498.91</v>
      </c>
      <c r="L324">
        <v>1</v>
      </c>
      <c r="M324">
        <v>0</v>
      </c>
      <c r="N324">
        <v>1498.91</v>
      </c>
      <c r="O324">
        <v>1498.91</v>
      </c>
      <c r="P324" t="s">
        <v>154</v>
      </c>
      <c r="Q324" t="s">
        <v>60</v>
      </c>
      <c r="R324" t="s">
        <v>1150</v>
      </c>
    </row>
    <row r="325" spans="1:18" x14ac:dyDescent="0.3">
      <c r="A325" t="s">
        <v>773</v>
      </c>
      <c r="B325" s="6">
        <v>45722</v>
      </c>
      <c r="C325" t="s">
        <v>19</v>
      </c>
      <c r="D325" t="s">
        <v>1104</v>
      </c>
      <c r="E325" t="s">
        <v>389</v>
      </c>
      <c r="F325" t="s">
        <v>890</v>
      </c>
      <c r="G325" t="s">
        <v>14</v>
      </c>
      <c r="H325" t="s">
        <v>1080</v>
      </c>
      <c r="I325" t="s">
        <v>882</v>
      </c>
      <c r="J325" t="s">
        <v>35</v>
      </c>
      <c r="K325">
        <v>991.59</v>
      </c>
      <c r="L325">
        <v>6</v>
      </c>
      <c r="M325">
        <v>0.05</v>
      </c>
      <c r="N325">
        <v>5949.54</v>
      </c>
      <c r="O325">
        <v>5652.0630000000001</v>
      </c>
      <c r="P325" t="s">
        <v>140</v>
      </c>
      <c r="Q325" t="s">
        <v>30</v>
      </c>
      <c r="R325" t="s">
        <v>1150</v>
      </c>
    </row>
    <row r="326" spans="1:18" x14ac:dyDescent="0.3">
      <c r="A326" t="s">
        <v>774</v>
      </c>
      <c r="B326" s="6">
        <v>45374</v>
      </c>
      <c r="C326" t="s">
        <v>392</v>
      </c>
      <c r="D326" t="s">
        <v>1134</v>
      </c>
      <c r="E326" t="s">
        <v>111</v>
      </c>
      <c r="F326" t="s">
        <v>883</v>
      </c>
      <c r="G326" t="s">
        <v>21</v>
      </c>
      <c r="H326" t="s">
        <v>1073</v>
      </c>
      <c r="I326" t="s">
        <v>924</v>
      </c>
      <c r="J326" t="s">
        <v>73</v>
      </c>
      <c r="K326">
        <v>4390.62</v>
      </c>
      <c r="L326">
        <v>9</v>
      </c>
      <c r="M326">
        <v>0</v>
      </c>
      <c r="N326">
        <v>39515.58</v>
      </c>
      <c r="O326">
        <v>39515.58</v>
      </c>
      <c r="P326" t="s">
        <v>775</v>
      </c>
      <c r="Q326" t="s">
        <v>60</v>
      </c>
      <c r="R326" t="s">
        <v>1150</v>
      </c>
    </row>
    <row r="327" spans="1:18" x14ac:dyDescent="0.3">
      <c r="A327" t="s">
        <v>776</v>
      </c>
      <c r="B327" s="6">
        <v>45694</v>
      </c>
      <c r="C327" t="s">
        <v>214</v>
      </c>
      <c r="D327" t="s">
        <v>1125</v>
      </c>
      <c r="E327" t="s">
        <v>54</v>
      </c>
      <c r="F327" t="s">
        <v>929</v>
      </c>
      <c r="G327" t="s">
        <v>34</v>
      </c>
      <c r="H327" t="s">
        <v>1078</v>
      </c>
      <c r="I327" t="s">
        <v>889</v>
      </c>
      <c r="J327" t="s">
        <v>73</v>
      </c>
      <c r="K327">
        <v>3929.31</v>
      </c>
      <c r="L327">
        <v>9</v>
      </c>
      <c r="M327">
        <v>0</v>
      </c>
      <c r="N327">
        <v>35363.79</v>
      </c>
      <c r="O327">
        <v>35363.79</v>
      </c>
      <c r="P327" t="s">
        <v>501</v>
      </c>
      <c r="Q327" t="s">
        <v>24</v>
      </c>
      <c r="R327" t="s">
        <v>1150</v>
      </c>
    </row>
    <row r="328" spans="1:18" x14ac:dyDescent="0.3">
      <c r="A328" t="s">
        <v>777</v>
      </c>
      <c r="B328" s="6">
        <v>45597</v>
      </c>
      <c r="C328" t="s">
        <v>39</v>
      </c>
      <c r="D328" t="s">
        <v>990</v>
      </c>
      <c r="E328" t="s">
        <v>125</v>
      </c>
      <c r="F328" t="s">
        <v>891</v>
      </c>
      <c r="G328" t="s">
        <v>34</v>
      </c>
      <c r="H328" t="s">
        <v>1078</v>
      </c>
      <c r="I328" t="s">
        <v>931</v>
      </c>
      <c r="J328" t="s">
        <v>35</v>
      </c>
      <c r="K328">
        <v>2458.91</v>
      </c>
      <c r="L328">
        <v>8</v>
      </c>
      <c r="M328">
        <v>0.15</v>
      </c>
      <c r="N328">
        <v>19671.28</v>
      </c>
      <c r="O328">
        <v>16720.588</v>
      </c>
      <c r="P328" t="s">
        <v>29</v>
      </c>
      <c r="Q328" t="s">
        <v>42</v>
      </c>
      <c r="R328" t="s">
        <v>1150</v>
      </c>
    </row>
    <row r="329" spans="1:18" x14ac:dyDescent="0.3">
      <c r="A329" t="s">
        <v>778</v>
      </c>
      <c r="B329" s="6">
        <v>45680</v>
      </c>
      <c r="C329" t="s">
        <v>590</v>
      </c>
      <c r="D329" t="s">
        <v>1140</v>
      </c>
      <c r="E329" t="s">
        <v>249</v>
      </c>
      <c r="F329" t="s">
        <v>930</v>
      </c>
      <c r="G329" t="s">
        <v>45</v>
      </c>
      <c r="H329" t="s">
        <v>1096</v>
      </c>
      <c r="I329" t="s">
        <v>889</v>
      </c>
      <c r="J329" t="s">
        <v>22</v>
      </c>
      <c r="K329">
        <v>1309.58</v>
      </c>
      <c r="L329">
        <v>4</v>
      </c>
      <c r="M329">
        <v>0</v>
      </c>
      <c r="N329">
        <v>5238.32</v>
      </c>
      <c r="O329">
        <v>5238.32</v>
      </c>
      <c r="P329" t="s">
        <v>540</v>
      </c>
      <c r="Q329" t="s">
        <v>60</v>
      </c>
      <c r="R329" t="s">
        <v>1150</v>
      </c>
    </row>
    <row r="330" spans="1:18" x14ac:dyDescent="0.3">
      <c r="A330" t="s">
        <v>779</v>
      </c>
      <c r="B330" s="6">
        <v>45574</v>
      </c>
      <c r="C330" t="s">
        <v>590</v>
      </c>
      <c r="D330" t="s">
        <v>1140</v>
      </c>
      <c r="E330" t="s">
        <v>130</v>
      </c>
      <c r="F330" t="s">
        <v>893</v>
      </c>
      <c r="G330" t="s">
        <v>82</v>
      </c>
      <c r="H330" t="s">
        <v>1076</v>
      </c>
      <c r="I330" t="s">
        <v>910</v>
      </c>
      <c r="J330" t="s">
        <v>73</v>
      </c>
      <c r="K330">
        <v>3128.51</v>
      </c>
      <c r="L330">
        <v>4</v>
      </c>
      <c r="M330">
        <v>0.15</v>
      </c>
      <c r="N330">
        <v>12514.04</v>
      </c>
      <c r="O330">
        <v>10636.934000000001</v>
      </c>
      <c r="P330" t="s">
        <v>780</v>
      </c>
      <c r="Q330" t="s">
        <v>30</v>
      </c>
      <c r="R330" t="s">
        <v>1150</v>
      </c>
    </row>
    <row r="331" spans="1:18" x14ac:dyDescent="0.3">
      <c r="A331" t="s">
        <v>781</v>
      </c>
      <c r="B331" s="6">
        <v>45308</v>
      </c>
      <c r="C331" t="s">
        <v>53</v>
      </c>
      <c r="D331" t="s">
        <v>1047</v>
      </c>
      <c r="E331" t="s">
        <v>345</v>
      </c>
      <c r="F331" t="s">
        <v>912</v>
      </c>
      <c r="G331" t="s">
        <v>14</v>
      </c>
      <c r="H331" t="s">
        <v>1080</v>
      </c>
      <c r="I331" t="s">
        <v>924</v>
      </c>
      <c r="J331" t="s">
        <v>73</v>
      </c>
      <c r="K331">
        <v>1212.79</v>
      </c>
      <c r="L331">
        <v>4</v>
      </c>
      <c r="M331">
        <v>0</v>
      </c>
      <c r="N331">
        <v>4851.16</v>
      </c>
      <c r="O331">
        <v>4851.16</v>
      </c>
      <c r="P331" t="s">
        <v>375</v>
      </c>
      <c r="Q331" t="s">
        <v>42</v>
      </c>
      <c r="R331" t="s">
        <v>1150</v>
      </c>
    </row>
    <row r="332" spans="1:18" x14ac:dyDescent="0.3">
      <c r="A332" t="s">
        <v>1154</v>
      </c>
      <c r="B332" s="6">
        <v>45308</v>
      </c>
      <c r="C332" t="s">
        <v>53</v>
      </c>
      <c r="D332" t="s">
        <v>1047</v>
      </c>
      <c r="E332" t="s">
        <v>345</v>
      </c>
      <c r="F332" t="s">
        <v>892</v>
      </c>
      <c r="G332" t="s">
        <v>14</v>
      </c>
      <c r="H332" t="s">
        <v>1080</v>
      </c>
      <c r="I332" t="s">
        <v>924</v>
      </c>
      <c r="J332" t="s">
        <v>73</v>
      </c>
      <c r="K332">
        <v>1212.79</v>
      </c>
      <c r="L332">
        <v>4</v>
      </c>
      <c r="M332">
        <v>0</v>
      </c>
      <c r="N332">
        <v>4851.16</v>
      </c>
      <c r="O332">
        <v>4851.16</v>
      </c>
      <c r="P332" t="s">
        <v>375</v>
      </c>
      <c r="Q332" t="s">
        <v>42</v>
      </c>
      <c r="R332" t="s">
        <v>1150</v>
      </c>
    </row>
    <row r="333" spans="1:18" x14ac:dyDescent="0.3">
      <c r="A333" t="s">
        <v>782</v>
      </c>
      <c r="B333" s="6">
        <v>45326</v>
      </c>
      <c r="C333" t="s">
        <v>245</v>
      </c>
      <c r="D333" t="s">
        <v>1128</v>
      </c>
      <c r="E333" t="s">
        <v>130</v>
      </c>
      <c r="F333" t="s">
        <v>927</v>
      </c>
      <c r="G333" t="s">
        <v>21</v>
      </c>
      <c r="H333" t="s">
        <v>1073</v>
      </c>
      <c r="I333" t="s">
        <v>910</v>
      </c>
      <c r="J333" t="s">
        <v>15</v>
      </c>
      <c r="K333">
        <v>3128.51</v>
      </c>
      <c r="L333">
        <v>8</v>
      </c>
      <c r="M333">
        <v>0.1</v>
      </c>
      <c r="N333">
        <v>25028.080000000002</v>
      </c>
      <c r="O333">
        <v>22525.272000000001</v>
      </c>
      <c r="P333" t="s">
        <v>200</v>
      </c>
      <c r="Q333" t="s">
        <v>24</v>
      </c>
      <c r="R333" t="s">
        <v>1150</v>
      </c>
    </row>
    <row r="334" spans="1:18" x14ac:dyDescent="0.3">
      <c r="A334" t="s">
        <v>783</v>
      </c>
      <c r="B334" s="6">
        <v>45703</v>
      </c>
      <c r="C334" t="s">
        <v>171</v>
      </c>
      <c r="D334" t="s">
        <v>1010</v>
      </c>
      <c r="E334" t="s">
        <v>172</v>
      </c>
      <c r="F334" t="s">
        <v>927</v>
      </c>
      <c r="G334" t="s">
        <v>21</v>
      </c>
      <c r="H334" t="s">
        <v>1073</v>
      </c>
      <c r="I334" t="s">
        <v>896</v>
      </c>
      <c r="J334" t="s">
        <v>15</v>
      </c>
      <c r="K334">
        <v>2849.53</v>
      </c>
      <c r="L334">
        <v>8</v>
      </c>
      <c r="M334">
        <v>0</v>
      </c>
      <c r="N334">
        <v>22796.240000000002</v>
      </c>
      <c r="O334">
        <v>22796.240000000002</v>
      </c>
      <c r="P334" t="s">
        <v>470</v>
      </c>
      <c r="Q334" t="s">
        <v>24</v>
      </c>
      <c r="R334" t="s">
        <v>1150</v>
      </c>
    </row>
    <row r="335" spans="1:18" x14ac:dyDescent="0.3">
      <c r="A335" t="s">
        <v>785</v>
      </c>
      <c r="B335" s="6">
        <v>45435</v>
      </c>
      <c r="C335" t="s">
        <v>392</v>
      </c>
      <c r="D335" t="s">
        <v>1134</v>
      </c>
      <c r="E335" t="s">
        <v>196</v>
      </c>
      <c r="F335" t="s">
        <v>912</v>
      </c>
      <c r="G335" t="s">
        <v>14</v>
      </c>
      <c r="H335" t="s">
        <v>1080</v>
      </c>
      <c r="I335" t="s">
        <v>882</v>
      </c>
      <c r="J335" t="s">
        <v>22</v>
      </c>
      <c r="K335">
        <v>2184.5100000000002</v>
      </c>
      <c r="L335">
        <v>9</v>
      </c>
      <c r="M335">
        <v>0</v>
      </c>
      <c r="N335">
        <v>19660.590000000004</v>
      </c>
      <c r="O335">
        <v>19660.590000000004</v>
      </c>
      <c r="P335" t="s">
        <v>786</v>
      </c>
      <c r="Q335" t="s">
        <v>42</v>
      </c>
      <c r="R335" t="s">
        <v>1150</v>
      </c>
    </row>
    <row r="336" spans="1:18" x14ac:dyDescent="0.3">
      <c r="A336" t="s">
        <v>787</v>
      </c>
      <c r="B336" s="6">
        <v>45620</v>
      </c>
      <c r="C336" t="s">
        <v>245</v>
      </c>
      <c r="D336" t="s">
        <v>1128</v>
      </c>
      <c r="E336" t="s">
        <v>389</v>
      </c>
      <c r="F336" t="s">
        <v>898</v>
      </c>
      <c r="G336" t="s">
        <v>82</v>
      </c>
      <c r="H336" t="s">
        <v>1076</v>
      </c>
      <c r="I336" t="s">
        <v>882</v>
      </c>
      <c r="J336" t="s">
        <v>15</v>
      </c>
      <c r="K336">
        <v>991.59</v>
      </c>
      <c r="L336">
        <v>4</v>
      </c>
      <c r="M336">
        <v>0</v>
      </c>
      <c r="N336">
        <v>3966.36</v>
      </c>
      <c r="O336">
        <v>3966.36</v>
      </c>
      <c r="P336" t="s">
        <v>788</v>
      </c>
      <c r="Q336" t="s">
        <v>30</v>
      </c>
      <c r="R336" t="s">
        <v>1150</v>
      </c>
    </row>
    <row r="337" spans="1:18" x14ac:dyDescent="0.3">
      <c r="A337" t="s">
        <v>789</v>
      </c>
      <c r="B337" s="6">
        <v>45599</v>
      </c>
      <c r="C337" t="s">
        <v>49</v>
      </c>
      <c r="D337" t="s">
        <v>1107</v>
      </c>
      <c r="E337" t="s">
        <v>111</v>
      </c>
      <c r="F337" t="s">
        <v>885</v>
      </c>
      <c r="G337" t="s">
        <v>82</v>
      </c>
      <c r="H337" t="s">
        <v>1076</v>
      </c>
      <c r="I337" t="s">
        <v>924</v>
      </c>
      <c r="J337" t="s">
        <v>15</v>
      </c>
      <c r="K337">
        <v>4390.62</v>
      </c>
      <c r="L337">
        <v>5</v>
      </c>
      <c r="M337">
        <v>0</v>
      </c>
      <c r="N337">
        <v>21953.1</v>
      </c>
      <c r="O337">
        <v>21953.1</v>
      </c>
      <c r="P337" t="s">
        <v>391</v>
      </c>
      <c r="Q337" t="s">
        <v>30</v>
      </c>
      <c r="R337" t="s">
        <v>1150</v>
      </c>
    </row>
    <row r="338" spans="1:18" x14ac:dyDescent="0.3">
      <c r="A338" t="s">
        <v>790</v>
      </c>
      <c r="B338" s="6">
        <v>45799</v>
      </c>
      <c r="C338" t="s">
        <v>605</v>
      </c>
      <c r="D338" t="s">
        <v>1023</v>
      </c>
      <c r="E338" t="s">
        <v>172</v>
      </c>
      <c r="F338" t="s">
        <v>883</v>
      </c>
      <c r="G338" t="s">
        <v>34</v>
      </c>
      <c r="H338" t="s">
        <v>1078</v>
      </c>
      <c r="I338" t="s">
        <v>896</v>
      </c>
      <c r="J338" t="s">
        <v>22</v>
      </c>
      <c r="K338">
        <v>2849.53</v>
      </c>
      <c r="L338">
        <v>1</v>
      </c>
      <c r="M338">
        <v>0</v>
      </c>
      <c r="N338">
        <v>2849.53</v>
      </c>
      <c r="O338">
        <v>2849.53</v>
      </c>
      <c r="P338" t="s">
        <v>579</v>
      </c>
      <c r="Q338" t="s">
        <v>30</v>
      </c>
      <c r="R338" t="s">
        <v>1150</v>
      </c>
    </row>
    <row r="339" spans="1:18" x14ac:dyDescent="0.3">
      <c r="A339" t="s">
        <v>791</v>
      </c>
      <c r="B339" s="6">
        <v>45710</v>
      </c>
      <c r="C339" t="s">
        <v>171</v>
      </c>
      <c r="D339" t="s">
        <v>1010</v>
      </c>
      <c r="E339" t="s">
        <v>161</v>
      </c>
      <c r="F339" t="s">
        <v>929</v>
      </c>
      <c r="G339" t="s">
        <v>34</v>
      </c>
      <c r="H339" t="s">
        <v>1078</v>
      </c>
      <c r="I339" t="s">
        <v>903</v>
      </c>
      <c r="J339" t="s">
        <v>15</v>
      </c>
      <c r="K339">
        <v>1513.99</v>
      </c>
      <c r="L339">
        <v>3</v>
      </c>
      <c r="M339">
        <v>0</v>
      </c>
      <c r="N339">
        <v>4541.97</v>
      </c>
      <c r="O339">
        <v>4541.97</v>
      </c>
      <c r="P339" t="s">
        <v>792</v>
      </c>
      <c r="Q339" t="s">
        <v>42</v>
      </c>
      <c r="R339" t="s">
        <v>1150</v>
      </c>
    </row>
    <row r="340" spans="1:18" x14ac:dyDescent="0.3">
      <c r="A340" t="s">
        <v>793</v>
      </c>
      <c r="B340" s="6">
        <v>45776</v>
      </c>
      <c r="C340" t="s">
        <v>234</v>
      </c>
      <c r="D340" t="s">
        <v>1127</v>
      </c>
      <c r="E340" t="s">
        <v>20</v>
      </c>
      <c r="F340" t="s">
        <v>898</v>
      </c>
      <c r="G340" t="s">
        <v>14</v>
      </c>
      <c r="H340" t="s">
        <v>1080</v>
      </c>
      <c r="I340" t="s">
        <v>896</v>
      </c>
      <c r="J340" t="s">
        <v>22</v>
      </c>
      <c r="K340">
        <v>3772.12</v>
      </c>
      <c r="L340">
        <v>4</v>
      </c>
      <c r="M340">
        <v>0.2</v>
      </c>
      <c r="N340">
        <v>15088.48</v>
      </c>
      <c r="O340">
        <v>12070.784</v>
      </c>
      <c r="P340" t="s">
        <v>165</v>
      </c>
      <c r="Q340" t="s">
        <v>60</v>
      </c>
      <c r="R340" t="s">
        <v>1150</v>
      </c>
    </row>
    <row r="341" spans="1:18" x14ac:dyDescent="0.3">
      <c r="A341" t="s">
        <v>794</v>
      </c>
      <c r="B341" s="6">
        <v>45766</v>
      </c>
      <c r="C341" t="s">
        <v>171</v>
      </c>
      <c r="D341" t="s">
        <v>1010</v>
      </c>
      <c r="E341" t="s">
        <v>20</v>
      </c>
      <c r="F341" t="s">
        <v>905</v>
      </c>
      <c r="G341" t="s">
        <v>21</v>
      </c>
      <c r="H341" t="s">
        <v>1073</v>
      </c>
      <c r="I341" t="s">
        <v>896</v>
      </c>
      <c r="J341" t="s">
        <v>35</v>
      </c>
      <c r="K341">
        <v>3772.12</v>
      </c>
      <c r="L341">
        <v>1</v>
      </c>
      <c r="M341">
        <v>0.1</v>
      </c>
      <c r="N341">
        <v>3772.12</v>
      </c>
      <c r="O341">
        <v>3394.9079999999999</v>
      </c>
      <c r="P341" t="s">
        <v>151</v>
      </c>
      <c r="Q341" t="s">
        <v>42</v>
      </c>
      <c r="R341" t="s">
        <v>1150</v>
      </c>
    </row>
    <row r="342" spans="1:18" x14ac:dyDescent="0.3">
      <c r="A342" t="s">
        <v>795</v>
      </c>
      <c r="B342" s="6">
        <v>45834</v>
      </c>
      <c r="C342" t="s">
        <v>462</v>
      </c>
      <c r="D342" t="s">
        <v>1137</v>
      </c>
      <c r="E342" t="s">
        <v>254</v>
      </c>
      <c r="F342" t="s">
        <v>899</v>
      </c>
      <c r="G342" t="s">
        <v>14</v>
      </c>
      <c r="H342" t="s">
        <v>1080</v>
      </c>
      <c r="I342" t="s">
        <v>917</v>
      </c>
      <c r="J342" t="s">
        <v>22</v>
      </c>
      <c r="K342">
        <v>605.26</v>
      </c>
      <c r="L342">
        <v>3</v>
      </c>
      <c r="M342">
        <v>0.05</v>
      </c>
      <c r="N342">
        <v>1815.78</v>
      </c>
      <c r="O342">
        <v>1724.991</v>
      </c>
      <c r="P342" t="s">
        <v>548</v>
      </c>
      <c r="Q342" t="s">
        <v>60</v>
      </c>
      <c r="R342" t="s">
        <v>1150</v>
      </c>
    </row>
    <row r="343" spans="1:18" x14ac:dyDescent="0.3">
      <c r="A343" t="s">
        <v>796</v>
      </c>
      <c r="B343" s="6">
        <v>45630</v>
      </c>
      <c r="C343" t="s">
        <v>168</v>
      </c>
      <c r="D343" t="s">
        <v>1119</v>
      </c>
      <c r="E343" t="s">
        <v>206</v>
      </c>
      <c r="F343" t="s">
        <v>899</v>
      </c>
      <c r="G343" t="s">
        <v>45</v>
      </c>
      <c r="H343" t="s">
        <v>1096</v>
      </c>
      <c r="I343" t="s">
        <v>882</v>
      </c>
      <c r="J343" t="s">
        <v>73</v>
      </c>
      <c r="K343">
        <v>2779.58</v>
      </c>
      <c r="L343">
        <v>2</v>
      </c>
      <c r="M343">
        <v>0.05</v>
      </c>
      <c r="N343">
        <v>5559.16</v>
      </c>
      <c r="O343">
        <v>5281.2019999999993</v>
      </c>
      <c r="P343" t="s">
        <v>133</v>
      </c>
      <c r="Q343" t="s">
        <v>42</v>
      </c>
      <c r="R343" t="s">
        <v>1150</v>
      </c>
    </row>
    <row r="344" spans="1:18" x14ac:dyDescent="0.3">
      <c r="A344" t="s">
        <v>1155</v>
      </c>
      <c r="B344" s="6">
        <v>45630</v>
      </c>
      <c r="C344" t="s">
        <v>168</v>
      </c>
      <c r="D344" t="s">
        <v>1119</v>
      </c>
      <c r="E344" t="s">
        <v>206</v>
      </c>
      <c r="F344" t="s">
        <v>921</v>
      </c>
      <c r="G344" t="s">
        <v>45</v>
      </c>
      <c r="H344" t="s">
        <v>1096</v>
      </c>
      <c r="I344" t="s">
        <v>882</v>
      </c>
      <c r="J344" t="s">
        <v>73</v>
      </c>
      <c r="K344">
        <v>2779.58</v>
      </c>
      <c r="L344">
        <v>2</v>
      </c>
      <c r="M344">
        <v>0.05</v>
      </c>
      <c r="N344">
        <v>5559.16</v>
      </c>
      <c r="O344">
        <v>5281.2019999999993</v>
      </c>
      <c r="P344" t="s">
        <v>133</v>
      </c>
      <c r="Q344" t="s">
        <v>42</v>
      </c>
      <c r="R344" t="s">
        <v>1150</v>
      </c>
    </row>
    <row r="345" spans="1:18" x14ac:dyDescent="0.3">
      <c r="A345" t="s">
        <v>797</v>
      </c>
      <c r="B345" s="6">
        <v>45487</v>
      </c>
      <c r="C345" t="s">
        <v>66</v>
      </c>
      <c r="D345" t="s">
        <v>1108</v>
      </c>
      <c r="E345" t="s">
        <v>389</v>
      </c>
      <c r="F345" t="s">
        <v>918</v>
      </c>
      <c r="G345" t="s">
        <v>21</v>
      </c>
      <c r="H345" t="s">
        <v>1073</v>
      </c>
      <c r="I345" t="s">
        <v>882</v>
      </c>
      <c r="J345" t="s">
        <v>73</v>
      </c>
      <c r="K345">
        <v>991.59</v>
      </c>
      <c r="L345">
        <v>1</v>
      </c>
      <c r="M345">
        <v>0</v>
      </c>
      <c r="N345">
        <v>991.59</v>
      </c>
      <c r="O345">
        <v>991.59</v>
      </c>
      <c r="P345" t="s">
        <v>519</v>
      </c>
      <c r="Q345" t="s">
        <v>24</v>
      </c>
      <c r="R345" t="s">
        <v>1150</v>
      </c>
    </row>
    <row r="346" spans="1:18" x14ac:dyDescent="0.3">
      <c r="A346" t="s">
        <v>798</v>
      </c>
      <c r="B346" s="6">
        <v>45484</v>
      </c>
      <c r="C346" t="s">
        <v>32</v>
      </c>
      <c r="D346" t="s">
        <v>1106</v>
      </c>
      <c r="E346" t="s">
        <v>121</v>
      </c>
      <c r="F346" t="s">
        <v>887</v>
      </c>
      <c r="G346" t="s">
        <v>14</v>
      </c>
      <c r="H346" t="s">
        <v>1080</v>
      </c>
      <c r="I346" t="s">
        <v>903</v>
      </c>
      <c r="J346" t="s">
        <v>15</v>
      </c>
      <c r="K346">
        <v>3414.07</v>
      </c>
      <c r="L346">
        <v>10</v>
      </c>
      <c r="M346">
        <v>0.15</v>
      </c>
      <c r="N346">
        <v>34140.700000000004</v>
      </c>
      <c r="O346">
        <v>29019.595000000001</v>
      </c>
      <c r="P346" t="s">
        <v>655</v>
      </c>
      <c r="Q346" t="s">
        <v>30</v>
      </c>
      <c r="R346" t="s">
        <v>1150</v>
      </c>
    </row>
    <row r="347" spans="1:18" x14ac:dyDescent="0.3">
      <c r="A347" t="s">
        <v>799</v>
      </c>
      <c r="B347" s="6">
        <v>45505</v>
      </c>
      <c r="C347" t="s">
        <v>311</v>
      </c>
      <c r="D347" t="s">
        <v>1132</v>
      </c>
      <c r="E347" t="s">
        <v>389</v>
      </c>
      <c r="F347" t="s">
        <v>887</v>
      </c>
      <c r="G347" t="s">
        <v>45</v>
      </c>
      <c r="H347" t="s">
        <v>1096</v>
      </c>
      <c r="I347" t="s">
        <v>882</v>
      </c>
      <c r="J347" t="s">
        <v>15</v>
      </c>
      <c r="K347">
        <v>991.59</v>
      </c>
      <c r="L347">
        <v>6</v>
      </c>
      <c r="M347">
        <v>0</v>
      </c>
      <c r="N347">
        <v>5949.54</v>
      </c>
      <c r="O347">
        <v>5949.54</v>
      </c>
      <c r="P347" t="s">
        <v>800</v>
      </c>
      <c r="Q347" t="s">
        <v>60</v>
      </c>
      <c r="R347" t="s">
        <v>1150</v>
      </c>
    </row>
    <row r="348" spans="1:18" x14ac:dyDescent="0.3">
      <c r="A348" t="s">
        <v>801</v>
      </c>
      <c r="B348" s="6">
        <v>45412</v>
      </c>
      <c r="C348" t="s">
        <v>134</v>
      </c>
      <c r="D348" t="s">
        <v>1047</v>
      </c>
      <c r="E348" t="s">
        <v>254</v>
      </c>
      <c r="F348" t="s">
        <v>883</v>
      </c>
      <c r="G348" t="s">
        <v>14</v>
      </c>
      <c r="H348" t="s">
        <v>1080</v>
      </c>
      <c r="I348" t="s">
        <v>917</v>
      </c>
      <c r="J348" t="s">
        <v>15</v>
      </c>
      <c r="K348">
        <v>605.26</v>
      </c>
      <c r="L348">
        <v>8</v>
      </c>
      <c r="M348">
        <v>0</v>
      </c>
      <c r="N348">
        <v>4842.08</v>
      </c>
      <c r="O348">
        <v>4842.08</v>
      </c>
      <c r="P348" t="s">
        <v>238</v>
      </c>
      <c r="Q348" t="s">
        <v>30</v>
      </c>
      <c r="R348" t="s">
        <v>1150</v>
      </c>
    </row>
    <row r="349" spans="1:18" x14ac:dyDescent="0.3">
      <c r="A349" t="s">
        <v>802</v>
      </c>
      <c r="B349" s="6">
        <v>45537</v>
      </c>
      <c r="C349" t="s">
        <v>460</v>
      </c>
      <c r="D349" t="s">
        <v>1136</v>
      </c>
      <c r="E349" t="s">
        <v>465</v>
      </c>
      <c r="F349" t="s">
        <v>906</v>
      </c>
      <c r="G349" t="s">
        <v>14</v>
      </c>
      <c r="H349" t="s">
        <v>1080</v>
      </c>
      <c r="I349" t="s">
        <v>903</v>
      </c>
      <c r="J349" t="s">
        <v>35</v>
      </c>
      <c r="K349">
        <v>1140.8</v>
      </c>
      <c r="L349">
        <v>9</v>
      </c>
      <c r="M349">
        <v>0</v>
      </c>
      <c r="N349">
        <v>10267.199999999999</v>
      </c>
      <c r="O349">
        <v>10267.199999999999</v>
      </c>
      <c r="P349" t="s">
        <v>705</v>
      </c>
      <c r="Q349" t="s">
        <v>30</v>
      </c>
      <c r="R349" t="s">
        <v>1150</v>
      </c>
    </row>
    <row r="350" spans="1:18" x14ac:dyDescent="0.3">
      <c r="A350" t="s">
        <v>803</v>
      </c>
      <c r="B350" s="6">
        <v>45659</v>
      </c>
      <c r="C350" t="s">
        <v>129</v>
      </c>
      <c r="D350" t="s">
        <v>1113</v>
      </c>
      <c r="E350" t="s">
        <v>54</v>
      </c>
      <c r="F350" t="s">
        <v>883</v>
      </c>
      <c r="G350" t="s">
        <v>45</v>
      </c>
      <c r="H350" t="s">
        <v>1096</v>
      </c>
      <c r="I350" t="s">
        <v>889</v>
      </c>
      <c r="J350" t="s">
        <v>35</v>
      </c>
      <c r="K350">
        <v>3929.31</v>
      </c>
      <c r="L350">
        <v>5</v>
      </c>
      <c r="M350">
        <v>0</v>
      </c>
      <c r="N350">
        <v>19646.55</v>
      </c>
      <c r="O350">
        <v>19646.55</v>
      </c>
      <c r="P350" t="s">
        <v>804</v>
      </c>
      <c r="Q350" t="s">
        <v>30</v>
      </c>
      <c r="R350" t="s">
        <v>1150</v>
      </c>
    </row>
    <row r="351" spans="1:18" x14ac:dyDescent="0.3">
      <c r="A351" t="s">
        <v>805</v>
      </c>
      <c r="B351" s="6">
        <v>45392</v>
      </c>
      <c r="C351" t="s">
        <v>605</v>
      </c>
      <c r="D351" t="s">
        <v>1023</v>
      </c>
      <c r="E351" t="s">
        <v>13</v>
      </c>
      <c r="F351" t="s">
        <v>918</v>
      </c>
      <c r="G351" t="s">
        <v>21</v>
      </c>
      <c r="H351" t="s">
        <v>1073</v>
      </c>
      <c r="I351" t="s">
        <v>910</v>
      </c>
      <c r="J351" t="s">
        <v>15</v>
      </c>
      <c r="K351">
        <v>3493.54</v>
      </c>
      <c r="L351">
        <v>8</v>
      </c>
      <c r="M351">
        <v>0.2</v>
      </c>
      <c r="N351">
        <v>27948.32</v>
      </c>
      <c r="O351">
        <v>22358.656000000003</v>
      </c>
      <c r="P351" t="s">
        <v>604</v>
      </c>
      <c r="Q351" t="s">
        <v>17</v>
      </c>
      <c r="R351" t="s">
        <v>1150</v>
      </c>
    </row>
    <row r="352" spans="1:18" x14ac:dyDescent="0.3">
      <c r="A352" t="s">
        <v>806</v>
      </c>
      <c r="B352" s="6">
        <v>45612</v>
      </c>
      <c r="C352" t="s">
        <v>476</v>
      </c>
      <c r="D352" t="s">
        <v>983</v>
      </c>
      <c r="E352" t="s">
        <v>304</v>
      </c>
      <c r="F352" t="s">
        <v>908</v>
      </c>
      <c r="G352" t="s">
        <v>14</v>
      </c>
      <c r="H352" t="s">
        <v>1080</v>
      </c>
      <c r="I352" t="s">
        <v>889</v>
      </c>
      <c r="J352" t="s">
        <v>15</v>
      </c>
      <c r="K352">
        <v>1498.91</v>
      </c>
      <c r="L352">
        <v>0</v>
      </c>
      <c r="M352">
        <v>0</v>
      </c>
      <c r="N352">
        <v>0</v>
      </c>
      <c r="O352">
        <v>0</v>
      </c>
      <c r="P352" t="s">
        <v>505</v>
      </c>
      <c r="Q352" t="s">
        <v>60</v>
      </c>
      <c r="R352" t="s">
        <v>1151</v>
      </c>
    </row>
    <row r="353" spans="1:18" x14ac:dyDescent="0.3">
      <c r="A353" t="s">
        <v>807</v>
      </c>
      <c r="B353" s="6">
        <v>45308</v>
      </c>
      <c r="C353" t="s">
        <v>605</v>
      </c>
      <c r="D353" t="s">
        <v>1023</v>
      </c>
      <c r="E353" t="s">
        <v>121</v>
      </c>
      <c r="F353" t="s">
        <v>891</v>
      </c>
      <c r="G353" t="s">
        <v>82</v>
      </c>
      <c r="H353" t="s">
        <v>1076</v>
      </c>
      <c r="I353" t="s">
        <v>903</v>
      </c>
      <c r="J353" t="s">
        <v>35</v>
      </c>
      <c r="K353">
        <v>3414.07</v>
      </c>
      <c r="L353">
        <v>5</v>
      </c>
      <c r="M353">
        <v>0.1</v>
      </c>
      <c r="N353">
        <v>17070.350000000002</v>
      </c>
      <c r="O353">
        <v>15363.315000000002</v>
      </c>
      <c r="P353" t="s">
        <v>478</v>
      </c>
      <c r="Q353" t="s">
        <v>17</v>
      </c>
      <c r="R353" t="s">
        <v>1150</v>
      </c>
    </row>
    <row r="354" spans="1:18" x14ac:dyDescent="0.3">
      <c r="A354" t="s">
        <v>808</v>
      </c>
      <c r="B354" s="6">
        <v>45448</v>
      </c>
      <c r="C354" t="s">
        <v>53</v>
      </c>
      <c r="D354" t="s">
        <v>1047</v>
      </c>
      <c r="E354" t="s">
        <v>13</v>
      </c>
      <c r="F354" t="s">
        <v>913</v>
      </c>
      <c r="G354" t="s">
        <v>14</v>
      </c>
      <c r="H354" t="s">
        <v>1080</v>
      </c>
      <c r="I354" t="s">
        <v>910</v>
      </c>
      <c r="J354" t="s">
        <v>35</v>
      </c>
      <c r="K354">
        <v>3493.54</v>
      </c>
      <c r="L354">
        <v>4</v>
      </c>
      <c r="M354">
        <v>0</v>
      </c>
      <c r="N354">
        <v>13974.16</v>
      </c>
      <c r="O354">
        <v>13974.16</v>
      </c>
      <c r="P354" t="s">
        <v>266</v>
      </c>
      <c r="Q354" t="s">
        <v>42</v>
      </c>
      <c r="R354" t="s">
        <v>1150</v>
      </c>
    </row>
    <row r="355" spans="1:18" x14ac:dyDescent="0.3">
      <c r="A355" t="s">
        <v>809</v>
      </c>
      <c r="B355" s="6">
        <v>45543</v>
      </c>
      <c r="C355" t="s">
        <v>80</v>
      </c>
      <c r="D355" t="s">
        <v>1109</v>
      </c>
      <c r="E355" t="s">
        <v>377</v>
      </c>
      <c r="F355" t="s">
        <v>890</v>
      </c>
      <c r="G355" t="s">
        <v>82</v>
      </c>
      <c r="H355" t="s">
        <v>1076</v>
      </c>
      <c r="I355" t="s">
        <v>910</v>
      </c>
      <c r="J355" t="s">
        <v>22</v>
      </c>
      <c r="K355">
        <v>4703.04</v>
      </c>
      <c r="L355">
        <v>8</v>
      </c>
      <c r="M355">
        <v>0.1</v>
      </c>
      <c r="N355">
        <v>37624.32</v>
      </c>
      <c r="O355">
        <v>33861.887999999999</v>
      </c>
      <c r="P355" t="s">
        <v>225</v>
      </c>
      <c r="Q355" t="s">
        <v>30</v>
      </c>
      <c r="R355" t="s">
        <v>1150</v>
      </c>
    </row>
    <row r="356" spans="1:18" x14ac:dyDescent="0.3">
      <c r="A356" t="s">
        <v>811</v>
      </c>
      <c r="B356" s="6">
        <v>45794</v>
      </c>
      <c r="C356" t="s">
        <v>152</v>
      </c>
      <c r="D356" t="s">
        <v>944</v>
      </c>
      <c r="E356" t="s">
        <v>67</v>
      </c>
      <c r="F356" t="s">
        <v>906</v>
      </c>
      <c r="G356" t="s">
        <v>45</v>
      </c>
      <c r="H356" t="s">
        <v>1096</v>
      </c>
      <c r="I356" t="s">
        <v>924</v>
      </c>
      <c r="J356" t="s">
        <v>15</v>
      </c>
      <c r="K356">
        <v>3205.14</v>
      </c>
      <c r="L356">
        <v>8</v>
      </c>
      <c r="M356">
        <v>0</v>
      </c>
      <c r="N356">
        <v>25641.119999999999</v>
      </c>
      <c r="O356">
        <v>25641.119999999999</v>
      </c>
      <c r="P356" t="s">
        <v>386</v>
      </c>
      <c r="Q356" t="s">
        <v>60</v>
      </c>
      <c r="R356" t="s">
        <v>1150</v>
      </c>
    </row>
    <row r="357" spans="1:18" x14ac:dyDescent="0.3">
      <c r="A357" t="s">
        <v>812</v>
      </c>
      <c r="B357" s="6">
        <v>45792</v>
      </c>
      <c r="C357" t="s">
        <v>291</v>
      </c>
      <c r="D357" t="s">
        <v>1131</v>
      </c>
      <c r="E357" t="s">
        <v>77</v>
      </c>
      <c r="F357" t="s">
        <v>913</v>
      </c>
      <c r="G357" t="s">
        <v>14</v>
      </c>
      <c r="H357" t="s">
        <v>1080</v>
      </c>
      <c r="I357" t="s">
        <v>882</v>
      </c>
      <c r="J357" t="s">
        <v>73</v>
      </c>
      <c r="K357">
        <v>3550.89</v>
      </c>
      <c r="L357">
        <v>3</v>
      </c>
      <c r="M357">
        <v>0.1</v>
      </c>
      <c r="N357">
        <v>10652.67</v>
      </c>
      <c r="O357">
        <v>9587.4030000000002</v>
      </c>
      <c r="P357" t="s">
        <v>662</v>
      </c>
      <c r="Q357" t="s">
        <v>24</v>
      </c>
      <c r="R357" t="s">
        <v>1150</v>
      </c>
    </row>
    <row r="358" spans="1:18" x14ac:dyDescent="0.3">
      <c r="A358" t="s">
        <v>814</v>
      </c>
      <c r="B358" s="6">
        <v>45341</v>
      </c>
      <c r="C358" t="s">
        <v>245</v>
      </c>
      <c r="D358" t="s">
        <v>1128</v>
      </c>
      <c r="E358" t="s">
        <v>72</v>
      </c>
      <c r="F358" t="s">
        <v>909</v>
      </c>
      <c r="G358" t="s">
        <v>21</v>
      </c>
      <c r="H358" t="s">
        <v>1073</v>
      </c>
      <c r="I358" t="s">
        <v>917</v>
      </c>
      <c r="J358" t="s">
        <v>15</v>
      </c>
      <c r="K358">
        <v>2316.1999999999998</v>
      </c>
      <c r="L358">
        <v>1</v>
      </c>
      <c r="M358">
        <v>0.05</v>
      </c>
      <c r="N358">
        <v>2316.1999999999998</v>
      </c>
      <c r="O358">
        <v>2200.39</v>
      </c>
      <c r="P358" t="s">
        <v>815</v>
      </c>
      <c r="Q358" t="s">
        <v>24</v>
      </c>
      <c r="R358" t="s">
        <v>1150</v>
      </c>
    </row>
    <row r="359" spans="1:18" x14ac:dyDescent="0.3">
      <c r="A359" t="s">
        <v>816</v>
      </c>
      <c r="B359" s="6">
        <v>45446</v>
      </c>
      <c r="C359" t="s">
        <v>590</v>
      </c>
      <c r="D359" t="s">
        <v>1140</v>
      </c>
      <c r="E359" t="s">
        <v>454</v>
      </c>
      <c r="F359" t="s">
        <v>925</v>
      </c>
      <c r="G359" t="s">
        <v>45</v>
      </c>
      <c r="H359" t="s">
        <v>1096</v>
      </c>
      <c r="I359" t="s">
        <v>917</v>
      </c>
      <c r="J359" t="s">
        <v>35</v>
      </c>
      <c r="K359">
        <v>1253.57</v>
      </c>
      <c r="L359">
        <v>1</v>
      </c>
      <c r="M359">
        <v>0</v>
      </c>
      <c r="N359">
        <v>1253.57</v>
      </c>
      <c r="O359">
        <v>1253.57</v>
      </c>
      <c r="P359" t="s">
        <v>353</v>
      </c>
      <c r="Q359" t="s">
        <v>17</v>
      </c>
      <c r="R359" t="s">
        <v>1150</v>
      </c>
    </row>
    <row r="360" spans="1:18" x14ac:dyDescent="0.3">
      <c r="A360" t="s">
        <v>817</v>
      </c>
      <c r="B360" s="6">
        <v>45353</v>
      </c>
      <c r="C360" t="s">
        <v>141</v>
      </c>
      <c r="D360" t="s">
        <v>1115</v>
      </c>
      <c r="E360" t="s">
        <v>260</v>
      </c>
      <c r="F360" t="s">
        <v>884</v>
      </c>
      <c r="G360" t="s">
        <v>82</v>
      </c>
      <c r="H360" t="s">
        <v>1076</v>
      </c>
      <c r="I360" t="s">
        <v>896</v>
      </c>
      <c r="J360" t="s">
        <v>35</v>
      </c>
      <c r="K360">
        <v>3981.64</v>
      </c>
      <c r="L360">
        <v>10</v>
      </c>
      <c r="M360">
        <v>0.15</v>
      </c>
      <c r="N360">
        <v>39816.400000000001</v>
      </c>
      <c r="O360">
        <v>33843.94</v>
      </c>
      <c r="P360" t="s">
        <v>818</v>
      </c>
      <c r="Q360" t="s">
        <v>30</v>
      </c>
      <c r="R360" t="s">
        <v>1150</v>
      </c>
    </row>
    <row r="361" spans="1:18" x14ac:dyDescent="0.3">
      <c r="A361" t="s">
        <v>819</v>
      </c>
      <c r="B361" s="6">
        <v>45308</v>
      </c>
      <c r="C361" t="s">
        <v>311</v>
      </c>
      <c r="D361" t="s">
        <v>1132</v>
      </c>
      <c r="E361" t="s">
        <v>40</v>
      </c>
      <c r="F361" t="s">
        <v>919</v>
      </c>
      <c r="G361" t="s">
        <v>82</v>
      </c>
      <c r="H361" t="s">
        <v>1076</v>
      </c>
      <c r="I361" t="s">
        <v>924</v>
      </c>
      <c r="J361" t="s">
        <v>35</v>
      </c>
      <c r="K361">
        <v>136.91</v>
      </c>
      <c r="L361">
        <v>1</v>
      </c>
      <c r="M361">
        <v>0.1</v>
      </c>
      <c r="N361">
        <v>136.91</v>
      </c>
      <c r="O361">
        <v>123.21899999999999</v>
      </c>
      <c r="P361" t="s">
        <v>820</v>
      </c>
      <c r="Q361" t="s">
        <v>24</v>
      </c>
      <c r="R361" t="s">
        <v>1150</v>
      </c>
    </row>
    <row r="362" spans="1:18" x14ac:dyDescent="0.3">
      <c r="A362" t="s">
        <v>821</v>
      </c>
      <c r="B362" s="6">
        <v>45309</v>
      </c>
      <c r="C362" t="s">
        <v>202</v>
      </c>
      <c r="D362" t="s">
        <v>1124</v>
      </c>
      <c r="E362" t="s">
        <v>20</v>
      </c>
      <c r="F362" t="s">
        <v>921</v>
      </c>
      <c r="G362" t="s">
        <v>34</v>
      </c>
      <c r="H362" t="s">
        <v>1078</v>
      </c>
      <c r="I362" t="s">
        <v>896</v>
      </c>
      <c r="J362" t="s">
        <v>22</v>
      </c>
      <c r="K362">
        <v>3772.12</v>
      </c>
      <c r="L362">
        <v>9</v>
      </c>
      <c r="M362">
        <v>0.15</v>
      </c>
      <c r="N362">
        <v>33949.08</v>
      </c>
      <c r="O362">
        <v>28856.718000000001</v>
      </c>
      <c r="P362" t="s">
        <v>383</v>
      </c>
      <c r="Q362" t="s">
        <v>24</v>
      </c>
      <c r="R362" t="s">
        <v>1150</v>
      </c>
    </row>
    <row r="363" spans="1:18" x14ac:dyDescent="0.3">
      <c r="A363" t="s">
        <v>823</v>
      </c>
      <c r="B363" s="6">
        <v>45806</v>
      </c>
      <c r="C363" t="s">
        <v>392</v>
      </c>
      <c r="D363" t="s">
        <v>1134</v>
      </c>
      <c r="E363" t="s">
        <v>172</v>
      </c>
      <c r="F363" t="s">
        <v>895</v>
      </c>
      <c r="G363" t="s">
        <v>45</v>
      </c>
      <c r="H363" t="s">
        <v>1096</v>
      </c>
      <c r="I363" t="s">
        <v>896</v>
      </c>
      <c r="J363" t="s">
        <v>73</v>
      </c>
      <c r="K363">
        <v>2849.53</v>
      </c>
      <c r="L363">
        <v>7</v>
      </c>
      <c r="M363">
        <v>0.2</v>
      </c>
      <c r="N363">
        <v>19946.710000000003</v>
      </c>
      <c r="O363">
        <v>15957.368000000002</v>
      </c>
      <c r="P363" t="s">
        <v>824</v>
      </c>
      <c r="Q363" t="s">
        <v>24</v>
      </c>
      <c r="R363" t="s">
        <v>1150</v>
      </c>
    </row>
    <row r="364" spans="1:18" x14ac:dyDescent="0.3">
      <c r="A364" t="s">
        <v>825</v>
      </c>
      <c r="B364" s="6">
        <v>45828</v>
      </c>
      <c r="C364" t="s">
        <v>214</v>
      </c>
      <c r="D364" t="s">
        <v>1125</v>
      </c>
      <c r="E364" t="s">
        <v>304</v>
      </c>
      <c r="F364" t="s">
        <v>928</v>
      </c>
      <c r="G364" t="s">
        <v>34</v>
      </c>
      <c r="H364" t="s">
        <v>1078</v>
      </c>
      <c r="I364" t="s">
        <v>889</v>
      </c>
      <c r="J364" t="s">
        <v>22</v>
      </c>
      <c r="K364">
        <v>1498.91</v>
      </c>
      <c r="L364">
        <v>3</v>
      </c>
      <c r="M364">
        <v>0</v>
      </c>
      <c r="N364">
        <v>4496.7300000000005</v>
      </c>
      <c r="O364">
        <v>4496.7300000000005</v>
      </c>
      <c r="P364" t="s">
        <v>568</v>
      </c>
      <c r="Q364" t="s">
        <v>17</v>
      </c>
      <c r="R364" t="s">
        <v>1150</v>
      </c>
    </row>
    <row r="365" spans="1:18" x14ac:dyDescent="0.3">
      <c r="A365" t="s">
        <v>826</v>
      </c>
      <c r="B365" s="6">
        <v>45565</v>
      </c>
      <c r="C365" t="s">
        <v>53</v>
      </c>
      <c r="D365" t="s">
        <v>1047</v>
      </c>
      <c r="E365" t="s">
        <v>90</v>
      </c>
      <c r="F365" t="s">
        <v>899</v>
      </c>
      <c r="G365" t="s">
        <v>82</v>
      </c>
      <c r="H365" t="s">
        <v>1076</v>
      </c>
      <c r="I365" t="s">
        <v>903</v>
      </c>
      <c r="J365" t="s">
        <v>35</v>
      </c>
      <c r="K365">
        <v>928.72</v>
      </c>
      <c r="L365">
        <v>7</v>
      </c>
      <c r="M365">
        <v>0</v>
      </c>
      <c r="N365">
        <v>6501.04</v>
      </c>
      <c r="O365">
        <v>6501.04</v>
      </c>
      <c r="P365" t="s">
        <v>480</v>
      </c>
      <c r="Q365" t="s">
        <v>30</v>
      </c>
      <c r="R365" t="s">
        <v>1150</v>
      </c>
    </row>
    <row r="366" spans="1:18" x14ac:dyDescent="0.3">
      <c r="A366" t="s">
        <v>827</v>
      </c>
      <c r="B366" s="6">
        <v>45541</v>
      </c>
      <c r="C366" t="s">
        <v>110</v>
      </c>
      <c r="D366" t="s">
        <v>983</v>
      </c>
      <c r="E366" t="s">
        <v>148</v>
      </c>
      <c r="F366" t="s">
        <v>898</v>
      </c>
      <c r="G366" t="s">
        <v>82</v>
      </c>
      <c r="H366" t="s">
        <v>1076</v>
      </c>
      <c r="I366" t="s">
        <v>931</v>
      </c>
      <c r="J366" t="s">
        <v>73</v>
      </c>
      <c r="K366">
        <v>3576.75</v>
      </c>
      <c r="L366">
        <v>4</v>
      </c>
      <c r="M366">
        <v>0</v>
      </c>
      <c r="N366">
        <v>14307</v>
      </c>
      <c r="O366">
        <v>14307</v>
      </c>
      <c r="P366" t="s">
        <v>810</v>
      </c>
      <c r="Q366" t="s">
        <v>24</v>
      </c>
      <c r="R366" t="s">
        <v>1150</v>
      </c>
    </row>
    <row r="367" spans="1:18" x14ac:dyDescent="0.3">
      <c r="A367" t="s">
        <v>828</v>
      </c>
      <c r="B367" s="6">
        <v>45707</v>
      </c>
      <c r="C367" t="s">
        <v>690</v>
      </c>
      <c r="D367" t="s">
        <v>1142</v>
      </c>
      <c r="E367" t="s">
        <v>77</v>
      </c>
      <c r="F367" t="s">
        <v>890</v>
      </c>
      <c r="G367" t="s">
        <v>82</v>
      </c>
      <c r="H367" t="s">
        <v>1076</v>
      </c>
      <c r="I367" t="s">
        <v>882</v>
      </c>
      <c r="J367" t="s">
        <v>35</v>
      </c>
      <c r="K367">
        <v>3550.89</v>
      </c>
      <c r="L367">
        <v>7</v>
      </c>
      <c r="M367">
        <v>0.05</v>
      </c>
      <c r="N367">
        <v>24856.23</v>
      </c>
      <c r="O367">
        <v>23613.4185</v>
      </c>
      <c r="P367" t="s">
        <v>109</v>
      </c>
      <c r="Q367" t="s">
        <v>24</v>
      </c>
      <c r="R367" t="s">
        <v>1150</v>
      </c>
    </row>
    <row r="368" spans="1:18" x14ac:dyDescent="0.3">
      <c r="A368" t="s">
        <v>829</v>
      </c>
      <c r="B368" s="6">
        <v>45301</v>
      </c>
      <c r="C368" t="s">
        <v>690</v>
      </c>
      <c r="D368" t="s">
        <v>1142</v>
      </c>
      <c r="E368" t="s">
        <v>28</v>
      </c>
      <c r="F368" t="s">
        <v>902</v>
      </c>
      <c r="G368" t="s">
        <v>34</v>
      </c>
      <c r="H368" t="s">
        <v>1078</v>
      </c>
      <c r="I368" t="s">
        <v>896</v>
      </c>
      <c r="J368" t="s">
        <v>35</v>
      </c>
      <c r="K368">
        <v>733.33</v>
      </c>
      <c r="L368">
        <v>3</v>
      </c>
      <c r="M368">
        <v>0</v>
      </c>
      <c r="N368">
        <v>2199.9900000000002</v>
      </c>
      <c r="O368">
        <v>2199.9900000000002</v>
      </c>
      <c r="P368" t="s">
        <v>822</v>
      </c>
      <c r="Q368" t="s">
        <v>17</v>
      </c>
      <c r="R368" t="s">
        <v>1150</v>
      </c>
    </row>
    <row r="369" spans="1:18" x14ac:dyDescent="0.3">
      <c r="A369" t="s">
        <v>830</v>
      </c>
      <c r="B369" s="6">
        <v>45389</v>
      </c>
      <c r="C369" t="s">
        <v>311</v>
      </c>
      <c r="D369" t="s">
        <v>1132</v>
      </c>
      <c r="E369" t="s">
        <v>81</v>
      </c>
      <c r="F369" t="s">
        <v>933</v>
      </c>
      <c r="G369" t="s">
        <v>34</v>
      </c>
      <c r="H369" t="s">
        <v>1078</v>
      </c>
      <c r="I369" t="s">
        <v>882</v>
      </c>
      <c r="J369" t="s">
        <v>15</v>
      </c>
      <c r="K369">
        <v>1044.7</v>
      </c>
      <c r="L369">
        <v>9</v>
      </c>
      <c r="M369">
        <v>0</v>
      </c>
      <c r="N369">
        <v>9402.3000000000011</v>
      </c>
      <c r="O369">
        <v>9402.3000000000011</v>
      </c>
      <c r="P369" t="s">
        <v>263</v>
      </c>
      <c r="Q369" t="s">
        <v>42</v>
      </c>
      <c r="R369" t="s">
        <v>1150</v>
      </c>
    </row>
    <row r="370" spans="1:18" x14ac:dyDescent="0.3">
      <c r="A370" t="s">
        <v>831</v>
      </c>
      <c r="B370" s="6">
        <v>45778</v>
      </c>
      <c r="C370" t="s">
        <v>71</v>
      </c>
      <c r="D370" t="s">
        <v>980</v>
      </c>
      <c r="E370" t="s">
        <v>254</v>
      </c>
      <c r="F370" t="s">
        <v>884</v>
      </c>
      <c r="G370" t="s">
        <v>21</v>
      </c>
      <c r="H370" t="s">
        <v>1073</v>
      </c>
      <c r="I370" t="s">
        <v>917</v>
      </c>
      <c r="J370" t="s">
        <v>22</v>
      </c>
      <c r="K370">
        <v>605.26</v>
      </c>
      <c r="L370">
        <v>5</v>
      </c>
      <c r="M370">
        <v>0</v>
      </c>
      <c r="N370">
        <v>3026.3</v>
      </c>
      <c r="O370">
        <v>3026.3</v>
      </c>
      <c r="P370" t="s">
        <v>165</v>
      </c>
      <c r="Q370" t="s">
        <v>42</v>
      </c>
      <c r="R370" t="s">
        <v>1150</v>
      </c>
    </row>
    <row r="371" spans="1:18" x14ac:dyDescent="0.3">
      <c r="A371" t="s">
        <v>832</v>
      </c>
      <c r="B371" s="6">
        <v>45325</v>
      </c>
      <c r="C371" t="s">
        <v>180</v>
      </c>
      <c r="D371" t="s">
        <v>1121</v>
      </c>
      <c r="E371" t="s">
        <v>161</v>
      </c>
      <c r="F371" t="s">
        <v>897</v>
      </c>
      <c r="G371" t="s">
        <v>14</v>
      </c>
      <c r="H371" t="s">
        <v>1080</v>
      </c>
      <c r="I371" t="s">
        <v>903</v>
      </c>
      <c r="J371" t="s">
        <v>73</v>
      </c>
      <c r="K371">
        <v>1513.99</v>
      </c>
      <c r="L371">
        <v>3</v>
      </c>
      <c r="M371">
        <v>0.2</v>
      </c>
      <c r="N371">
        <v>4541.97</v>
      </c>
      <c r="O371">
        <v>3633.5760000000005</v>
      </c>
      <c r="P371" t="s">
        <v>692</v>
      </c>
      <c r="Q371" t="s">
        <v>60</v>
      </c>
      <c r="R371" t="s">
        <v>1150</v>
      </c>
    </row>
    <row r="372" spans="1:18" x14ac:dyDescent="0.3">
      <c r="A372" t="s">
        <v>833</v>
      </c>
      <c r="B372" s="6">
        <v>45439</v>
      </c>
      <c r="C372" t="s">
        <v>550</v>
      </c>
      <c r="D372" t="s">
        <v>1127</v>
      </c>
      <c r="E372" t="s">
        <v>345</v>
      </c>
      <c r="F372" t="s">
        <v>886</v>
      </c>
      <c r="G372" t="s">
        <v>14</v>
      </c>
      <c r="H372" t="s">
        <v>1080</v>
      </c>
      <c r="I372" t="s">
        <v>924</v>
      </c>
      <c r="J372" t="s">
        <v>15</v>
      </c>
      <c r="K372">
        <v>1212.79</v>
      </c>
      <c r="L372">
        <v>7</v>
      </c>
      <c r="M372">
        <v>0</v>
      </c>
      <c r="N372">
        <v>8489.5299999999988</v>
      </c>
      <c r="O372">
        <v>8489.5299999999988</v>
      </c>
      <c r="P372" t="s">
        <v>834</v>
      </c>
      <c r="Q372" t="s">
        <v>42</v>
      </c>
      <c r="R372" t="s">
        <v>1150</v>
      </c>
    </row>
    <row r="373" spans="1:18" x14ac:dyDescent="0.3">
      <c r="A373" t="s">
        <v>835</v>
      </c>
      <c r="B373" s="6">
        <v>45538</v>
      </c>
      <c r="C373" t="s">
        <v>273</v>
      </c>
      <c r="D373" t="s">
        <v>1129</v>
      </c>
      <c r="E373" t="s">
        <v>44</v>
      </c>
      <c r="F373" t="s">
        <v>918</v>
      </c>
      <c r="G373" t="s">
        <v>14</v>
      </c>
      <c r="H373" t="s">
        <v>1080</v>
      </c>
      <c r="I373" t="s">
        <v>910</v>
      </c>
      <c r="J373" t="s">
        <v>22</v>
      </c>
      <c r="K373">
        <v>973.21</v>
      </c>
      <c r="L373">
        <v>10</v>
      </c>
      <c r="M373">
        <v>0.2</v>
      </c>
      <c r="N373">
        <v>9732.1</v>
      </c>
      <c r="O373">
        <v>7785.68</v>
      </c>
      <c r="P373" t="s">
        <v>93</v>
      </c>
      <c r="Q373" t="s">
        <v>30</v>
      </c>
      <c r="R373" t="s">
        <v>1150</v>
      </c>
    </row>
    <row r="374" spans="1:18" x14ac:dyDescent="0.3">
      <c r="A374" t="s">
        <v>836</v>
      </c>
      <c r="B374" s="6">
        <v>45435</v>
      </c>
      <c r="C374" t="s">
        <v>291</v>
      </c>
      <c r="D374" t="s">
        <v>1131</v>
      </c>
      <c r="E374" t="s">
        <v>20</v>
      </c>
      <c r="F374" t="s">
        <v>905</v>
      </c>
      <c r="G374" t="s">
        <v>21</v>
      </c>
      <c r="H374" t="s">
        <v>1073</v>
      </c>
      <c r="I374" t="s">
        <v>896</v>
      </c>
      <c r="J374" t="s">
        <v>73</v>
      </c>
      <c r="K374">
        <v>3772.12</v>
      </c>
      <c r="L374">
        <v>2</v>
      </c>
      <c r="M374">
        <v>0.1</v>
      </c>
      <c r="N374">
        <v>7544.24</v>
      </c>
      <c r="O374">
        <v>6789.8159999999998</v>
      </c>
      <c r="P374" t="s">
        <v>367</v>
      </c>
      <c r="Q374" t="s">
        <v>24</v>
      </c>
      <c r="R374" t="s">
        <v>1150</v>
      </c>
    </row>
    <row r="375" spans="1:18" x14ac:dyDescent="0.3">
      <c r="A375" t="s">
        <v>837</v>
      </c>
      <c r="B375" s="6">
        <v>45739</v>
      </c>
      <c r="C375" t="s">
        <v>245</v>
      </c>
      <c r="D375" t="s">
        <v>1128</v>
      </c>
      <c r="E375" t="s">
        <v>85</v>
      </c>
      <c r="F375" t="s">
        <v>927</v>
      </c>
      <c r="G375" t="s">
        <v>45</v>
      </c>
      <c r="H375" t="s">
        <v>1096</v>
      </c>
      <c r="I375" t="s">
        <v>931</v>
      </c>
      <c r="J375" t="s">
        <v>22</v>
      </c>
      <c r="K375">
        <v>3457.28</v>
      </c>
      <c r="L375">
        <v>4</v>
      </c>
      <c r="M375">
        <v>0.2</v>
      </c>
      <c r="N375">
        <v>13829.12</v>
      </c>
      <c r="O375">
        <v>11063.296000000002</v>
      </c>
      <c r="P375" t="s">
        <v>261</v>
      </c>
      <c r="Q375" t="s">
        <v>42</v>
      </c>
      <c r="R375" t="s">
        <v>1150</v>
      </c>
    </row>
    <row r="376" spans="1:18" x14ac:dyDescent="0.3">
      <c r="A376" t="s">
        <v>838</v>
      </c>
      <c r="B376" s="6">
        <v>45698</v>
      </c>
      <c r="C376" t="s">
        <v>124</v>
      </c>
      <c r="D376" t="s">
        <v>1112</v>
      </c>
      <c r="E376" t="s">
        <v>121</v>
      </c>
      <c r="F376" t="s">
        <v>911</v>
      </c>
      <c r="G376" t="s">
        <v>34</v>
      </c>
      <c r="H376" t="s">
        <v>1078</v>
      </c>
      <c r="I376" t="s">
        <v>903</v>
      </c>
      <c r="J376" t="s">
        <v>35</v>
      </c>
      <c r="K376">
        <v>3414.07</v>
      </c>
      <c r="L376">
        <v>6</v>
      </c>
      <c r="M376">
        <v>0</v>
      </c>
      <c r="N376">
        <v>20484.420000000002</v>
      </c>
      <c r="O376">
        <v>20484.420000000002</v>
      </c>
      <c r="P376" t="s">
        <v>784</v>
      </c>
      <c r="Q376" t="s">
        <v>30</v>
      </c>
      <c r="R376" t="s">
        <v>1150</v>
      </c>
    </row>
    <row r="377" spans="1:18" x14ac:dyDescent="0.3">
      <c r="A377" t="s">
        <v>839</v>
      </c>
      <c r="B377" s="6">
        <v>45525</v>
      </c>
      <c r="C377" t="s">
        <v>187</v>
      </c>
      <c r="D377" t="s">
        <v>1122</v>
      </c>
      <c r="E377" t="s">
        <v>20</v>
      </c>
      <c r="F377" t="s">
        <v>899</v>
      </c>
      <c r="G377" t="s">
        <v>45</v>
      </c>
      <c r="H377" t="s">
        <v>1096</v>
      </c>
      <c r="I377" t="s">
        <v>896</v>
      </c>
      <c r="J377" t="s">
        <v>35</v>
      </c>
      <c r="K377">
        <v>3772.12</v>
      </c>
      <c r="L377">
        <v>6</v>
      </c>
      <c r="M377">
        <v>0.1</v>
      </c>
      <c r="N377">
        <v>22632.720000000001</v>
      </c>
      <c r="O377">
        <v>20369.448</v>
      </c>
      <c r="P377" t="s">
        <v>840</v>
      </c>
      <c r="Q377" t="s">
        <v>60</v>
      </c>
      <c r="R377" t="s">
        <v>1150</v>
      </c>
    </row>
    <row r="378" spans="1:18" x14ac:dyDescent="0.3">
      <c r="A378" t="s">
        <v>841</v>
      </c>
      <c r="B378" s="6">
        <v>45681</v>
      </c>
      <c r="C378" t="s">
        <v>141</v>
      </c>
      <c r="D378" t="s">
        <v>1115</v>
      </c>
      <c r="E378" t="s">
        <v>90</v>
      </c>
      <c r="F378" t="s">
        <v>934</v>
      </c>
      <c r="G378" t="s">
        <v>45</v>
      </c>
      <c r="H378" t="s">
        <v>1096</v>
      </c>
      <c r="I378" t="s">
        <v>903</v>
      </c>
      <c r="J378" t="s">
        <v>22</v>
      </c>
      <c r="K378">
        <v>928.72</v>
      </c>
      <c r="L378">
        <v>2</v>
      </c>
      <c r="M378">
        <v>0.2</v>
      </c>
      <c r="N378">
        <v>1857.44</v>
      </c>
      <c r="O378">
        <v>1485.9520000000002</v>
      </c>
      <c r="P378" t="s">
        <v>343</v>
      </c>
      <c r="Q378" t="s">
        <v>60</v>
      </c>
      <c r="R378" t="s">
        <v>1150</v>
      </c>
    </row>
    <row r="379" spans="1:18" x14ac:dyDescent="0.3">
      <c r="A379" t="s">
        <v>842</v>
      </c>
      <c r="B379" s="6">
        <v>45367</v>
      </c>
      <c r="C379" t="s">
        <v>279</v>
      </c>
      <c r="D379" t="s">
        <v>1130</v>
      </c>
      <c r="E379" t="s">
        <v>106</v>
      </c>
      <c r="F379" t="s">
        <v>906</v>
      </c>
      <c r="G379" t="s">
        <v>45</v>
      </c>
      <c r="H379" t="s">
        <v>1096</v>
      </c>
      <c r="I379" t="s">
        <v>889</v>
      </c>
      <c r="J379" t="s">
        <v>35</v>
      </c>
      <c r="K379">
        <v>1559.65</v>
      </c>
      <c r="L379">
        <v>2</v>
      </c>
      <c r="M379">
        <v>0</v>
      </c>
      <c r="N379">
        <v>3119.3</v>
      </c>
      <c r="O379">
        <v>3119.3</v>
      </c>
      <c r="P379" t="s">
        <v>282</v>
      </c>
      <c r="Q379" t="s">
        <v>60</v>
      </c>
      <c r="R379" t="s">
        <v>1150</v>
      </c>
    </row>
    <row r="380" spans="1:18" x14ac:dyDescent="0.3">
      <c r="A380" t="s">
        <v>843</v>
      </c>
      <c r="B380" s="6">
        <v>45690</v>
      </c>
      <c r="C380" t="s">
        <v>209</v>
      </c>
      <c r="D380" t="s">
        <v>966</v>
      </c>
      <c r="E380" t="s">
        <v>99</v>
      </c>
      <c r="F380" t="s">
        <v>899</v>
      </c>
      <c r="G380" t="s">
        <v>34</v>
      </c>
      <c r="H380" t="s">
        <v>1078</v>
      </c>
      <c r="I380" t="s">
        <v>882</v>
      </c>
      <c r="J380" t="s">
        <v>73</v>
      </c>
      <c r="K380">
        <v>2352.63</v>
      </c>
      <c r="L380">
        <v>6</v>
      </c>
      <c r="M380">
        <v>0</v>
      </c>
      <c r="N380">
        <v>14115.78</v>
      </c>
      <c r="O380">
        <v>14115.78</v>
      </c>
      <c r="P380" t="s">
        <v>845</v>
      </c>
      <c r="Q380" t="s">
        <v>24</v>
      </c>
      <c r="R380" t="s">
        <v>1150</v>
      </c>
    </row>
    <row r="381" spans="1:18" x14ac:dyDescent="0.3">
      <c r="A381" t="s">
        <v>846</v>
      </c>
      <c r="B381" s="6">
        <v>45607</v>
      </c>
      <c r="C381" t="s">
        <v>547</v>
      </c>
      <c r="D381" t="s">
        <v>1139</v>
      </c>
      <c r="E381" t="s">
        <v>111</v>
      </c>
      <c r="F381" t="s">
        <v>902</v>
      </c>
      <c r="G381" t="s">
        <v>21</v>
      </c>
      <c r="H381" t="s">
        <v>1073</v>
      </c>
      <c r="I381" t="s">
        <v>924</v>
      </c>
      <c r="J381" t="s">
        <v>73</v>
      </c>
      <c r="K381">
        <v>4390.62</v>
      </c>
      <c r="L381">
        <v>8</v>
      </c>
      <c r="M381">
        <v>0</v>
      </c>
      <c r="N381">
        <v>35124.959999999999</v>
      </c>
      <c r="O381">
        <v>35124.959999999999</v>
      </c>
      <c r="P381" t="s">
        <v>504</v>
      </c>
      <c r="Q381" t="s">
        <v>60</v>
      </c>
      <c r="R381" t="s">
        <v>1150</v>
      </c>
    </row>
    <row r="382" spans="1:18" x14ac:dyDescent="0.3">
      <c r="A382" t="s">
        <v>848</v>
      </c>
      <c r="B382" s="6">
        <v>45381</v>
      </c>
      <c r="C382" t="s">
        <v>12</v>
      </c>
      <c r="D382" t="s">
        <v>1103</v>
      </c>
      <c r="E382" t="s">
        <v>94</v>
      </c>
      <c r="F382" t="s">
        <v>894</v>
      </c>
      <c r="G382" t="s">
        <v>45</v>
      </c>
      <c r="H382" t="s">
        <v>1096</v>
      </c>
      <c r="I382" t="s">
        <v>931</v>
      </c>
      <c r="J382" t="s">
        <v>35</v>
      </c>
      <c r="K382">
        <v>3610.44</v>
      </c>
      <c r="L382">
        <v>3</v>
      </c>
      <c r="M382">
        <v>0.05</v>
      </c>
      <c r="N382">
        <v>10831.32</v>
      </c>
      <c r="O382">
        <v>10289.753999999999</v>
      </c>
      <c r="P382" t="s">
        <v>459</v>
      </c>
      <c r="Q382" t="s">
        <v>24</v>
      </c>
      <c r="R382" t="s">
        <v>1150</v>
      </c>
    </row>
    <row r="383" spans="1:18" x14ac:dyDescent="0.3">
      <c r="A383" t="s">
        <v>849</v>
      </c>
      <c r="B383" s="6">
        <v>45318</v>
      </c>
      <c r="C383" t="s">
        <v>80</v>
      </c>
      <c r="D383" t="s">
        <v>1109</v>
      </c>
      <c r="E383" t="s">
        <v>90</v>
      </c>
      <c r="F383" t="s">
        <v>881</v>
      </c>
      <c r="G383" t="s">
        <v>45</v>
      </c>
      <c r="H383" t="s">
        <v>1096</v>
      </c>
      <c r="I383" t="s">
        <v>903</v>
      </c>
      <c r="J383" t="s">
        <v>73</v>
      </c>
      <c r="K383">
        <v>928.72</v>
      </c>
      <c r="L383">
        <v>2</v>
      </c>
      <c r="M383">
        <v>0</v>
      </c>
      <c r="N383">
        <v>1857.44</v>
      </c>
      <c r="O383">
        <v>1857.44</v>
      </c>
      <c r="P383" t="s">
        <v>200</v>
      </c>
      <c r="Q383" t="s">
        <v>42</v>
      </c>
      <c r="R383" t="s">
        <v>1150</v>
      </c>
    </row>
    <row r="384" spans="1:18" x14ac:dyDescent="0.3">
      <c r="A384" t="s">
        <v>850</v>
      </c>
      <c r="B384" s="6">
        <v>45624</v>
      </c>
      <c r="C384" t="s">
        <v>502</v>
      </c>
      <c r="D384" t="s">
        <v>1138</v>
      </c>
      <c r="E384" t="s">
        <v>116</v>
      </c>
      <c r="F384" t="s">
        <v>929</v>
      </c>
      <c r="G384" t="s">
        <v>82</v>
      </c>
      <c r="H384" t="s">
        <v>1076</v>
      </c>
      <c r="I384" t="s">
        <v>889</v>
      </c>
      <c r="J384" t="s">
        <v>35</v>
      </c>
      <c r="K384">
        <v>1156.02</v>
      </c>
      <c r="L384">
        <v>7</v>
      </c>
      <c r="M384">
        <v>0</v>
      </c>
      <c r="N384">
        <v>8092.1399999999994</v>
      </c>
      <c r="O384">
        <v>8092.1399999999994</v>
      </c>
      <c r="P384" t="s">
        <v>51</v>
      </c>
      <c r="Q384" t="s">
        <v>30</v>
      </c>
      <c r="R384" t="s">
        <v>1150</v>
      </c>
    </row>
    <row r="385" spans="1:18" x14ac:dyDescent="0.3">
      <c r="A385" t="s">
        <v>851</v>
      </c>
      <c r="B385" s="6">
        <v>45378</v>
      </c>
      <c r="C385" t="s">
        <v>190</v>
      </c>
      <c r="D385" t="s">
        <v>1119</v>
      </c>
      <c r="E385" t="s">
        <v>72</v>
      </c>
      <c r="F385" t="s">
        <v>935</v>
      </c>
      <c r="G385" t="s">
        <v>14</v>
      </c>
      <c r="H385" t="s">
        <v>1080</v>
      </c>
      <c r="I385" t="s">
        <v>917</v>
      </c>
      <c r="J385" t="s">
        <v>15</v>
      </c>
      <c r="K385">
        <v>2316.1999999999998</v>
      </c>
      <c r="L385">
        <v>9</v>
      </c>
      <c r="M385">
        <v>0</v>
      </c>
      <c r="N385">
        <v>20845.8</v>
      </c>
      <c r="O385">
        <v>20845.8</v>
      </c>
      <c r="P385" t="s">
        <v>852</v>
      </c>
      <c r="Q385" t="s">
        <v>30</v>
      </c>
      <c r="R385" t="s">
        <v>1150</v>
      </c>
    </row>
    <row r="386" spans="1:18" x14ac:dyDescent="0.3">
      <c r="A386" t="s">
        <v>853</v>
      </c>
      <c r="B386" s="6">
        <v>45465</v>
      </c>
      <c r="C386" t="s">
        <v>202</v>
      </c>
      <c r="D386" t="s">
        <v>1124</v>
      </c>
      <c r="E386" t="s">
        <v>44</v>
      </c>
      <c r="F386" t="s">
        <v>902</v>
      </c>
      <c r="G386" t="s">
        <v>45</v>
      </c>
      <c r="H386" t="s">
        <v>1096</v>
      </c>
      <c r="I386" t="s">
        <v>910</v>
      </c>
      <c r="J386" t="s">
        <v>22</v>
      </c>
      <c r="K386">
        <v>973.21</v>
      </c>
      <c r="L386">
        <v>3</v>
      </c>
      <c r="M386">
        <v>0</v>
      </c>
      <c r="N386">
        <v>2919.63</v>
      </c>
      <c r="O386">
        <v>2919.63</v>
      </c>
      <c r="P386" t="s">
        <v>38</v>
      </c>
      <c r="Q386" t="s">
        <v>30</v>
      </c>
      <c r="R386" t="s">
        <v>1150</v>
      </c>
    </row>
    <row r="387" spans="1:18" x14ac:dyDescent="0.3">
      <c r="A387" t="s">
        <v>854</v>
      </c>
      <c r="B387" s="6">
        <v>45441</v>
      </c>
      <c r="C387" t="s">
        <v>253</v>
      </c>
      <c r="D387" t="s">
        <v>1044</v>
      </c>
      <c r="E387" t="s">
        <v>260</v>
      </c>
      <c r="F387" t="s">
        <v>892</v>
      </c>
      <c r="G387" t="s">
        <v>34</v>
      </c>
      <c r="H387" t="s">
        <v>1078</v>
      </c>
      <c r="I387" t="s">
        <v>896</v>
      </c>
      <c r="J387" t="s">
        <v>22</v>
      </c>
      <c r="K387">
        <v>3981.64</v>
      </c>
      <c r="L387">
        <v>2</v>
      </c>
      <c r="M387">
        <v>0</v>
      </c>
      <c r="N387">
        <v>7963.28</v>
      </c>
      <c r="O387">
        <v>7963.28</v>
      </c>
      <c r="P387" t="s">
        <v>368</v>
      </c>
      <c r="Q387" t="s">
        <v>30</v>
      </c>
      <c r="R387" t="s">
        <v>1150</v>
      </c>
    </row>
    <row r="388" spans="1:18" x14ac:dyDescent="0.3">
      <c r="A388" t="s">
        <v>855</v>
      </c>
      <c r="B388" s="6">
        <v>45598</v>
      </c>
      <c r="C388" t="s">
        <v>403</v>
      </c>
      <c r="D388" t="s">
        <v>1135</v>
      </c>
      <c r="E388" t="s">
        <v>164</v>
      </c>
      <c r="F388" t="s">
        <v>919</v>
      </c>
      <c r="G388" t="s">
        <v>82</v>
      </c>
      <c r="H388" t="s">
        <v>1076</v>
      </c>
      <c r="I388" t="s">
        <v>917</v>
      </c>
      <c r="J388" t="s">
        <v>22</v>
      </c>
      <c r="K388">
        <v>2489.91</v>
      </c>
      <c r="L388">
        <v>8</v>
      </c>
      <c r="M388">
        <v>0.2</v>
      </c>
      <c r="N388">
        <v>19919.28</v>
      </c>
      <c r="O388">
        <v>15935.423999999999</v>
      </c>
      <c r="P388" t="s">
        <v>496</v>
      </c>
      <c r="Q388" t="s">
        <v>17</v>
      </c>
      <c r="R388" t="s">
        <v>1150</v>
      </c>
    </row>
    <row r="389" spans="1:18" x14ac:dyDescent="0.3">
      <c r="A389" t="s">
        <v>856</v>
      </c>
      <c r="B389" s="6">
        <v>45544</v>
      </c>
      <c r="C389" t="s">
        <v>120</v>
      </c>
      <c r="D389" t="s">
        <v>993</v>
      </c>
      <c r="E389" t="s">
        <v>77</v>
      </c>
      <c r="F389" t="s">
        <v>911</v>
      </c>
      <c r="G389" t="s">
        <v>45</v>
      </c>
      <c r="H389" t="s">
        <v>1096</v>
      </c>
      <c r="I389" t="s">
        <v>882</v>
      </c>
      <c r="J389" t="s">
        <v>15</v>
      </c>
      <c r="K389">
        <v>3550.89</v>
      </c>
      <c r="L389">
        <v>8</v>
      </c>
      <c r="M389">
        <v>0.1</v>
      </c>
      <c r="N389">
        <v>28407.119999999999</v>
      </c>
      <c r="O389">
        <v>25566.407999999999</v>
      </c>
      <c r="P389" t="s">
        <v>95</v>
      </c>
      <c r="Q389" t="s">
        <v>30</v>
      </c>
      <c r="R389" t="s">
        <v>1150</v>
      </c>
    </row>
    <row r="390" spans="1:18" x14ac:dyDescent="0.3">
      <c r="A390" t="s">
        <v>857</v>
      </c>
      <c r="B390" s="6">
        <v>45401</v>
      </c>
      <c r="C390" t="s">
        <v>66</v>
      </c>
      <c r="D390" t="s">
        <v>1108</v>
      </c>
      <c r="E390" t="s">
        <v>125</v>
      </c>
      <c r="F390" t="s">
        <v>895</v>
      </c>
      <c r="G390" t="s">
        <v>34</v>
      </c>
      <c r="H390" t="s">
        <v>1078</v>
      </c>
      <c r="I390" t="s">
        <v>931</v>
      </c>
      <c r="J390" t="s">
        <v>35</v>
      </c>
      <c r="K390">
        <v>2458.91</v>
      </c>
      <c r="L390">
        <v>3</v>
      </c>
      <c r="M390">
        <v>0</v>
      </c>
      <c r="N390">
        <v>7376.73</v>
      </c>
      <c r="O390">
        <v>7376.73</v>
      </c>
      <c r="P390" t="s">
        <v>412</v>
      </c>
      <c r="Q390" t="s">
        <v>17</v>
      </c>
      <c r="R390" t="s">
        <v>1150</v>
      </c>
    </row>
    <row r="391" spans="1:18" x14ac:dyDescent="0.3">
      <c r="A391" t="s">
        <v>858</v>
      </c>
      <c r="B391" s="6">
        <v>45681</v>
      </c>
      <c r="C391" t="s">
        <v>110</v>
      </c>
      <c r="D391" t="s">
        <v>983</v>
      </c>
      <c r="E391" t="s">
        <v>240</v>
      </c>
      <c r="F391" t="s">
        <v>922</v>
      </c>
      <c r="G391" t="s">
        <v>45</v>
      </c>
      <c r="H391" t="s">
        <v>1096</v>
      </c>
      <c r="I391" t="s">
        <v>917</v>
      </c>
      <c r="J391" t="s">
        <v>35</v>
      </c>
      <c r="K391">
        <v>2036.67</v>
      </c>
      <c r="L391">
        <v>6</v>
      </c>
      <c r="M391">
        <v>0.05</v>
      </c>
      <c r="N391">
        <v>12220.02</v>
      </c>
      <c r="O391">
        <v>11609.019</v>
      </c>
      <c r="P391" t="s">
        <v>859</v>
      </c>
      <c r="Q391" t="s">
        <v>42</v>
      </c>
      <c r="R391" t="s">
        <v>1150</v>
      </c>
    </row>
    <row r="392" spans="1:18" x14ac:dyDescent="0.3">
      <c r="A392" t="s">
        <v>860</v>
      </c>
      <c r="B392" s="6">
        <v>45431</v>
      </c>
      <c r="C392" t="s">
        <v>273</v>
      </c>
      <c r="D392" t="s">
        <v>1129</v>
      </c>
      <c r="E392" t="s">
        <v>13</v>
      </c>
      <c r="F392" t="s">
        <v>884</v>
      </c>
      <c r="G392" t="s">
        <v>14</v>
      </c>
      <c r="H392" t="s">
        <v>1080</v>
      </c>
      <c r="I392" t="s">
        <v>910</v>
      </c>
      <c r="J392" t="s">
        <v>15</v>
      </c>
      <c r="K392">
        <v>3493.54</v>
      </c>
      <c r="L392">
        <v>5</v>
      </c>
      <c r="M392">
        <v>0</v>
      </c>
      <c r="N392">
        <v>17467.7</v>
      </c>
      <c r="O392">
        <v>17467.7</v>
      </c>
      <c r="P392" t="s">
        <v>367</v>
      </c>
      <c r="Q392" t="s">
        <v>30</v>
      </c>
      <c r="R392" t="s">
        <v>1150</v>
      </c>
    </row>
    <row r="393" spans="1:18" x14ac:dyDescent="0.3">
      <c r="A393" t="s">
        <v>861</v>
      </c>
      <c r="B393" s="6">
        <v>45613</v>
      </c>
      <c r="C393" t="s">
        <v>137</v>
      </c>
      <c r="D393" t="s">
        <v>1114</v>
      </c>
      <c r="E393" t="s">
        <v>13</v>
      </c>
      <c r="F393" t="s">
        <v>930</v>
      </c>
      <c r="G393" t="s">
        <v>82</v>
      </c>
      <c r="H393" t="s">
        <v>1076</v>
      </c>
      <c r="I393" t="s">
        <v>910</v>
      </c>
      <c r="J393" t="s">
        <v>22</v>
      </c>
      <c r="K393">
        <v>3493.54</v>
      </c>
      <c r="L393">
        <v>3</v>
      </c>
      <c r="M393">
        <v>0.05</v>
      </c>
      <c r="N393">
        <v>10480.619999999999</v>
      </c>
      <c r="O393">
        <v>9956.5889999999981</v>
      </c>
      <c r="P393" t="s">
        <v>862</v>
      </c>
      <c r="Q393" t="s">
        <v>30</v>
      </c>
      <c r="R393" t="s">
        <v>1150</v>
      </c>
    </row>
    <row r="394" spans="1:18" x14ac:dyDescent="0.3">
      <c r="A394" t="s">
        <v>863</v>
      </c>
      <c r="B394" s="6">
        <v>45540</v>
      </c>
      <c r="C394" t="s">
        <v>120</v>
      </c>
      <c r="D394" t="s">
        <v>993</v>
      </c>
      <c r="E394" t="s">
        <v>33</v>
      </c>
      <c r="F394" t="s">
        <v>920</v>
      </c>
      <c r="G394" t="s">
        <v>21</v>
      </c>
      <c r="H394" t="s">
        <v>1073</v>
      </c>
      <c r="I394" t="s">
        <v>931</v>
      </c>
      <c r="J394" t="s">
        <v>35</v>
      </c>
      <c r="K394">
        <v>620.89</v>
      </c>
      <c r="L394">
        <v>6</v>
      </c>
      <c r="M394">
        <v>0.05</v>
      </c>
      <c r="N394">
        <v>3725.34</v>
      </c>
      <c r="O394">
        <v>3539.0729999999999</v>
      </c>
      <c r="P394" t="s">
        <v>93</v>
      </c>
      <c r="Q394" t="s">
        <v>17</v>
      </c>
      <c r="R394" t="s">
        <v>1150</v>
      </c>
    </row>
    <row r="395" spans="1:18" x14ac:dyDescent="0.3">
      <c r="A395" t="s">
        <v>864</v>
      </c>
      <c r="B395" s="6">
        <v>45408</v>
      </c>
      <c r="C395" t="s">
        <v>202</v>
      </c>
      <c r="D395" t="s">
        <v>1124</v>
      </c>
      <c r="E395" t="s">
        <v>40</v>
      </c>
      <c r="F395" t="s">
        <v>913</v>
      </c>
      <c r="G395" t="s">
        <v>21</v>
      </c>
      <c r="H395" t="s">
        <v>1073</v>
      </c>
      <c r="I395" t="s">
        <v>924</v>
      </c>
      <c r="J395" t="s">
        <v>15</v>
      </c>
      <c r="K395">
        <v>136.91</v>
      </c>
      <c r="L395">
        <v>10</v>
      </c>
      <c r="M395">
        <v>0</v>
      </c>
      <c r="N395">
        <v>1369.1</v>
      </c>
      <c r="O395">
        <v>1369.1</v>
      </c>
      <c r="P395" t="s">
        <v>409</v>
      </c>
      <c r="Q395" t="s">
        <v>42</v>
      </c>
      <c r="R395" t="s">
        <v>1150</v>
      </c>
    </row>
    <row r="396" spans="1:18" x14ac:dyDescent="0.3">
      <c r="A396" t="s">
        <v>865</v>
      </c>
      <c r="B396" s="6">
        <v>45319</v>
      </c>
      <c r="C396" t="s">
        <v>12</v>
      </c>
      <c r="D396" t="s">
        <v>1103</v>
      </c>
      <c r="E396" t="s">
        <v>13</v>
      </c>
      <c r="F396" t="s">
        <v>913</v>
      </c>
      <c r="G396" t="s">
        <v>14</v>
      </c>
      <c r="H396" t="s">
        <v>1080</v>
      </c>
      <c r="I396" t="s">
        <v>910</v>
      </c>
      <c r="J396" t="s">
        <v>35</v>
      </c>
      <c r="K396">
        <v>3493.54</v>
      </c>
      <c r="L396">
        <v>8</v>
      </c>
      <c r="M396">
        <v>0.15</v>
      </c>
      <c r="N396">
        <v>27948.32</v>
      </c>
      <c r="O396">
        <v>23756.072</v>
      </c>
      <c r="P396" t="s">
        <v>447</v>
      </c>
      <c r="Q396" t="s">
        <v>17</v>
      </c>
      <c r="R396" t="s">
        <v>1150</v>
      </c>
    </row>
    <row r="397" spans="1:18" x14ac:dyDescent="0.3">
      <c r="A397" t="s">
        <v>866</v>
      </c>
      <c r="B397" s="6">
        <v>45362</v>
      </c>
      <c r="C397" t="s">
        <v>462</v>
      </c>
      <c r="D397" t="s">
        <v>1137</v>
      </c>
      <c r="E397" t="s">
        <v>67</v>
      </c>
      <c r="F397" t="s">
        <v>932</v>
      </c>
      <c r="G397" t="s">
        <v>45</v>
      </c>
      <c r="H397" t="s">
        <v>1096</v>
      </c>
      <c r="I397" t="s">
        <v>924</v>
      </c>
      <c r="J397" t="s">
        <v>15</v>
      </c>
      <c r="K397">
        <v>3205.14</v>
      </c>
      <c r="L397">
        <v>7</v>
      </c>
      <c r="M397">
        <v>0.15</v>
      </c>
      <c r="N397">
        <v>22435.98</v>
      </c>
      <c r="O397">
        <v>19070.582999999999</v>
      </c>
      <c r="P397" t="s">
        <v>282</v>
      </c>
      <c r="Q397" t="s">
        <v>17</v>
      </c>
      <c r="R397" t="s">
        <v>1150</v>
      </c>
    </row>
    <row r="398" spans="1:18" x14ac:dyDescent="0.3">
      <c r="A398" t="s">
        <v>867</v>
      </c>
      <c r="B398" s="6">
        <v>45539</v>
      </c>
      <c r="C398" t="s">
        <v>403</v>
      </c>
      <c r="D398" t="s">
        <v>1135</v>
      </c>
      <c r="E398" t="s">
        <v>196</v>
      </c>
      <c r="F398" t="s">
        <v>928</v>
      </c>
      <c r="G398" t="s">
        <v>14</v>
      </c>
      <c r="H398" t="s">
        <v>1080</v>
      </c>
      <c r="I398" t="s">
        <v>882</v>
      </c>
      <c r="J398" t="s">
        <v>35</v>
      </c>
      <c r="K398">
        <v>2184.5100000000002</v>
      </c>
      <c r="L398">
        <v>5</v>
      </c>
      <c r="M398">
        <v>0.15</v>
      </c>
      <c r="N398">
        <v>10922.550000000001</v>
      </c>
      <c r="O398">
        <v>9284.1675000000014</v>
      </c>
      <c r="P398" t="s">
        <v>705</v>
      </c>
      <c r="Q398" t="s">
        <v>30</v>
      </c>
      <c r="R398" t="s">
        <v>1150</v>
      </c>
    </row>
    <row r="399" spans="1:18" x14ac:dyDescent="0.3">
      <c r="A399" t="s">
        <v>868</v>
      </c>
      <c r="B399" s="6">
        <v>45367</v>
      </c>
      <c r="C399" t="s">
        <v>279</v>
      </c>
      <c r="D399" t="s">
        <v>1130</v>
      </c>
      <c r="E399" t="s">
        <v>116</v>
      </c>
      <c r="F399" t="s">
        <v>913</v>
      </c>
      <c r="G399" t="s">
        <v>14</v>
      </c>
      <c r="H399" t="s">
        <v>1080</v>
      </c>
      <c r="I399" t="s">
        <v>889</v>
      </c>
      <c r="J399" t="s">
        <v>35</v>
      </c>
      <c r="K399">
        <v>1156.02</v>
      </c>
      <c r="L399">
        <v>8</v>
      </c>
      <c r="M399">
        <v>0.1</v>
      </c>
      <c r="N399">
        <v>9248.16</v>
      </c>
      <c r="O399">
        <v>8323.344000000001</v>
      </c>
      <c r="P399" t="s">
        <v>760</v>
      </c>
      <c r="Q399" t="s">
        <v>42</v>
      </c>
      <c r="R399" t="s">
        <v>1150</v>
      </c>
    </row>
    <row r="400" spans="1:18" x14ac:dyDescent="0.3">
      <c r="A400" t="s">
        <v>869</v>
      </c>
      <c r="B400" s="6">
        <v>45810</v>
      </c>
      <c r="C400" t="s">
        <v>66</v>
      </c>
      <c r="D400" t="s">
        <v>1108</v>
      </c>
      <c r="E400" t="s">
        <v>226</v>
      </c>
      <c r="F400" t="s">
        <v>925</v>
      </c>
      <c r="G400" t="s">
        <v>14</v>
      </c>
      <c r="H400" t="s">
        <v>1080</v>
      </c>
      <c r="I400" t="s">
        <v>903</v>
      </c>
      <c r="J400" t="s">
        <v>22</v>
      </c>
      <c r="K400">
        <v>2359.5</v>
      </c>
      <c r="L400">
        <v>0</v>
      </c>
      <c r="M400">
        <v>0.1</v>
      </c>
      <c r="N400">
        <v>0</v>
      </c>
      <c r="O400">
        <v>0</v>
      </c>
      <c r="P400" t="s">
        <v>525</v>
      </c>
      <c r="Q400" t="s">
        <v>42</v>
      </c>
      <c r="R400" t="s">
        <v>1151</v>
      </c>
    </row>
    <row r="401" spans="1:18" x14ac:dyDescent="0.3">
      <c r="A401" t="s">
        <v>870</v>
      </c>
      <c r="B401" s="6">
        <v>45379</v>
      </c>
      <c r="C401" t="s">
        <v>19</v>
      </c>
      <c r="D401" t="s">
        <v>1104</v>
      </c>
      <c r="E401" t="s">
        <v>345</v>
      </c>
      <c r="F401" t="s">
        <v>885</v>
      </c>
      <c r="G401" t="s">
        <v>34</v>
      </c>
      <c r="H401" t="s">
        <v>1078</v>
      </c>
      <c r="I401" t="s">
        <v>924</v>
      </c>
      <c r="J401" t="s">
        <v>22</v>
      </c>
      <c r="K401">
        <v>1212.79</v>
      </c>
      <c r="L401">
        <v>2</v>
      </c>
      <c r="M401">
        <v>0.2</v>
      </c>
      <c r="N401">
        <v>2425.58</v>
      </c>
      <c r="O401">
        <v>1940.4639999999999</v>
      </c>
      <c r="P401" t="s">
        <v>871</v>
      </c>
      <c r="Q401" t="s">
        <v>60</v>
      </c>
      <c r="R401" t="s">
        <v>1150</v>
      </c>
    </row>
    <row r="402" spans="1:18" x14ac:dyDescent="0.3">
      <c r="A402" t="s">
        <v>872</v>
      </c>
      <c r="B402" s="6">
        <v>45337</v>
      </c>
      <c r="C402" t="s">
        <v>690</v>
      </c>
      <c r="D402" t="s">
        <v>1142</v>
      </c>
      <c r="E402" t="s">
        <v>316</v>
      </c>
      <c r="F402" t="s">
        <v>892</v>
      </c>
      <c r="G402" t="s">
        <v>21</v>
      </c>
      <c r="H402" t="s">
        <v>1073</v>
      </c>
      <c r="I402" t="s">
        <v>903</v>
      </c>
      <c r="J402" t="s">
        <v>22</v>
      </c>
      <c r="K402">
        <v>2405.98</v>
      </c>
      <c r="L402">
        <v>10</v>
      </c>
      <c r="M402">
        <v>0.15</v>
      </c>
      <c r="N402">
        <v>24059.8</v>
      </c>
      <c r="O402">
        <v>20450.829999999998</v>
      </c>
      <c r="P402" t="s">
        <v>815</v>
      </c>
      <c r="Q402" t="s">
        <v>30</v>
      </c>
      <c r="R402" t="s">
        <v>1150</v>
      </c>
    </row>
    <row r="403" spans="1:18" x14ac:dyDescent="0.3">
      <c r="A403" t="s">
        <v>873</v>
      </c>
      <c r="B403" s="6">
        <v>45400</v>
      </c>
      <c r="C403" t="s">
        <v>218</v>
      </c>
      <c r="D403" t="s">
        <v>1003</v>
      </c>
      <c r="E403" t="s">
        <v>116</v>
      </c>
      <c r="F403" t="s">
        <v>904</v>
      </c>
      <c r="G403" t="s">
        <v>21</v>
      </c>
      <c r="H403" t="s">
        <v>1073</v>
      </c>
      <c r="I403" t="s">
        <v>889</v>
      </c>
      <c r="J403" t="s">
        <v>15</v>
      </c>
      <c r="K403">
        <v>1156.02</v>
      </c>
      <c r="L403">
        <v>1</v>
      </c>
      <c r="M403">
        <v>0</v>
      </c>
      <c r="N403">
        <v>1156.02</v>
      </c>
      <c r="O403">
        <v>1156.02</v>
      </c>
      <c r="P403" t="s">
        <v>874</v>
      </c>
      <c r="Q403" t="s">
        <v>42</v>
      </c>
      <c r="R403" t="s">
        <v>1150</v>
      </c>
    </row>
    <row r="404" spans="1:18" x14ac:dyDescent="0.3">
      <c r="A404" t="s">
        <v>1156</v>
      </c>
      <c r="B404" s="6">
        <v>45400</v>
      </c>
      <c r="C404" t="s">
        <v>218</v>
      </c>
      <c r="D404" t="s">
        <v>1003</v>
      </c>
      <c r="E404" t="s">
        <v>116</v>
      </c>
      <c r="F404" t="s">
        <v>907</v>
      </c>
      <c r="G404" t="s">
        <v>21</v>
      </c>
      <c r="H404" t="s">
        <v>1073</v>
      </c>
      <c r="I404" t="s">
        <v>889</v>
      </c>
      <c r="J404" t="s">
        <v>15</v>
      </c>
      <c r="K404">
        <v>1156.02</v>
      </c>
      <c r="L404">
        <v>1</v>
      </c>
      <c r="M404">
        <v>0</v>
      </c>
      <c r="N404">
        <v>1156.02</v>
      </c>
      <c r="O404">
        <v>1156.02</v>
      </c>
      <c r="P404" t="s">
        <v>874</v>
      </c>
      <c r="Q404" t="s">
        <v>42</v>
      </c>
      <c r="R404" t="s">
        <v>1150</v>
      </c>
    </row>
    <row r="405" spans="1:18" x14ac:dyDescent="0.3">
      <c r="A405" t="s">
        <v>875</v>
      </c>
      <c r="B405" s="6">
        <v>45823</v>
      </c>
      <c r="C405" t="s">
        <v>476</v>
      </c>
      <c r="D405" t="s">
        <v>983</v>
      </c>
      <c r="E405" t="s">
        <v>454</v>
      </c>
      <c r="F405" t="s">
        <v>927</v>
      </c>
      <c r="G405" t="s">
        <v>14</v>
      </c>
      <c r="H405" t="s">
        <v>1080</v>
      </c>
      <c r="I405" t="s">
        <v>917</v>
      </c>
      <c r="J405" t="s">
        <v>15</v>
      </c>
      <c r="K405">
        <v>1253.57</v>
      </c>
      <c r="L405">
        <v>9</v>
      </c>
      <c r="M405">
        <v>0.1</v>
      </c>
      <c r="N405">
        <v>11282.13</v>
      </c>
      <c r="O405">
        <v>10153.916999999999</v>
      </c>
      <c r="P405" t="s">
        <v>538</v>
      </c>
      <c r="Q405" t="s">
        <v>30</v>
      </c>
      <c r="R405" t="s">
        <v>1150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pane ySplit="1" topLeftCell="A2" activePane="bottomLeft" state="frozen"/>
      <selection pane="bottomLeft" activeCell="F19" sqref="F19"/>
    </sheetView>
  </sheetViews>
  <sheetFormatPr defaultRowHeight="14.4" x14ac:dyDescent="0.3"/>
  <cols>
    <col min="1" max="1" width="17.33203125" bestFit="1" customWidth="1"/>
    <col min="2" max="2" width="21.109375" bestFit="1" customWidth="1"/>
    <col min="3" max="3" width="16.88671875" bestFit="1" customWidth="1"/>
    <col min="4" max="4" width="13.88671875" bestFit="1" customWidth="1"/>
    <col min="5" max="5" width="25" bestFit="1" customWidth="1"/>
  </cols>
  <sheetData>
    <row r="1" spans="1:5" x14ac:dyDescent="0.3">
      <c r="A1" s="1" t="s">
        <v>4</v>
      </c>
      <c r="B1" s="1" t="s">
        <v>1069</v>
      </c>
      <c r="C1" s="1" t="s">
        <v>1070</v>
      </c>
      <c r="D1" s="1" t="s">
        <v>1071</v>
      </c>
      <c r="E1" s="1" t="s">
        <v>1072</v>
      </c>
    </row>
    <row r="2" spans="1:5" x14ac:dyDescent="0.3">
      <c r="A2" s="2" t="s">
        <v>21</v>
      </c>
      <c r="B2" s="2" t="s">
        <v>1073</v>
      </c>
      <c r="C2" s="2" t="s">
        <v>1074</v>
      </c>
      <c r="D2" s="2" t="s">
        <v>1075</v>
      </c>
      <c r="E2" s="2">
        <v>200000</v>
      </c>
    </row>
    <row r="3" spans="1:5" x14ac:dyDescent="0.3">
      <c r="A3" s="2" t="s">
        <v>82</v>
      </c>
      <c r="B3" s="2" t="s">
        <v>1076</v>
      </c>
      <c r="C3" s="2" t="s">
        <v>1074</v>
      </c>
      <c r="D3" s="2" t="s">
        <v>1077</v>
      </c>
      <c r="E3" s="2">
        <v>100000</v>
      </c>
    </row>
    <row r="4" spans="1:5" x14ac:dyDescent="0.3">
      <c r="A4" s="2" t="s">
        <v>34</v>
      </c>
      <c r="B4" s="2" t="s">
        <v>1078</v>
      </c>
      <c r="C4" s="2" t="s">
        <v>1074</v>
      </c>
      <c r="D4" s="2" t="s">
        <v>1079</v>
      </c>
      <c r="E4" s="2">
        <v>150000</v>
      </c>
    </row>
    <row r="5" spans="1:5" x14ac:dyDescent="0.3">
      <c r="A5" s="2" t="s">
        <v>14</v>
      </c>
      <c r="B5" s="2" t="s">
        <v>1080</v>
      </c>
      <c r="C5" s="2" t="s">
        <v>1074</v>
      </c>
      <c r="D5" s="2" t="s">
        <v>1081</v>
      </c>
      <c r="E5" s="2">
        <v>200000</v>
      </c>
    </row>
    <row r="6" spans="1:5" x14ac:dyDescent="0.3">
      <c r="A6" s="2" t="s">
        <v>1082</v>
      </c>
      <c r="B6" s="2" t="s">
        <v>1083</v>
      </c>
      <c r="C6" s="2" t="s">
        <v>1084</v>
      </c>
      <c r="D6" s="2" t="s">
        <v>1085</v>
      </c>
      <c r="E6" s="2">
        <v>100000</v>
      </c>
    </row>
    <row r="7" spans="1:5" x14ac:dyDescent="0.3">
      <c r="A7" s="2" t="s">
        <v>1086</v>
      </c>
      <c r="B7" s="2" t="s">
        <v>1087</v>
      </c>
      <c r="C7" s="2" t="s">
        <v>1084</v>
      </c>
      <c r="D7" s="2" t="s">
        <v>1088</v>
      </c>
      <c r="E7" s="2">
        <v>200000</v>
      </c>
    </row>
    <row r="8" spans="1:5" x14ac:dyDescent="0.3">
      <c r="A8" s="2" t="s">
        <v>1089</v>
      </c>
      <c r="B8" s="2" t="s">
        <v>1090</v>
      </c>
      <c r="C8" s="2" t="s">
        <v>1091</v>
      </c>
      <c r="D8" s="2" t="s">
        <v>1092</v>
      </c>
      <c r="E8" s="2">
        <v>250000</v>
      </c>
    </row>
    <row r="9" spans="1:5" x14ac:dyDescent="0.3">
      <c r="A9" s="2" t="s">
        <v>1093</v>
      </c>
      <c r="B9" s="2" t="s">
        <v>1094</v>
      </c>
      <c r="C9" s="2" t="s">
        <v>1091</v>
      </c>
      <c r="D9" s="2" t="s">
        <v>1095</v>
      </c>
      <c r="E9" s="2">
        <v>100000</v>
      </c>
    </row>
    <row r="10" spans="1:5" x14ac:dyDescent="0.3">
      <c r="A10" s="2" t="s">
        <v>45</v>
      </c>
      <c r="B10" s="2" t="s">
        <v>1096</v>
      </c>
      <c r="C10" s="2" t="s">
        <v>1074</v>
      </c>
      <c r="D10" s="2" t="s">
        <v>1009</v>
      </c>
      <c r="E10" s="2">
        <v>150000</v>
      </c>
    </row>
    <row r="11" spans="1:5" x14ac:dyDescent="0.3">
      <c r="A11" s="2" t="s">
        <v>1097</v>
      </c>
      <c r="B11" s="2" t="s">
        <v>1098</v>
      </c>
      <c r="C11" s="2" t="s">
        <v>1084</v>
      </c>
      <c r="D11" s="2" t="s">
        <v>1099</v>
      </c>
      <c r="E11" s="2">
        <v>100000</v>
      </c>
    </row>
  </sheetData>
  <autoFilter ref="A1:E11" xr:uid="{00000000-0009-0000-0000-000003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B02AF-7C5D-4775-B29F-B6E37AE12568}">
  <dimension ref="B3:L49"/>
  <sheetViews>
    <sheetView workbookViewId="0">
      <selection activeCell="F15" sqref="F15"/>
    </sheetView>
  </sheetViews>
  <sheetFormatPr defaultRowHeight="14.4" x14ac:dyDescent="0.3"/>
  <cols>
    <col min="2" max="2" width="16.88671875" bestFit="1" customWidth="1"/>
    <col min="3" max="3" width="11.21875" bestFit="1" customWidth="1"/>
    <col min="5" max="5" width="14.21875" bestFit="1" customWidth="1"/>
    <col min="6" max="6" width="14.88671875" bestFit="1" customWidth="1"/>
    <col min="8" max="8" width="12.5546875" bestFit="1" customWidth="1"/>
    <col min="9" max="9" width="14.88671875" bestFit="1" customWidth="1"/>
    <col min="10" max="10" width="15.44140625" bestFit="1" customWidth="1"/>
    <col min="11" max="11" width="14.5546875" bestFit="1" customWidth="1"/>
    <col min="12" max="12" width="15.44140625" bestFit="1" customWidth="1"/>
  </cols>
  <sheetData>
    <row r="3" spans="2:12" x14ac:dyDescent="0.3">
      <c r="B3" s="3" t="s">
        <v>1147</v>
      </c>
      <c r="C3" t="s">
        <v>1152</v>
      </c>
      <c r="E3" s="3" t="s">
        <v>1147</v>
      </c>
      <c r="F3" t="s">
        <v>1152</v>
      </c>
      <c r="H3" s="3" t="s">
        <v>1147</v>
      </c>
      <c r="I3" t="s">
        <v>1152</v>
      </c>
      <c r="K3" s="3" t="s">
        <v>1147</v>
      </c>
      <c r="L3" t="s">
        <v>1149</v>
      </c>
    </row>
    <row r="4" spans="2:12" x14ac:dyDescent="0.3">
      <c r="B4" s="4" t="s">
        <v>1162</v>
      </c>
      <c r="C4" s="10">
        <v>481369.81549999997</v>
      </c>
      <c r="E4" s="4" t="s">
        <v>889</v>
      </c>
      <c r="F4" s="13">
        <v>0.13828224417097731</v>
      </c>
      <c r="H4" s="4" t="s">
        <v>35</v>
      </c>
      <c r="I4" s="10">
        <v>1114020.9294999996</v>
      </c>
      <c r="K4" s="4" t="s">
        <v>17</v>
      </c>
      <c r="L4" s="13">
        <v>0.20792079207920791</v>
      </c>
    </row>
    <row r="5" spans="2:12" x14ac:dyDescent="0.3">
      <c r="B5" s="4" t="s">
        <v>1163</v>
      </c>
      <c r="C5" s="10">
        <v>585532.07849999995</v>
      </c>
      <c r="E5" s="4" t="s">
        <v>882</v>
      </c>
      <c r="F5" s="13">
        <v>0.23080723775409542</v>
      </c>
      <c r="H5" s="4" t="s">
        <v>15</v>
      </c>
      <c r="I5" s="10">
        <v>1134474.1005000004</v>
      </c>
      <c r="K5" s="4" t="s">
        <v>24</v>
      </c>
      <c r="L5" s="13">
        <v>0.20297029702970298</v>
      </c>
    </row>
    <row r="6" spans="2:12" x14ac:dyDescent="0.3">
      <c r="B6" s="4" t="s">
        <v>1164</v>
      </c>
      <c r="C6" s="10">
        <v>579605.02400000009</v>
      </c>
      <c r="E6" s="4" t="s">
        <v>931</v>
      </c>
      <c r="F6" s="13">
        <v>0.1995035081628361</v>
      </c>
      <c r="H6" s="4" t="s">
        <v>22</v>
      </c>
      <c r="I6" s="10">
        <v>1175918.4084999999</v>
      </c>
      <c r="K6" s="4" t="s">
        <v>30</v>
      </c>
      <c r="L6" s="13">
        <v>0.22524752475247525</v>
      </c>
    </row>
    <row r="7" spans="2:12" x14ac:dyDescent="0.3">
      <c r="B7" s="4" t="s">
        <v>1165</v>
      </c>
      <c r="C7" s="10">
        <v>525950.06699999992</v>
      </c>
      <c r="E7" s="4" t="s">
        <v>896</v>
      </c>
      <c r="F7" s="13">
        <v>0.23137845998310097</v>
      </c>
      <c r="H7" s="4" t="s">
        <v>73</v>
      </c>
      <c r="I7" s="10">
        <v>1231418.047</v>
      </c>
      <c r="K7" s="4" t="s">
        <v>42</v>
      </c>
      <c r="L7" s="13">
        <v>0.1905940594059406</v>
      </c>
    </row>
    <row r="8" spans="2:12" x14ac:dyDescent="0.3">
      <c r="B8" s="4" t="s">
        <v>1166</v>
      </c>
      <c r="C8" s="10">
        <v>627015.09050000005</v>
      </c>
      <c r="E8" s="4" t="s">
        <v>910</v>
      </c>
      <c r="F8" s="13">
        <v>0.20002854992899016</v>
      </c>
      <c r="H8" s="4" t="s">
        <v>1148</v>
      </c>
      <c r="I8" s="10">
        <v>4655831.4855000004</v>
      </c>
      <c r="K8" s="4" t="s">
        <v>60</v>
      </c>
      <c r="L8" s="13">
        <v>0.17326732673267325</v>
      </c>
    </row>
    <row r="9" spans="2:12" x14ac:dyDescent="0.3">
      <c r="B9" s="4" t="s">
        <v>1167</v>
      </c>
      <c r="C9" s="10">
        <v>335432.29849999998</v>
      </c>
      <c r="E9" s="4" t="s">
        <v>1148</v>
      </c>
      <c r="F9" s="13">
        <v>1</v>
      </c>
      <c r="K9" s="4" t="s">
        <v>1148</v>
      </c>
      <c r="L9" s="13">
        <v>1</v>
      </c>
    </row>
    <row r="10" spans="2:12" x14ac:dyDescent="0.3">
      <c r="B10" s="4" t="s">
        <v>1168</v>
      </c>
      <c r="C10" s="10">
        <v>290554.7855</v>
      </c>
    </row>
    <row r="11" spans="2:12" x14ac:dyDescent="0.3">
      <c r="B11" s="4" t="s">
        <v>1169</v>
      </c>
      <c r="C11" s="10">
        <v>236987.02300000007</v>
      </c>
    </row>
    <row r="12" spans="2:12" x14ac:dyDescent="0.3">
      <c r="B12" s="4" t="s">
        <v>1170</v>
      </c>
      <c r="C12" s="10">
        <v>253920.51200000002</v>
      </c>
    </row>
    <row r="13" spans="2:12" x14ac:dyDescent="0.3">
      <c r="B13" s="4" t="s">
        <v>1171</v>
      </c>
      <c r="C13" s="10">
        <v>213646.88100000005</v>
      </c>
    </row>
    <row r="14" spans="2:12" x14ac:dyDescent="0.3">
      <c r="B14" s="4" t="s">
        <v>1172</v>
      </c>
      <c r="C14" s="10">
        <v>338757.45799999998</v>
      </c>
    </row>
    <row r="15" spans="2:12" x14ac:dyDescent="0.3">
      <c r="B15" s="4" t="s">
        <v>1173</v>
      </c>
      <c r="C15" s="10">
        <v>187060.45199999999</v>
      </c>
    </row>
    <row r="16" spans="2:12" x14ac:dyDescent="0.3">
      <c r="B16" s="4" t="s">
        <v>1148</v>
      </c>
      <c r="C16" s="10">
        <v>4655831.4854999995</v>
      </c>
    </row>
    <row r="21" spans="2:9" x14ac:dyDescent="0.3">
      <c r="B21" s="3" t="s">
        <v>1101</v>
      </c>
      <c r="C21" s="12" t="s">
        <v>1174</v>
      </c>
      <c r="E21" s="3" t="s">
        <v>1147</v>
      </c>
      <c r="F21" t="s">
        <v>1152</v>
      </c>
      <c r="H21" s="3" t="s">
        <v>1147</v>
      </c>
      <c r="I21" t="s">
        <v>1149</v>
      </c>
    </row>
    <row r="22" spans="2:9" x14ac:dyDescent="0.3">
      <c r="B22" s="4" t="s">
        <v>983</v>
      </c>
      <c r="C22" s="11">
        <v>176894.66899999997</v>
      </c>
      <c r="E22" s="4" t="s">
        <v>884</v>
      </c>
      <c r="F22" s="7">
        <v>213429.114</v>
      </c>
      <c r="H22" s="4" t="s">
        <v>1080</v>
      </c>
      <c r="I22" s="10">
        <v>83</v>
      </c>
    </row>
    <row r="23" spans="2:9" x14ac:dyDescent="0.3">
      <c r="B23" s="4" t="s">
        <v>1047</v>
      </c>
      <c r="C23" s="11">
        <v>170943.29750000002</v>
      </c>
      <c r="E23" s="4" t="s">
        <v>899</v>
      </c>
      <c r="F23" s="7">
        <v>183252.533</v>
      </c>
      <c r="H23" s="4" t="s">
        <v>1073</v>
      </c>
      <c r="I23" s="10">
        <v>69</v>
      </c>
    </row>
    <row r="24" spans="2:9" x14ac:dyDescent="0.3">
      <c r="B24" s="4" t="s">
        <v>1108</v>
      </c>
      <c r="C24" s="11">
        <v>155142.74400000001</v>
      </c>
      <c r="E24" s="4" t="s">
        <v>913</v>
      </c>
      <c r="F24" s="7">
        <v>181879.79799999998</v>
      </c>
      <c r="H24" s="4" t="s">
        <v>1076</v>
      </c>
      <c r="I24" s="10">
        <v>94</v>
      </c>
    </row>
    <row r="25" spans="2:9" x14ac:dyDescent="0.3">
      <c r="B25" s="4" t="s">
        <v>1119</v>
      </c>
      <c r="C25" s="11">
        <v>144965.30800000002</v>
      </c>
      <c r="E25" s="4" t="s">
        <v>921</v>
      </c>
      <c r="F25" s="7">
        <v>178540.28299999997</v>
      </c>
      <c r="H25" s="4" t="s">
        <v>1096</v>
      </c>
      <c r="I25" s="10">
        <v>78</v>
      </c>
    </row>
    <row r="26" spans="2:9" x14ac:dyDescent="0.3">
      <c r="B26" s="4" t="s">
        <v>993</v>
      </c>
      <c r="C26" s="11">
        <v>143431.34</v>
      </c>
      <c r="E26" s="4" t="s">
        <v>929</v>
      </c>
      <c r="F26" s="7">
        <v>174265.71000000002</v>
      </c>
      <c r="H26" s="4" t="s">
        <v>1148</v>
      </c>
      <c r="I26" s="10">
        <v>324</v>
      </c>
    </row>
    <row r="27" spans="2:9" x14ac:dyDescent="0.3">
      <c r="B27" s="4" t="s">
        <v>1115</v>
      </c>
      <c r="C27" s="11">
        <v>137735.39799999999</v>
      </c>
      <c r="E27" s="4" t="s">
        <v>887</v>
      </c>
      <c r="F27" s="7">
        <v>149959.77100000001</v>
      </c>
    </row>
    <row r="28" spans="2:9" x14ac:dyDescent="0.3">
      <c r="B28" s="4" t="s">
        <v>1112</v>
      </c>
      <c r="C28" s="11">
        <v>135656.77750000003</v>
      </c>
      <c r="E28" s="4" t="s">
        <v>906</v>
      </c>
      <c r="F28" s="7">
        <v>149351.46400000001</v>
      </c>
    </row>
    <row r="29" spans="2:9" x14ac:dyDescent="0.3">
      <c r="B29" s="4" t="s">
        <v>1122</v>
      </c>
      <c r="C29" s="11">
        <v>127699.12850000001</v>
      </c>
      <c r="E29" s="4" t="s">
        <v>933</v>
      </c>
      <c r="F29" s="7">
        <v>140263.451</v>
      </c>
    </row>
    <row r="30" spans="2:9" x14ac:dyDescent="0.3">
      <c r="B30" s="4" t="s">
        <v>1105</v>
      </c>
      <c r="C30" s="11">
        <v>127691.179</v>
      </c>
      <c r="E30" s="4" t="s">
        <v>891</v>
      </c>
      <c r="F30" s="7">
        <v>139777.28700000001</v>
      </c>
    </row>
    <row r="31" spans="2:9" x14ac:dyDescent="0.3">
      <c r="B31" s="4" t="s">
        <v>1127</v>
      </c>
      <c r="C31" s="11">
        <v>125935.8365</v>
      </c>
      <c r="E31" s="4" t="s">
        <v>935</v>
      </c>
      <c r="F31" s="7">
        <v>139613.54699999999</v>
      </c>
    </row>
    <row r="32" spans="2:9" x14ac:dyDescent="0.3">
      <c r="B32" s="4" t="s">
        <v>1148</v>
      </c>
      <c r="C32" s="11">
        <v>1446095.6780000001</v>
      </c>
      <c r="E32" s="4" t="s">
        <v>1148</v>
      </c>
      <c r="F32" s="7">
        <v>1650332.9580000001</v>
      </c>
    </row>
    <row r="35" spans="2:3" x14ac:dyDescent="0.3">
      <c r="B35" s="4"/>
    </row>
    <row r="41" spans="2:3" x14ac:dyDescent="0.3">
      <c r="B41" t="s">
        <v>1157</v>
      </c>
      <c r="C41" s="7" t="str">
        <f>TEXT(SUM(OrdersTable[[#All],[Revenue]]),"#,##0")</f>
        <v>4,655,831</v>
      </c>
    </row>
    <row r="43" spans="2:3" x14ac:dyDescent="0.3">
      <c r="B43" t="s">
        <v>1158</v>
      </c>
      <c r="C43">
        <f>COUNTA(OrdersTable[OrderID])</f>
        <v>404</v>
      </c>
    </row>
    <row r="45" spans="2:3" x14ac:dyDescent="0.3">
      <c r="B45" t="s">
        <v>1159</v>
      </c>
      <c r="C45">
        <f>COUNTA(OrdersTable[CustomerID])</f>
        <v>404</v>
      </c>
    </row>
    <row r="47" spans="2:3" x14ac:dyDescent="0.3">
      <c r="B47" t="s">
        <v>1160</v>
      </c>
      <c r="C47" s="7" t="str">
        <f>TEXT(IFERROR(C41/C43,0),"#,##0")</f>
        <v>11,524</v>
      </c>
    </row>
    <row r="49" spans="2:3" x14ac:dyDescent="0.3">
      <c r="B49" t="s">
        <v>1161</v>
      </c>
      <c r="C49" t="str">
        <f>TEXT(SUM(OrdersTable[Quantity]),"#,##0")</f>
        <v>2,252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185A2-A1E7-4830-83C2-BBEB0CD61161}">
  <dimension ref="A1:AA54"/>
  <sheetViews>
    <sheetView zoomScale="87" workbookViewId="0">
      <selection activeCell="W49" sqref="W49"/>
    </sheetView>
  </sheetViews>
  <sheetFormatPr defaultRowHeight="14.4" x14ac:dyDescent="0.3"/>
  <sheetData>
    <row r="1" spans="1:27" ht="47.4" customHeight="1" x14ac:dyDescent="0.3">
      <c r="A1" s="9"/>
      <c r="B1" s="9"/>
      <c r="C1" s="9"/>
      <c r="D1" s="9"/>
      <c r="E1" s="9"/>
      <c r="F1" s="9"/>
      <c r="G1" s="9"/>
      <c r="H1" s="9"/>
      <c r="I1" s="9"/>
      <c r="J1" s="9"/>
      <c r="K1" s="9"/>
      <c r="L1" s="9"/>
      <c r="M1" s="9"/>
      <c r="N1" s="9"/>
      <c r="O1" s="9"/>
      <c r="P1" s="9"/>
      <c r="Q1" s="9"/>
      <c r="R1" s="9"/>
      <c r="S1" s="9"/>
      <c r="T1" s="9"/>
      <c r="U1" s="9"/>
      <c r="V1" s="9"/>
      <c r="W1" s="9"/>
      <c r="X1" s="9"/>
      <c r="Y1" s="9"/>
      <c r="Z1" s="9"/>
      <c r="AA1" s="8"/>
    </row>
    <row r="2" spans="1:27" x14ac:dyDescent="0.3">
      <c r="A2" s="8"/>
      <c r="B2" s="8"/>
      <c r="C2" s="8"/>
      <c r="D2" s="8"/>
      <c r="E2" s="8"/>
      <c r="F2" s="8"/>
      <c r="G2" s="8"/>
      <c r="H2" s="8"/>
      <c r="I2" s="8"/>
      <c r="J2" s="8"/>
      <c r="K2" s="8"/>
      <c r="L2" s="8"/>
      <c r="M2" s="8"/>
      <c r="N2" s="8"/>
      <c r="O2" s="8"/>
      <c r="P2" s="8"/>
      <c r="Q2" s="8"/>
      <c r="R2" s="8"/>
      <c r="S2" s="8"/>
      <c r="T2" s="8"/>
      <c r="U2" s="8"/>
      <c r="V2" s="8"/>
      <c r="W2" s="8"/>
      <c r="X2" s="8"/>
      <c r="Y2" s="8"/>
      <c r="Z2" s="8"/>
      <c r="AA2" s="8"/>
    </row>
    <row r="3" spans="1:27" x14ac:dyDescent="0.3">
      <c r="A3" s="8"/>
      <c r="B3" s="8"/>
      <c r="C3" s="8"/>
      <c r="D3" s="8"/>
      <c r="E3" s="8"/>
      <c r="F3" s="8"/>
      <c r="G3" s="8"/>
      <c r="H3" s="8"/>
      <c r="I3" s="8"/>
      <c r="J3" s="8"/>
      <c r="K3" s="8"/>
      <c r="L3" s="8"/>
      <c r="M3" s="8"/>
      <c r="N3" s="8"/>
      <c r="O3" s="8"/>
      <c r="P3" s="8"/>
      <c r="Q3" s="8"/>
      <c r="R3" s="8"/>
      <c r="S3" s="8"/>
      <c r="T3" s="8"/>
      <c r="U3" s="8"/>
      <c r="V3" s="8"/>
      <c r="W3" s="8"/>
      <c r="X3" s="8"/>
      <c r="Y3" s="8"/>
      <c r="Z3" s="8"/>
      <c r="AA3" s="8"/>
    </row>
    <row r="4" spans="1:27" x14ac:dyDescent="0.3">
      <c r="A4" s="8"/>
      <c r="B4" s="8"/>
      <c r="C4" s="8"/>
      <c r="D4" s="8"/>
      <c r="E4" s="8"/>
      <c r="F4" s="8"/>
      <c r="G4" s="8"/>
      <c r="H4" s="8"/>
      <c r="I4" s="8"/>
      <c r="J4" s="8"/>
      <c r="K4" s="8"/>
      <c r="L4" s="8"/>
      <c r="M4" s="8"/>
      <c r="N4" s="8"/>
      <c r="O4" s="8"/>
      <c r="P4" s="8"/>
      <c r="Q4" s="8"/>
      <c r="R4" s="8"/>
      <c r="S4" s="8"/>
      <c r="T4" s="8"/>
      <c r="U4" s="8"/>
      <c r="V4" s="8"/>
      <c r="W4" s="8"/>
      <c r="X4" s="8"/>
      <c r="Y4" s="8"/>
      <c r="Z4" s="8"/>
      <c r="AA4" s="8"/>
    </row>
    <row r="5" spans="1:27" x14ac:dyDescent="0.3">
      <c r="A5" s="8"/>
      <c r="B5" s="8"/>
      <c r="C5" s="8"/>
      <c r="D5" s="8"/>
      <c r="E5" s="8"/>
      <c r="F5" s="8"/>
      <c r="G5" s="8"/>
      <c r="H5" s="8"/>
      <c r="I5" s="8"/>
      <c r="J5" s="8"/>
      <c r="K5" s="8"/>
      <c r="L5" s="8"/>
      <c r="M5" s="8"/>
      <c r="N5" s="8"/>
      <c r="O5" s="8"/>
      <c r="P5" s="8"/>
      <c r="Q5" s="8"/>
      <c r="R5" s="8"/>
      <c r="S5" s="8"/>
      <c r="T5" s="8"/>
      <c r="U5" s="8"/>
      <c r="V5" s="8"/>
      <c r="W5" s="8"/>
      <c r="X5" s="8"/>
      <c r="Y5" s="8"/>
      <c r="Z5" s="8"/>
      <c r="AA5" s="8"/>
    </row>
    <row r="6" spans="1:27" x14ac:dyDescent="0.3">
      <c r="A6" s="8"/>
      <c r="B6" s="8"/>
      <c r="C6" s="8"/>
      <c r="D6" s="8"/>
      <c r="E6" s="8"/>
      <c r="F6" s="8"/>
      <c r="G6" s="8"/>
      <c r="H6" s="8"/>
      <c r="I6" s="8"/>
      <c r="J6" s="8"/>
      <c r="K6" s="8"/>
      <c r="L6" s="8"/>
      <c r="M6" s="8"/>
      <c r="N6" s="8"/>
      <c r="O6" s="8"/>
      <c r="P6" s="8"/>
      <c r="Q6" s="8"/>
      <c r="R6" s="8"/>
      <c r="S6" s="8"/>
      <c r="T6" s="8"/>
      <c r="U6" s="8"/>
      <c r="V6" s="8"/>
      <c r="W6" s="8"/>
      <c r="X6" s="8"/>
      <c r="Y6" s="8"/>
      <c r="Z6" s="8"/>
      <c r="AA6" s="8"/>
    </row>
    <row r="7" spans="1:27" x14ac:dyDescent="0.3">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3">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3">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row>
  </sheetData>
  <mergeCells count="1">
    <mergeCell ref="A1:Z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5305EC-A187-4F23-BB15-1F2E6CCAAF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Sheet2</vt:lpstr>
      <vt:lpstr>Products</vt:lpstr>
      <vt:lpstr>Customers</vt:lpstr>
      <vt:lpstr>Sheet1</vt:lpstr>
      <vt:lpstr>Sheet4</vt:lpstr>
      <vt:lpstr>Sheet5</vt:lpstr>
      <vt:lpstr>Employees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2026-07-17T10:57:22Z</dcterms:created>
  <dcterms:modified xsi:type="dcterms:W3CDTF">2026-09-02T14:24:57Z</dcterms:modified>
</cp:coreProperties>
</file>