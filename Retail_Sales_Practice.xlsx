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old excel\"/>
    </mc:Choice>
  </mc:AlternateContent>
  <xr:revisionPtr revIDLastSave="0" documentId="13_ncr:1_{7B674E63-9DA8-452B-8902-BA3168C16F47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Raw_Sales_Data" sheetId="1" r:id="rId1"/>
    <sheet name="Read_Me_First" sheetId="2" r:id="rId2"/>
  </sheets>
  <definedNames>
    <definedName name="_xlnm._FilterDatabase" localSheetId="0" hidden="1">Raw_Sales_Data!$A$1:$P$231</definedName>
  </definedNames>
  <calcPr calcId="191029"/>
  <pivotCaches>
    <pivotCache cacheId="19" r:id="rId3"/>
  </pivotCaches>
</workbook>
</file>

<file path=xl/calcChain.xml><?xml version="1.0" encoding="utf-8"?>
<calcChain xmlns="http://schemas.openxmlformats.org/spreadsheetml/2006/main">
  <c r="C281" i="1" l="1"/>
  <c r="C255" i="1"/>
  <c r="C253" i="1"/>
  <c r="E244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" i="1"/>
  <c r="N2" i="1"/>
  <c r="M3" i="1"/>
  <c r="O3" i="1" s="1"/>
  <c r="M4" i="1"/>
  <c r="O4" i="1" s="1"/>
  <c r="M5" i="1"/>
  <c r="O5" i="1" s="1"/>
  <c r="M6" i="1"/>
  <c r="O6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5" i="1"/>
  <c r="O25" i="1" s="1"/>
  <c r="M26" i="1"/>
  <c r="O26" i="1" s="1"/>
  <c r="M27" i="1"/>
  <c r="O27" i="1" s="1"/>
  <c r="M28" i="1"/>
  <c r="O28" i="1" s="1"/>
  <c r="M29" i="1"/>
  <c r="O29" i="1" s="1"/>
  <c r="M30" i="1"/>
  <c r="O30" i="1" s="1"/>
  <c r="M31" i="1"/>
  <c r="O31" i="1" s="1"/>
  <c r="M32" i="1"/>
  <c r="O32" i="1" s="1"/>
  <c r="M33" i="1"/>
  <c r="O33" i="1" s="1"/>
  <c r="M34" i="1"/>
  <c r="O34" i="1" s="1"/>
  <c r="M35" i="1"/>
  <c r="O35" i="1" s="1"/>
  <c r="M36" i="1"/>
  <c r="O36" i="1" s="1"/>
  <c r="M37" i="1"/>
  <c r="O37" i="1" s="1"/>
  <c r="M38" i="1"/>
  <c r="O38" i="1" s="1"/>
  <c r="M39" i="1"/>
  <c r="O39" i="1" s="1"/>
  <c r="M40" i="1"/>
  <c r="O40" i="1" s="1"/>
  <c r="M41" i="1"/>
  <c r="O41" i="1" s="1"/>
  <c r="M42" i="1"/>
  <c r="O42" i="1" s="1"/>
  <c r="M43" i="1"/>
  <c r="O43" i="1" s="1"/>
  <c r="M44" i="1"/>
  <c r="O44" i="1" s="1"/>
  <c r="M45" i="1"/>
  <c r="O45" i="1" s="1"/>
  <c r="M46" i="1"/>
  <c r="O46" i="1" s="1"/>
  <c r="M47" i="1"/>
  <c r="O47" i="1" s="1"/>
  <c r="M48" i="1"/>
  <c r="O48" i="1" s="1"/>
  <c r="M49" i="1"/>
  <c r="O49" i="1" s="1"/>
  <c r="M50" i="1"/>
  <c r="O50" i="1" s="1"/>
  <c r="M51" i="1"/>
  <c r="O51" i="1" s="1"/>
  <c r="M52" i="1"/>
  <c r="O52" i="1" s="1"/>
  <c r="M53" i="1"/>
  <c r="O53" i="1" s="1"/>
  <c r="M54" i="1"/>
  <c r="O54" i="1" s="1"/>
  <c r="M55" i="1"/>
  <c r="O55" i="1" s="1"/>
  <c r="M56" i="1"/>
  <c r="O56" i="1" s="1"/>
  <c r="M57" i="1"/>
  <c r="O57" i="1" s="1"/>
  <c r="M58" i="1"/>
  <c r="O58" i="1" s="1"/>
  <c r="M59" i="1"/>
  <c r="O59" i="1" s="1"/>
  <c r="M60" i="1"/>
  <c r="O60" i="1" s="1"/>
  <c r="M61" i="1"/>
  <c r="O61" i="1" s="1"/>
  <c r="M62" i="1"/>
  <c r="O62" i="1" s="1"/>
  <c r="M63" i="1"/>
  <c r="O63" i="1" s="1"/>
  <c r="M64" i="1"/>
  <c r="O64" i="1" s="1"/>
  <c r="M65" i="1"/>
  <c r="O65" i="1" s="1"/>
  <c r="M66" i="1"/>
  <c r="O66" i="1" s="1"/>
  <c r="M67" i="1"/>
  <c r="O67" i="1" s="1"/>
  <c r="M68" i="1"/>
  <c r="O68" i="1" s="1"/>
  <c r="M69" i="1"/>
  <c r="O69" i="1" s="1"/>
  <c r="M70" i="1"/>
  <c r="O70" i="1" s="1"/>
  <c r="M71" i="1"/>
  <c r="O71" i="1" s="1"/>
  <c r="M72" i="1"/>
  <c r="O72" i="1" s="1"/>
  <c r="M73" i="1"/>
  <c r="O73" i="1" s="1"/>
  <c r="M74" i="1"/>
  <c r="O74" i="1" s="1"/>
  <c r="M75" i="1"/>
  <c r="O75" i="1" s="1"/>
  <c r="M76" i="1"/>
  <c r="O76" i="1" s="1"/>
  <c r="M77" i="1"/>
  <c r="O77" i="1" s="1"/>
  <c r="M78" i="1"/>
  <c r="O78" i="1" s="1"/>
  <c r="M79" i="1"/>
  <c r="O79" i="1" s="1"/>
  <c r="M80" i="1"/>
  <c r="O80" i="1" s="1"/>
  <c r="M81" i="1"/>
  <c r="O81" i="1" s="1"/>
  <c r="M82" i="1"/>
  <c r="O82" i="1" s="1"/>
  <c r="M83" i="1"/>
  <c r="O83" i="1" s="1"/>
  <c r="M84" i="1"/>
  <c r="O84" i="1" s="1"/>
  <c r="M85" i="1"/>
  <c r="O85" i="1" s="1"/>
  <c r="M86" i="1"/>
  <c r="O86" i="1" s="1"/>
  <c r="M87" i="1"/>
  <c r="O87" i="1" s="1"/>
  <c r="M88" i="1"/>
  <c r="O88" i="1" s="1"/>
  <c r="M89" i="1"/>
  <c r="O89" i="1" s="1"/>
  <c r="M90" i="1"/>
  <c r="O90" i="1" s="1"/>
  <c r="M91" i="1"/>
  <c r="O91" i="1" s="1"/>
  <c r="M92" i="1"/>
  <c r="O92" i="1" s="1"/>
  <c r="M93" i="1"/>
  <c r="O93" i="1" s="1"/>
  <c r="M94" i="1"/>
  <c r="O94" i="1" s="1"/>
  <c r="M95" i="1"/>
  <c r="O95" i="1" s="1"/>
  <c r="M96" i="1"/>
  <c r="O96" i="1" s="1"/>
  <c r="M97" i="1"/>
  <c r="O97" i="1" s="1"/>
  <c r="M98" i="1"/>
  <c r="O98" i="1" s="1"/>
  <c r="M99" i="1"/>
  <c r="O99" i="1" s="1"/>
  <c r="M100" i="1"/>
  <c r="O100" i="1" s="1"/>
  <c r="M101" i="1"/>
  <c r="O101" i="1" s="1"/>
  <c r="M102" i="1"/>
  <c r="O102" i="1" s="1"/>
  <c r="M103" i="1"/>
  <c r="O103" i="1" s="1"/>
  <c r="M104" i="1"/>
  <c r="O104" i="1" s="1"/>
  <c r="M105" i="1"/>
  <c r="O105" i="1" s="1"/>
  <c r="M106" i="1"/>
  <c r="O106" i="1" s="1"/>
  <c r="M107" i="1"/>
  <c r="O107" i="1" s="1"/>
  <c r="M108" i="1"/>
  <c r="O108" i="1" s="1"/>
  <c r="M109" i="1"/>
  <c r="O109" i="1" s="1"/>
  <c r="M110" i="1"/>
  <c r="O110" i="1" s="1"/>
  <c r="M111" i="1"/>
  <c r="O111" i="1" s="1"/>
  <c r="M112" i="1"/>
  <c r="O112" i="1" s="1"/>
  <c r="M113" i="1"/>
  <c r="O113" i="1" s="1"/>
  <c r="M114" i="1"/>
  <c r="O114" i="1" s="1"/>
  <c r="M115" i="1"/>
  <c r="O115" i="1" s="1"/>
  <c r="M116" i="1"/>
  <c r="O116" i="1" s="1"/>
  <c r="M117" i="1"/>
  <c r="O117" i="1" s="1"/>
  <c r="M118" i="1"/>
  <c r="O118" i="1" s="1"/>
  <c r="M119" i="1"/>
  <c r="O119" i="1" s="1"/>
  <c r="M120" i="1"/>
  <c r="O120" i="1" s="1"/>
  <c r="M121" i="1"/>
  <c r="O121" i="1" s="1"/>
  <c r="M122" i="1"/>
  <c r="O122" i="1" s="1"/>
  <c r="M123" i="1"/>
  <c r="O123" i="1" s="1"/>
  <c r="M124" i="1"/>
  <c r="O124" i="1" s="1"/>
  <c r="M125" i="1"/>
  <c r="O125" i="1" s="1"/>
  <c r="M126" i="1"/>
  <c r="O126" i="1" s="1"/>
  <c r="M127" i="1"/>
  <c r="O127" i="1" s="1"/>
  <c r="M128" i="1"/>
  <c r="O128" i="1" s="1"/>
  <c r="M129" i="1"/>
  <c r="O129" i="1" s="1"/>
  <c r="M130" i="1"/>
  <c r="O130" i="1" s="1"/>
  <c r="M131" i="1"/>
  <c r="O131" i="1" s="1"/>
  <c r="M132" i="1"/>
  <c r="O132" i="1" s="1"/>
  <c r="M133" i="1"/>
  <c r="O133" i="1" s="1"/>
  <c r="M134" i="1"/>
  <c r="O134" i="1" s="1"/>
  <c r="M135" i="1"/>
  <c r="O135" i="1" s="1"/>
  <c r="M136" i="1"/>
  <c r="O136" i="1" s="1"/>
  <c r="M137" i="1"/>
  <c r="O137" i="1" s="1"/>
  <c r="M138" i="1"/>
  <c r="O138" i="1" s="1"/>
  <c r="M139" i="1"/>
  <c r="O139" i="1" s="1"/>
  <c r="M140" i="1"/>
  <c r="O140" i="1" s="1"/>
  <c r="M141" i="1"/>
  <c r="O141" i="1" s="1"/>
  <c r="M142" i="1"/>
  <c r="O142" i="1" s="1"/>
  <c r="M143" i="1"/>
  <c r="O143" i="1" s="1"/>
  <c r="M144" i="1"/>
  <c r="O144" i="1" s="1"/>
  <c r="M145" i="1"/>
  <c r="O145" i="1" s="1"/>
  <c r="M146" i="1"/>
  <c r="O146" i="1" s="1"/>
  <c r="M147" i="1"/>
  <c r="O147" i="1" s="1"/>
  <c r="M148" i="1"/>
  <c r="O148" i="1" s="1"/>
  <c r="M149" i="1"/>
  <c r="O149" i="1" s="1"/>
  <c r="M150" i="1"/>
  <c r="O150" i="1" s="1"/>
  <c r="M151" i="1"/>
  <c r="O151" i="1" s="1"/>
  <c r="M152" i="1"/>
  <c r="O152" i="1" s="1"/>
  <c r="M153" i="1"/>
  <c r="O153" i="1" s="1"/>
  <c r="M154" i="1"/>
  <c r="O154" i="1" s="1"/>
  <c r="M155" i="1"/>
  <c r="O155" i="1" s="1"/>
  <c r="M156" i="1"/>
  <c r="O156" i="1" s="1"/>
  <c r="M157" i="1"/>
  <c r="O157" i="1" s="1"/>
  <c r="M158" i="1"/>
  <c r="O158" i="1" s="1"/>
  <c r="M159" i="1"/>
  <c r="O159" i="1" s="1"/>
  <c r="M160" i="1"/>
  <c r="O160" i="1" s="1"/>
  <c r="M161" i="1"/>
  <c r="O161" i="1" s="1"/>
  <c r="M162" i="1"/>
  <c r="O162" i="1" s="1"/>
  <c r="M163" i="1"/>
  <c r="O163" i="1" s="1"/>
  <c r="M164" i="1"/>
  <c r="O164" i="1" s="1"/>
  <c r="M165" i="1"/>
  <c r="O165" i="1" s="1"/>
  <c r="M166" i="1"/>
  <c r="O166" i="1" s="1"/>
  <c r="M167" i="1"/>
  <c r="O167" i="1" s="1"/>
  <c r="M168" i="1"/>
  <c r="O168" i="1" s="1"/>
  <c r="M169" i="1"/>
  <c r="O169" i="1" s="1"/>
  <c r="M170" i="1"/>
  <c r="O170" i="1" s="1"/>
  <c r="M171" i="1"/>
  <c r="O171" i="1" s="1"/>
  <c r="M172" i="1"/>
  <c r="O172" i="1" s="1"/>
  <c r="M173" i="1"/>
  <c r="O173" i="1" s="1"/>
  <c r="M174" i="1"/>
  <c r="O174" i="1" s="1"/>
  <c r="M175" i="1"/>
  <c r="O175" i="1" s="1"/>
  <c r="M176" i="1"/>
  <c r="O176" i="1" s="1"/>
  <c r="M177" i="1"/>
  <c r="O177" i="1" s="1"/>
  <c r="M178" i="1"/>
  <c r="O178" i="1" s="1"/>
  <c r="M179" i="1"/>
  <c r="O179" i="1" s="1"/>
  <c r="M180" i="1"/>
  <c r="O180" i="1" s="1"/>
  <c r="M181" i="1"/>
  <c r="O181" i="1" s="1"/>
  <c r="M182" i="1"/>
  <c r="O182" i="1" s="1"/>
  <c r="M183" i="1"/>
  <c r="O183" i="1" s="1"/>
  <c r="M184" i="1"/>
  <c r="O184" i="1" s="1"/>
  <c r="M185" i="1"/>
  <c r="O185" i="1" s="1"/>
  <c r="M186" i="1"/>
  <c r="O186" i="1" s="1"/>
  <c r="M187" i="1"/>
  <c r="O187" i="1" s="1"/>
  <c r="M188" i="1"/>
  <c r="O188" i="1" s="1"/>
  <c r="M189" i="1"/>
  <c r="O189" i="1" s="1"/>
  <c r="M190" i="1"/>
  <c r="O190" i="1" s="1"/>
  <c r="M191" i="1"/>
  <c r="O191" i="1" s="1"/>
  <c r="M192" i="1"/>
  <c r="O192" i="1" s="1"/>
  <c r="M193" i="1"/>
  <c r="O193" i="1" s="1"/>
  <c r="M194" i="1"/>
  <c r="O194" i="1" s="1"/>
  <c r="M195" i="1"/>
  <c r="O195" i="1" s="1"/>
  <c r="M196" i="1"/>
  <c r="O196" i="1" s="1"/>
  <c r="M197" i="1"/>
  <c r="O197" i="1" s="1"/>
  <c r="M198" i="1"/>
  <c r="O198" i="1" s="1"/>
  <c r="M199" i="1"/>
  <c r="O199" i="1" s="1"/>
  <c r="M200" i="1"/>
  <c r="O200" i="1" s="1"/>
  <c r="M201" i="1"/>
  <c r="O201" i="1" s="1"/>
  <c r="M202" i="1"/>
  <c r="O202" i="1" s="1"/>
  <c r="M203" i="1"/>
  <c r="O203" i="1" s="1"/>
  <c r="M204" i="1"/>
  <c r="O204" i="1" s="1"/>
  <c r="M205" i="1"/>
  <c r="O205" i="1" s="1"/>
  <c r="M206" i="1"/>
  <c r="O206" i="1" s="1"/>
  <c r="M207" i="1"/>
  <c r="O207" i="1" s="1"/>
  <c r="M208" i="1"/>
  <c r="O208" i="1" s="1"/>
  <c r="M209" i="1"/>
  <c r="O209" i="1" s="1"/>
  <c r="M210" i="1"/>
  <c r="O210" i="1" s="1"/>
  <c r="M211" i="1"/>
  <c r="O211" i="1" s="1"/>
  <c r="M212" i="1"/>
  <c r="O212" i="1" s="1"/>
  <c r="M213" i="1"/>
  <c r="O213" i="1" s="1"/>
  <c r="M214" i="1"/>
  <c r="O214" i="1" s="1"/>
  <c r="M215" i="1"/>
  <c r="O215" i="1" s="1"/>
  <c r="M216" i="1"/>
  <c r="O216" i="1" s="1"/>
  <c r="M217" i="1"/>
  <c r="O217" i="1" s="1"/>
  <c r="M218" i="1"/>
  <c r="O218" i="1" s="1"/>
  <c r="M219" i="1"/>
  <c r="O219" i="1" s="1"/>
  <c r="M220" i="1"/>
  <c r="O220" i="1" s="1"/>
  <c r="M221" i="1"/>
  <c r="O221" i="1" s="1"/>
  <c r="M222" i="1"/>
  <c r="O222" i="1" s="1"/>
  <c r="M223" i="1"/>
  <c r="O223" i="1" s="1"/>
  <c r="M224" i="1"/>
  <c r="O224" i="1" s="1"/>
  <c r="M225" i="1"/>
  <c r="O225" i="1" s="1"/>
  <c r="M226" i="1"/>
  <c r="O226" i="1" s="1"/>
  <c r="M227" i="1"/>
  <c r="O227" i="1" s="1"/>
  <c r="M228" i="1"/>
  <c r="O228" i="1" s="1"/>
  <c r="M229" i="1"/>
  <c r="O229" i="1" s="1"/>
  <c r="M230" i="1"/>
  <c r="O230" i="1" s="1"/>
  <c r="M231" i="1"/>
  <c r="O231" i="1" s="1"/>
  <c r="M2" i="1"/>
  <c r="O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E241" i="1" l="1"/>
  <c r="E235" i="1" l="1"/>
  <c r="F238" i="1" s="1"/>
</calcChain>
</file>

<file path=xl/sharedStrings.xml><?xml version="1.0" encoding="utf-8"?>
<sst xmlns="http://schemas.openxmlformats.org/spreadsheetml/2006/main" count="1889" uniqueCount="421">
  <si>
    <t>OrderID</t>
  </si>
  <si>
    <t>OrderDate</t>
  </si>
  <si>
    <t>CustomerName</t>
  </si>
  <si>
    <t>Region</t>
  </si>
  <si>
    <t>Category</t>
  </si>
  <si>
    <t>Product</t>
  </si>
  <si>
    <t>Quantity</t>
  </si>
  <si>
    <t>UnitPrice</t>
  </si>
  <si>
    <t>Discount%</t>
  </si>
  <si>
    <t>SalesPerson</t>
  </si>
  <si>
    <t>PaymentMethod</t>
  </si>
  <si>
    <t>Status</t>
  </si>
  <si>
    <t>2025-11-24</t>
  </si>
  <si>
    <t>Aarav Chauhan</t>
  </si>
  <si>
    <t>East</t>
  </si>
  <si>
    <t>Furniture</t>
  </si>
  <si>
    <t>Office Chair</t>
  </si>
  <si>
    <t>Rahul Mehta</t>
  </si>
  <si>
    <t>UPI</t>
  </si>
  <si>
    <t>Delivered</t>
  </si>
  <si>
    <t>18-08-2025</t>
  </si>
  <si>
    <t>Yash Sharma</t>
  </si>
  <si>
    <t xml:space="preserve">South </t>
  </si>
  <si>
    <t>Running Shoes</t>
  </si>
  <si>
    <t>2025-07-13</t>
  </si>
  <si>
    <t>Riya Kapoor</t>
  </si>
  <si>
    <t>Priya Shah</t>
  </si>
  <si>
    <t>16-12-2025</t>
  </si>
  <si>
    <t>Bean Bag</t>
  </si>
  <si>
    <t>Divya Nair</t>
  </si>
  <si>
    <t>Debit Card</t>
  </si>
  <si>
    <t>2025-06-11</t>
  </si>
  <si>
    <t>Ishaan Reddy</t>
  </si>
  <si>
    <t>West</t>
  </si>
  <si>
    <t>Gel Pen Set</t>
  </si>
  <si>
    <t>Aman Verma</t>
  </si>
  <si>
    <t>Credit Card</t>
  </si>
  <si>
    <t>05-08-2025</t>
  </si>
  <si>
    <t>Aditi Reddy</t>
  </si>
  <si>
    <t xml:space="preserve">West </t>
  </si>
  <si>
    <t>02-04-2025</t>
  </si>
  <si>
    <t>Isha Kapoor</t>
  </si>
  <si>
    <t>Mixer Grinder</t>
  </si>
  <si>
    <t>Karan Patel</t>
  </si>
  <si>
    <t>Net Banking</t>
  </si>
  <si>
    <t>2025-05-03</t>
  </si>
  <si>
    <t>Ananya Joshi</t>
  </si>
  <si>
    <t>North</t>
  </si>
  <si>
    <t>Apparel</t>
  </si>
  <si>
    <t>Kurti</t>
  </si>
  <si>
    <t>09/06/2025</t>
  </si>
  <si>
    <t>Simran Nair</t>
  </si>
  <si>
    <t>02/05/2025</t>
  </si>
  <si>
    <t>Ishaan Mehta</t>
  </si>
  <si>
    <t>Lunch Box</t>
  </si>
  <si>
    <t>2025-11-27</t>
  </si>
  <si>
    <t>Vivaan Reddy</t>
  </si>
  <si>
    <t>Study Table</t>
  </si>
  <si>
    <t>2025-10-04</t>
  </si>
  <si>
    <t>Aditi Mehta</t>
  </si>
  <si>
    <t>Denim Jacket</t>
  </si>
  <si>
    <t>Sneha Joshi</t>
  </si>
  <si>
    <t>12-10-2025</t>
  </si>
  <si>
    <t>Ishaan Shah</t>
  </si>
  <si>
    <t>Filing Cabinet</t>
  </si>
  <si>
    <t>2025-11-01</t>
  </si>
  <si>
    <t>Ananya Reddy</t>
  </si>
  <si>
    <t>Non-Stick Pan</t>
  </si>
  <si>
    <t>Credit  Card</t>
  </si>
  <si>
    <t>2025-02-07</t>
  </si>
  <si>
    <t>Tanvi Joshi</t>
  </si>
  <si>
    <t>Kitchen</t>
  </si>
  <si>
    <t>Induction Stove</t>
  </si>
  <si>
    <t>2025-09-28</t>
  </si>
  <si>
    <t>Notebook Pack</t>
  </si>
  <si>
    <t>2025-01-27</t>
  </si>
  <si>
    <t>Neha Gupta</t>
  </si>
  <si>
    <t>Sticky Notes</t>
  </si>
  <si>
    <t>17/03/2025</t>
  </si>
  <si>
    <t>Rohan Sharma</t>
  </si>
  <si>
    <t>Bluetooth Speaker</t>
  </si>
  <si>
    <t>2025-07-31</t>
  </si>
  <si>
    <t>Meera Chauhan</t>
  </si>
  <si>
    <t>Returned</t>
  </si>
  <si>
    <t>09/04/2025</t>
  </si>
  <si>
    <t>Dev Gupta</t>
  </si>
  <si>
    <t>Stationary</t>
  </si>
  <si>
    <t>Marker Set</t>
  </si>
  <si>
    <t>12-08-2025</t>
  </si>
  <si>
    <t>Isha Reddy</t>
  </si>
  <si>
    <t>Laptop Stand</t>
  </si>
  <si>
    <t>17/06/2025</t>
  </si>
  <si>
    <t>Riya Verma</t>
  </si>
  <si>
    <t>South</t>
  </si>
  <si>
    <t>Formal Shirt</t>
  </si>
  <si>
    <t>20-04-2025</t>
  </si>
  <si>
    <t>Ishaan Chauhan</t>
  </si>
  <si>
    <t>Webcam</t>
  </si>
  <si>
    <t>22/08/2025</t>
  </si>
  <si>
    <t>Kabir Chauhan</t>
  </si>
  <si>
    <t>08-12-2025</t>
  </si>
  <si>
    <t>Dev Nair</t>
  </si>
  <si>
    <t>Rohan Shah</t>
  </si>
  <si>
    <t>22/10/2025</t>
  </si>
  <si>
    <t>Ishaan Sharma</t>
  </si>
  <si>
    <t>07-03-2025</t>
  </si>
  <si>
    <t>Aarav Reddy</t>
  </si>
  <si>
    <t>11/02/2025</t>
  </si>
  <si>
    <t>2025-07-08</t>
  </si>
  <si>
    <t>Isha Shah</t>
  </si>
  <si>
    <t>Water Bottle</t>
  </si>
  <si>
    <t>22/01/2025</t>
  </si>
  <si>
    <t>Neha Kapoor</t>
  </si>
  <si>
    <t>19-05-2025</t>
  </si>
  <si>
    <t>Ishaan Nair</t>
  </si>
  <si>
    <t>01/07/2025</t>
  </si>
  <si>
    <t>2025-12-21</t>
  </si>
  <si>
    <t>2025-12-20</t>
  </si>
  <si>
    <t>2025-12-24</t>
  </si>
  <si>
    <t>Ishaan Patel</t>
  </si>
  <si>
    <t>16/10/2025</t>
  </si>
  <si>
    <t xml:space="preserve">North </t>
  </si>
  <si>
    <t>19/04/2025</t>
  </si>
  <si>
    <t>Aditi Shah</t>
  </si>
  <si>
    <t>16-05-2025</t>
  </si>
  <si>
    <t>Kabir Reddy</t>
  </si>
  <si>
    <t>2025-08-13</t>
  </si>
  <si>
    <t>2025-09-09</t>
  </si>
  <si>
    <t>Ishaan Iyer</t>
  </si>
  <si>
    <t>01/03/2025</t>
  </si>
  <si>
    <t>Aarav Kapoor</t>
  </si>
  <si>
    <t>Electronics</t>
  </si>
  <si>
    <t>2025-11-08</t>
  </si>
  <si>
    <t>Meera Gupta</t>
  </si>
  <si>
    <t>Wireless Mouse</t>
  </si>
  <si>
    <t>03-11-2025</t>
  </si>
  <si>
    <t>Rohan Patel</t>
  </si>
  <si>
    <t>2025-06-14</t>
  </si>
  <si>
    <t>Cancelled</t>
  </si>
  <si>
    <t>21-02-2025</t>
  </si>
  <si>
    <t>Tanvi Sharma</t>
  </si>
  <si>
    <t>2025-10-05</t>
  </si>
  <si>
    <t>17-10-2025</t>
  </si>
  <si>
    <t>Meera Shah</t>
  </si>
  <si>
    <t>2025-03-22</t>
  </si>
  <si>
    <t>Tanvi Iyer</t>
  </si>
  <si>
    <t>04/12/2025</t>
  </si>
  <si>
    <t>2025-03-09</t>
  </si>
  <si>
    <t>Riya Iyer</t>
  </si>
  <si>
    <t>13-12-2025</t>
  </si>
  <si>
    <t>Arjun Verma</t>
  </si>
  <si>
    <t>15/10/2025</t>
  </si>
  <si>
    <t>Ananya Kapoor</t>
  </si>
  <si>
    <t>Whiteboard</t>
  </si>
  <si>
    <t>23-12-2025</t>
  </si>
  <si>
    <t>Neha Joshi</t>
  </si>
  <si>
    <t>27/11/2025</t>
  </si>
  <si>
    <t>30/04/2025</t>
  </si>
  <si>
    <t>Rohan Joshi</t>
  </si>
  <si>
    <t>04-08-2025</t>
  </si>
  <si>
    <t>Isha Chauhan</t>
  </si>
  <si>
    <t>09-09-2025</t>
  </si>
  <si>
    <t>Tanvi Patel</t>
  </si>
  <si>
    <t>10-10-2025</t>
  </si>
  <si>
    <t>17/02/2025</t>
  </si>
  <si>
    <t>2025-09-04</t>
  </si>
  <si>
    <t>Isha Iyer</t>
  </si>
  <si>
    <t>2025-07-25</t>
  </si>
  <si>
    <t>Rohan Chauhan</t>
  </si>
  <si>
    <t>2025-11-13</t>
  </si>
  <si>
    <t>Aditi Gupta</t>
  </si>
  <si>
    <t>23/04/2025</t>
  </si>
  <si>
    <t>Vivaan Sharma</t>
  </si>
  <si>
    <t>Bookshelf</t>
  </si>
  <si>
    <t>2025-07-01</t>
  </si>
  <si>
    <t>2025-07-05</t>
  </si>
  <si>
    <t>Neha Patel</t>
  </si>
  <si>
    <t>28/06/2025</t>
  </si>
  <si>
    <t>Rohan Mehta</t>
  </si>
  <si>
    <t>16/11/2025</t>
  </si>
  <si>
    <t>16-02-2025</t>
  </si>
  <si>
    <t>Arjun Nair</t>
  </si>
  <si>
    <t>29/12/2025</t>
  </si>
  <si>
    <t>Tanvi Verma</t>
  </si>
  <si>
    <t>2025-11-05</t>
  </si>
  <si>
    <t>Dev Patel</t>
  </si>
  <si>
    <t>2025-09-27</t>
  </si>
  <si>
    <t>Neha Verma</t>
  </si>
  <si>
    <t>Dev Joshi</t>
  </si>
  <si>
    <t>2025-10-01</t>
  </si>
  <si>
    <t>Riya Nair</t>
  </si>
  <si>
    <t>2025-09-22</t>
  </si>
  <si>
    <t>Riya Patel</t>
  </si>
  <si>
    <t>2025-06-13</t>
  </si>
  <si>
    <t>Dev Shah</t>
  </si>
  <si>
    <t>Isha Sharma</t>
  </si>
  <si>
    <t>2025-12-09</t>
  </si>
  <si>
    <t>Simran Patel</t>
  </si>
  <si>
    <t>30-06-2025</t>
  </si>
  <si>
    <t>Dev Kapoor</t>
  </si>
  <si>
    <t>06/10/2025</t>
  </si>
  <si>
    <t>23/09/2025</t>
  </si>
  <si>
    <t>Aditi Chauhan</t>
  </si>
  <si>
    <t>20-03-2025</t>
  </si>
  <si>
    <t>14-05-2025</t>
  </si>
  <si>
    <t>Tanvi Mehta</t>
  </si>
  <si>
    <t>Cotton T-Shirt</t>
  </si>
  <si>
    <t>29/05/2025</t>
  </si>
  <si>
    <t>08/06/2025</t>
  </si>
  <si>
    <t>Ishaan Verma</t>
  </si>
  <si>
    <t>2025-09-15</t>
  </si>
  <si>
    <t>Isha Verma</t>
  </si>
  <si>
    <t>28-03-2025</t>
  </si>
  <si>
    <t>17/12/2025</t>
  </si>
  <si>
    <t>09-07-2025</t>
  </si>
  <si>
    <t>2025-06-10</t>
  </si>
  <si>
    <t>Meera Nair</t>
  </si>
  <si>
    <t>2025-10-02</t>
  </si>
  <si>
    <t>16-11-2025</t>
  </si>
  <si>
    <t>07-11-2025</t>
  </si>
  <si>
    <t>Rohan Iyer</t>
  </si>
  <si>
    <t>2025-11-19</t>
  </si>
  <si>
    <t>Ishaan Gupta</t>
  </si>
  <si>
    <t>15/04/2025</t>
  </si>
  <si>
    <t>Pending</t>
  </si>
  <si>
    <t>21/12/2025</t>
  </si>
  <si>
    <t>Arjun Iyer</t>
  </si>
  <si>
    <t>2025-10-28</t>
  </si>
  <si>
    <t>Ananya Sharma</t>
  </si>
  <si>
    <t>2025-11-30</t>
  </si>
  <si>
    <t>2025-01-20</t>
  </si>
  <si>
    <t>Riya Joshi</t>
  </si>
  <si>
    <t>01-06-2025</t>
  </si>
  <si>
    <t>26-10-2025</t>
  </si>
  <si>
    <t>Aarav Gupta</t>
  </si>
  <si>
    <t>2025-09-02</t>
  </si>
  <si>
    <t>Tanvi Chauhan</t>
  </si>
  <si>
    <t>21-10-2025</t>
  </si>
  <si>
    <t>22/07/2025</t>
  </si>
  <si>
    <t>11/07/2025</t>
  </si>
  <si>
    <t>Tanvi Reddy</t>
  </si>
  <si>
    <t>06-08-2025</t>
  </si>
  <si>
    <t>Arjun Mehta</t>
  </si>
  <si>
    <t>Vivaan Mehta</t>
  </si>
  <si>
    <t>2025-06-04</t>
  </si>
  <si>
    <t>2025-08-31</t>
  </si>
  <si>
    <t>Ananya Gupta</t>
  </si>
  <si>
    <t>27/01/2025</t>
  </si>
  <si>
    <t>Arjun Kapoor</t>
  </si>
  <si>
    <t>Ananya Verma</t>
  </si>
  <si>
    <t>10/06/2025</t>
  </si>
  <si>
    <t>Vivaan Joshi</t>
  </si>
  <si>
    <t>08-09-2025</t>
  </si>
  <si>
    <t>2025-12-29</t>
  </si>
  <si>
    <t>Aarav Mehta</t>
  </si>
  <si>
    <t>12/12/2025</t>
  </si>
  <si>
    <t>Meera Patel</t>
  </si>
  <si>
    <t>11-02-2025</t>
  </si>
  <si>
    <t>Vivaan Patel</t>
  </si>
  <si>
    <t>2025-04-28</t>
  </si>
  <si>
    <t>18/10/2025</t>
  </si>
  <si>
    <t>Dev Reddy</t>
  </si>
  <si>
    <t>USB-C Cable</t>
  </si>
  <si>
    <t>19/08/2025</t>
  </si>
  <si>
    <t>Ananya Iyer</t>
  </si>
  <si>
    <t>07/06/2025</t>
  </si>
  <si>
    <t>Simran Gupta</t>
  </si>
  <si>
    <t>13-02-2025</t>
  </si>
  <si>
    <t>17/11/2025</t>
  </si>
  <si>
    <t>Kabir Nair</t>
  </si>
  <si>
    <t>13/04/2025</t>
  </si>
  <si>
    <t>25-08-2025</t>
  </si>
  <si>
    <t>Vivaan Iyer</t>
  </si>
  <si>
    <t>Tanvi Kapoor</t>
  </si>
  <si>
    <t>23/12/2025</t>
  </si>
  <si>
    <t>24-11-2025</t>
  </si>
  <si>
    <t>Neha Reddy</t>
  </si>
  <si>
    <t>10/12/2025</t>
  </si>
  <si>
    <t>2025-06-06</t>
  </si>
  <si>
    <t>Meera Iyer</t>
  </si>
  <si>
    <t>06/04/2025</t>
  </si>
  <si>
    <t>17/01/2025</t>
  </si>
  <si>
    <t>07/05/2025</t>
  </si>
  <si>
    <t>Vivaan Nair</t>
  </si>
  <si>
    <t>24-05-2025</t>
  </si>
  <si>
    <t>21/07/2025</t>
  </si>
  <si>
    <t>23-08-2025</t>
  </si>
  <si>
    <t>2025-08-24</t>
  </si>
  <si>
    <t>2025-12-25</t>
  </si>
  <si>
    <t>28/04/2025</t>
  </si>
  <si>
    <t>19/03/2025</t>
  </si>
  <si>
    <t>Riya Mehta</t>
  </si>
  <si>
    <t>18-07-2025</t>
  </si>
  <si>
    <t>Neha Iyer</t>
  </si>
  <si>
    <t>Rohan Gupta</t>
  </si>
  <si>
    <t>21-08-2025</t>
  </si>
  <si>
    <t>Vivaan Gupta</t>
  </si>
  <si>
    <t>16/01/2025</t>
  </si>
  <si>
    <t>2025-09-18</t>
  </si>
  <si>
    <t>15-09-2025</t>
  </si>
  <si>
    <t>Vivaan Shah</t>
  </si>
  <si>
    <t>30/10/2025</t>
  </si>
  <si>
    <t>2025-01-31</t>
  </si>
  <si>
    <t>Yash Patel</t>
  </si>
  <si>
    <t>14/05/2025</t>
  </si>
  <si>
    <t>Arjun Chauhan</t>
  </si>
  <si>
    <t>20/08/2025</t>
  </si>
  <si>
    <t>Tanvi Gupta</t>
  </si>
  <si>
    <t>27/07/2025</t>
  </si>
  <si>
    <t>Ananya Patel</t>
  </si>
  <si>
    <t>2025-02-03</t>
  </si>
  <si>
    <t>Tanvi Shah</t>
  </si>
  <si>
    <t>2025-03-18</t>
  </si>
  <si>
    <t>15-07-2025</t>
  </si>
  <si>
    <t>2025-10-27</t>
  </si>
  <si>
    <t>01/04/2025</t>
  </si>
  <si>
    <t>07-09-2025</t>
  </si>
  <si>
    <t>2025-11-10</t>
  </si>
  <si>
    <t>Isha Nair</t>
  </si>
  <si>
    <t>25/01/2025</t>
  </si>
  <si>
    <t>07/02/2025</t>
  </si>
  <si>
    <t>Meera Reddy</t>
  </si>
  <si>
    <t>04/10/2025</t>
  </si>
  <si>
    <t>Riya Gupta</t>
  </si>
  <si>
    <t>23/11/2025</t>
  </si>
  <si>
    <t>Aditi Nair</t>
  </si>
  <si>
    <t>2025-02-01</t>
  </si>
  <si>
    <t>Isha Patel</t>
  </si>
  <si>
    <t>22-09-2025</t>
  </si>
  <si>
    <t>2025-02-04</t>
  </si>
  <si>
    <t>21/02/2025</t>
  </si>
  <si>
    <t>Simran Reddy</t>
  </si>
  <si>
    <t>26-01-2025</t>
  </si>
  <si>
    <t>07/04/2025</t>
  </si>
  <si>
    <t>2025-01-30</t>
  </si>
  <si>
    <t>25/03/2025</t>
  </si>
  <si>
    <t>09-03-2025</t>
  </si>
  <si>
    <t>Meera Joshi</t>
  </si>
  <si>
    <t>06/12/2025</t>
  </si>
  <si>
    <t>05/12/2025</t>
  </si>
  <si>
    <t>03-07-2025</t>
  </si>
  <si>
    <t>Riya Shah</t>
  </si>
  <si>
    <t>31/05/2025</t>
  </si>
  <si>
    <t>11-06-2025</t>
  </si>
  <si>
    <t>26/07/2025</t>
  </si>
  <si>
    <t>31-08-2025</t>
  </si>
  <si>
    <t>14/04/2025</t>
  </si>
  <si>
    <t>Ananya Nair</t>
  </si>
  <si>
    <t>29/03/2025</t>
  </si>
  <si>
    <t>30/07/2025</t>
  </si>
  <si>
    <t>2025-01-28</t>
  </si>
  <si>
    <t>Meera Verma</t>
  </si>
  <si>
    <t>15/02/2025</t>
  </si>
  <si>
    <t>25/04/2025</t>
  </si>
  <si>
    <t>Dev Verma</t>
  </si>
  <si>
    <t>26/03/2025</t>
  </si>
  <si>
    <t>Rohan Nair</t>
  </si>
  <si>
    <t>Yash Reddy</t>
  </si>
  <si>
    <t>2025-11-29</t>
  </si>
  <si>
    <t>Dev Chauhan</t>
  </si>
  <si>
    <t>27-05-2025</t>
  </si>
  <si>
    <t>Yash Shah</t>
  </si>
  <si>
    <t>18/07/2025</t>
  </si>
  <si>
    <t>30-03-2025</t>
  </si>
  <si>
    <t>12-11-2025</t>
  </si>
  <si>
    <t>13-11-2025</t>
  </si>
  <si>
    <t>18/09/2025</t>
  </si>
  <si>
    <t>16-04-2025</t>
  </si>
  <si>
    <t>10/08/2025</t>
  </si>
  <si>
    <t>2025-12-05</t>
  </si>
  <si>
    <t>2025-06-26</t>
  </si>
  <si>
    <t>04/02/2025</t>
  </si>
  <si>
    <t>Isha Mehta</t>
  </si>
  <si>
    <t>11/06/2025</t>
  </si>
  <si>
    <t>Meera Sharma</t>
  </si>
  <si>
    <t>13-03-2025</t>
  </si>
  <si>
    <t>Kabir Gupta</t>
  </si>
  <si>
    <t>10/03/2025</t>
  </si>
  <si>
    <t>15-05-2025</t>
  </si>
  <si>
    <t>2025-08-14</t>
  </si>
  <si>
    <t>2025-01-23</t>
  </si>
  <si>
    <t>15-03-2025</t>
  </si>
  <si>
    <t>Vivaan Verma</t>
  </si>
  <si>
    <t>Rohan Reddy</t>
  </si>
  <si>
    <t>26-06-2025</t>
  </si>
  <si>
    <t>2025-11-22</t>
  </si>
  <si>
    <t>Kabir Verma</t>
  </si>
  <si>
    <t>15/09/2025</t>
  </si>
  <si>
    <t>23-04-2025</t>
  </si>
  <si>
    <t>21/10/2025</t>
  </si>
  <si>
    <t>04-01-2025</t>
  </si>
  <si>
    <t>30-08-2025</t>
  </si>
  <si>
    <t>Dev Iyer</t>
  </si>
  <si>
    <t>12/10/2025</t>
  </si>
  <si>
    <t>Yash Nair</t>
  </si>
  <si>
    <t>RETAIL SALES ANALYSIS - PRACTICE PROJECT</t>
  </si>
  <si>
    <t>This is RAW, messy data — exactly how a real analyst receives it.</t>
  </si>
  <si>
    <t>Do not clean it in Python. Clean and analyze it inside Excel using the tasks given in chat.</t>
  </si>
  <si>
    <t>Known issues planted in this data (find them yourself first):</t>
  </si>
  <si>
    <t>- Inconsistent capitalization in Region, Category, PaymentMethod</t>
  </si>
  <si>
    <t>- A spelling mistake in one Category value</t>
  </si>
  <si>
    <t>- Some duplicate OrderIDs</t>
  </si>
  <si>
    <t>- Missing values in CustomerName, Quantity, UnitPrice, Discount%, PaymentMethod</t>
  </si>
  <si>
    <t>- A few completely blank rows</t>
  </si>
  <si>
    <t>- OrderDate stored in 3 different text formats</t>
  </si>
  <si>
    <t>Work on a COPY of Raw_Sales_Data. Never destroy the original raw sheet.</t>
  </si>
  <si>
    <t>Cash On Delivery</t>
  </si>
  <si>
    <t>UNKHOWN</t>
  </si>
  <si>
    <t>TotalAmount</t>
  </si>
  <si>
    <t>OrderMonth</t>
  </si>
  <si>
    <t>HighValueOrder</t>
  </si>
  <si>
    <t>DaySinceOrder</t>
  </si>
  <si>
    <t>Total Revenu By North Region :</t>
  </si>
  <si>
    <t>Total Revenu By Furniture Category :</t>
  </si>
  <si>
    <t>AvarageOrder By PaymentMethod UPI:</t>
  </si>
  <si>
    <t xml:space="preserve">Each salesperson's total number of orders </t>
  </si>
  <si>
    <t>pull each salesperson's total order count into a summary table dynamically</t>
  </si>
  <si>
    <t>Row Labels</t>
  </si>
  <si>
    <t>Grand Total</t>
  </si>
  <si>
    <t>Column Labels</t>
  </si>
  <si>
    <t>Sum of 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</si>
</sst>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C" refreshedDate="46214.500347800924" createdVersion="6" refreshedVersion="6" minRefreshableVersion="3" recordCount="230" xr:uid="{960B1ECA-13DE-410B-9B68-0B6BC35D510F}">
  <cacheSource type="worksheet">
    <worksheetSource ref="A1:P231" sheet="Raw_Sales_Data"/>
  </cacheSource>
  <cacheFields count="16">
    <cacheField name="OrderID" numFmtId="0">
      <sharedItems containsSemiMixedTypes="0" containsString="0" containsNumber="1" containsInteger="1" minValue="1001" maxValue="1233"/>
    </cacheField>
    <cacheField name="OrderDate" numFmtId="0">
      <sharedItems/>
    </cacheField>
    <cacheField name="CustomerName" numFmtId="0">
      <sharedItems/>
    </cacheField>
    <cacheField name="Region" numFmtId="0">
      <sharedItems count="7">
        <s v="East"/>
        <s v="South "/>
        <s v="West"/>
        <s v="West "/>
        <s v="North"/>
        <s v="South"/>
        <s v="North "/>
      </sharedItems>
    </cacheField>
    <cacheField name="Category" numFmtId="0">
      <sharedItems count="5">
        <s v="Furniture"/>
        <s v="Stationary"/>
        <s v="Electronics"/>
        <s v="Apparel"/>
        <s v="Kitchen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8"/>
    </cacheField>
    <cacheField name="UnitPrice" numFmtId="0">
      <sharedItems containsSemiMixedTypes="0" containsString="0" containsNumber="1" containsInteger="1" minValue="199" maxValue="4999"/>
    </cacheField>
    <cacheField name="Discount%" numFmtId="0">
      <sharedItems containsSemiMixedTypes="0" containsString="0" containsNumber="1" containsInteger="1" minValue="0" maxValue="20"/>
    </cacheField>
    <cacheField name="SalesPerson" numFmtId="0">
      <sharedItems/>
    </cacheField>
    <cacheField name="PaymentMethod" numFmtId="0">
      <sharedItems/>
    </cacheField>
    <cacheField name="Status" numFmtId="0">
      <sharedItems/>
    </cacheField>
    <cacheField name="TotalAmount" numFmtId="0">
      <sharedItems containsSemiMixedTypes="0" containsString="0" containsNumber="1" minValue="199" maxValue="39992"/>
    </cacheField>
    <cacheField name="OrderMonth" numFmtId="0">
      <sharedItems/>
    </cacheField>
    <cacheField name="HighValueOrder" numFmtId="0">
      <sharedItems/>
    </cacheField>
    <cacheField name="DaySinceOrder" numFmtId="0">
      <sharedItems containsSemiMixedTypes="0" containsString="0" containsNumber="1" containsInteger="1" minValue="194" maxValue="5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n v="1001"/>
    <s v="2025-11-24"/>
    <s v="Aarav Chauhan"/>
    <x v="0"/>
    <x v="0"/>
    <s v="Office Chair"/>
    <n v="2"/>
    <n v="2999"/>
    <n v="0"/>
    <s v="Rahul Mehta"/>
    <s v="UPI"/>
    <s v="Delivered"/>
    <n v="5998"/>
    <s v="November"/>
    <s v="High"/>
    <n v="229"/>
  </r>
  <r>
    <n v="1002"/>
    <s v="18-08-2025"/>
    <s v="Yash Sharma"/>
    <x v="1"/>
    <x v="0"/>
    <s v="Running Shoes"/>
    <n v="3"/>
    <n v="699"/>
    <n v="10"/>
    <s v="Rahul Mehta"/>
    <s v="UPI"/>
    <s v="Delivered"/>
    <n v="1887.3"/>
    <s v="August"/>
    <s v="Medium"/>
    <n v="327"/>
  </r>
  <r>
    <n v="1003"/>
    <s v="2025-07-13"/>
    <s v="Riya Kapoor"/>
    <x v="0"/>
    <x v="0"/>
    <s v="Office Chair"/>
    <n v="4"/>
    <n v="1299"/>
    <n v="0"/>
    <s v="Priya Shah"/>
    <s v="UPI"/>
    <s v="Delivered"/>
    <n v="5196"/>
    <s v="July"/>
    <s v="High"/>
    <n v="363"/>
  </r>
  <r>
    <n v="1004"/>
    <s v="16-12-2025"/>
    <s v="UNKHOWN"/>
    <x v="1"/>
    <x v="0"/>
    <s v="Bean Bag"/>
    <n v="7"/>
    <n v="999"/>
    <n v="5"/>
    <s v="Divya Nair"/>
    <s v="Debit Card"/>
    <s v="Delivered"/>
    <n v="6643.3499999999995"/>
    <s v="December"/>
    <s v="High"/>
    <n v="207"/>
  </r>
  <r>
    <n v="1005"/>
    <s v="2025-06-11"/>
    <s v="Ishaan Reddy"/>
    <x v="2"/>
    <x v="0"/>
    <s v="Gel Pen Set"/>
    <n v="5"/>
    <n v="2999"/>
    <n v="15"/>
    <s v="Aman Verma"/>
    <s v="Credit Card"/>
    <s v="Delivered"/>
    <n v="12745.75"/>
    <s v="June"/>
    <s v="High"/>
    <n v="395"/>
  </r>
  <r>
    <n v="1006"/>
    <s v="05-08-2025"/>
    <s v="Aditi Reddy"/>
    <x v="3"/>
    <x v="0"/>
    <s v="Running Shoes"/>
    <n v="5"/>
    <n v="349"/>
    <n v="10"/>
    <s v="Divya Nair"/>
    <s v="Debit Card"/>
    <s v="Delivered"/>
    <n v="1570.5"/>
    <s v="August"/>
    <s v="Medium"/>
    <n v="340"/>
  </r>
  <r>
    <n v="1007"/>
    <s v="02-04-2025"/>
    <s v="Isha Kapoor"/>
    <x v="0"/>
    <x v="0"/>
    <s v="Mixer Grinder"/>
    <n v="3"/>
    <n v="1999"/>
    <n v="0"/>
    <s v="Karan Patel"/>
    <s v="Net Banking"/>
    <s v="Delivered"/>
    <n v="5997"/>
    <s v="April"/>
    <s v="High"/>
    <n v="465"/>
  </r>
  <r>
    <n v="1008"/>
    <s v="2025-05-03"/>
    <s v="Ananya Joshi"/>
    <x v="4"/>
    <x v="0"/>
    <s v="Kurti"/>
    <n v="3"/>
    <n v="499"/>
    <n v="20"/>
    <s v="Karan Patel"/>
    <s v="Credit Card"/>
    <s v="Delivered"/>
    <n v="1197.6000000000001"/>
    <s v="May"/>
    <s v="Low"/>
    <n v="434"/>
  </r>
  <r>
    <n v="1009"/>
    <s v="09/06/2025"/>
    <s v="Simran Nair"/>
    <x v="2"/>
    <x v="0"/>
    <s v="Office Chair"/>
    <n v="6"/>
    <n v="199"/>
    <n v="5"/>
    <s v="Karan Patel"/>
    <s v="Credit Card"/>
    <s v="Delivered"/>
    <n v="1134.3"/>
    <s v="June"/>
    <s v="Low"/>
    <n v="397"/>
  </r>
  <r>
    <n v="1010"/>
    <s v="02/05/2025"/>
    <s v="Ishaan Mehta"/>
    <x v="1"/>
    <x v="0"/>
    <s v="Lunch Box"/>
    <n v="4"/>
    <n v="4999"/>
    <n v="15"/>
    <s v="Priya Shah"/>
    <s v="UPI"/>
    <s v="Delivered"/>
    <n v="16996.599999999999"/>
    <s v="May"/>
    <s v="High"/>
    <n v="435"/>
  </r>
  <r>
    <n v="1011"/>
    <s v="2025-11-27"/>
    <s v="Vivaan Reddy"/>
    <x v="0"/>
    <x v="0"/>
    <s v="Study Table"/>
    <n v="8"/>
    <n v="499"/>
    <n v="15"/>
    <s v="Priya Shah"/>
    <s v="Debit Card"/>
    <s v="Delivered"/>
    <n v="3393.2"/>
    <s v="November"/>
    <s v="Medium"/>
    <n v="226"/>
  </r>
  <r>
    <n v="1012"/>
    <s v="2025-10-04"/>
    <s v="Aditi Mehta"/>
    <x v="5"/>
    <x v="0"/>
    <s v="Denim Jacket"/>
    <n v="7"/>
    <n v="249"/>
    <n v="0"/>
    <s v="Sneha Joshi"/>
    <s v="UPI"/>
    <s v="Delivered"/>
    <n v="1743"/>
    <s v="October"/>
    <s v="Medium"/>
    <n v="280"/>
  </r>
  <r>
    <n v="1013"/>
    <s v="12-10-2025"/>
    <s v="Ishaan Shah"/>
    <x v="5"/>
    <x v="0"/>
    <s v="Filing Cabinet"/>
    <n v="1"/>
    <n v="1499"/>
    <n v="0"/>
    <s v="Rahul Mehta"/>
    <s v="Net Banking"/>
    <s v="Delivered"/>
    <n v="1499"/>
    <s v="October"/>
    <s v="Low"/>
    <n v="272"/>
  </r>
  <r>
    <n v="1014"/>
    <s v="2025-11-01"/>
    <s v="Ananya Reddy"/>
    <x v="4"/>
    <x v="0"/>
    <s v="Non-Stick Pan"/>
    <n v="2"/>
    <n v="2999"/>
    <n v="10"/>
    <s v="Aman Verma"/>
    <s v="Credit  Card"/>
    <s v="Delivered"/>
    <n v="5398.2"/>
    <s v="November"/>
    <s v="High"/>
    <n v="252"/>
  </r>
  <r>
    <n v="1015"/>
    <s v="2025-02-07"/>
    <s v="Tanvi Joshi"/>
    <x v="4"/>
    <x v="0"/>
    <s v="Induction Stove"/>
    <n v="5"/>
    <n v="499"/>
    <n v="10"/>
    <s v="Rahul Mehta"/>
    <s v="Credit Card"/>
    <s v="Delivered"/>
    <n v="2245.5"/>
    <s v="February"/>
    <s v="Medium"/>
    <n v="519"/>
  </r>
  <r>
    <n v="1016"/>
    <s v="2025-09-28"/>
    <s v="Riya Kapoor"/>
    <x v="4"/>
    <x v="0"/>
    <s v="Notebook Pack"/>
    <n v="3"/>
    <n v="999"/>
    <n v="10"/>
    <s v="Karan Patel"/>
    <s v="Credit  Card"/>
    <s v="Delivered"/>
    <n v="2697.3"/>
    <s v="September"/>
    <s v="Medium"/>
    <n v="286"/>
  </r>
  <r>
    <n v="1017"/>
    <s v="2025-01-27"/>
    <s v="Neha Gupta"/>
    <x v="4"/>
    <x v="0"/>
    <s v="Sticky Notes"/>
    <n v="3"/>
    <n v="3499"/>
    <n v="15"/>
    <s v="Karan Patel"/>
    <s v="UPI"/>
    <s v="Delivered"/>
    <n v="8922.4499999999989"/>
    <s v="January"/>
    <s v="High"/>
    <n v="530"/>
  </r>
  <r>
    <n v="1018"/>
    <s v="17/03/2025"/>
    <s v="Rohan Sharma"/>
    <x v="0"/>
    <x v="0"/>
    <s v="Bluetooth Speaker"/>
    <n v="4"/>
    <n v="349"/>
    <n v="10"/>
    <s v="Karan Patel"/>
    <s v="Cash On Delivery"/>
    <s v="Delivered"/>
    <n v="1256.4000000000001"/>
    <s v="March"/>
    <s v="Low"/>
    <n v="481"/>
  </r>
  <r>
    <n v="1019"/>
    <s v="2025-07-31"/>
    <s v="Meera Chauhan"/>
    <x v="0"/>
    <x v="0"/>
    <s v="Study Table"/>
    <n v="2"/>
    <n v="2499"/>
    <n v="0"/>
    <s v="Sneha Joshi"/>
    <s v="UNKHOWN"/>
    <s v="Returned"/>
    <n v="4998"/>
    <s v="July"/>
    <s v="Medium"/>
    <n v="345"/>
  </r>
  <r>
    <n v="1020"/>
    <s v="09/04/2025"/>
    <s v="Dev Gupta"/>
    <x v="4"/>
    <x v="0"/>
    <s v="Marker Set"/>
    <n v="7"/>
    <n v="1499"/>
    <n v="0"/>
    <s v="Rahul Mehta"/>
    <s v="Debit Card"/>
    <s v="Delivered"/>
    <n v="10493"/>
    <s v="April"/>
    <s v="High"/>
    <n v="458"/>
  </r>
  <r>
    <n v="1021"/>
    <s v="12-08-2025"/>
    <s v="Isha Reddy"/>
    <x v="5"/>
    <x v="0"/>
    <s v="Laptop Stand"/>
    <n v="1"/>
    <n v="699"/>
    <n v="10"/>
    <s v="Sneha Joshi"/>
    <s v="UPI"/>
    <s v="Delivered"/>
    <n v="629.1"/>
    <s v="August"/>
    <s v="Low"/>
    <n v="333"/>
  </r>
  <r>
    <n v="1022"/>
    <s v="17/06/2025"/>
    <s v="Riya Verma"/>
    <x v="5"/>
    <x v="0"/>
    <s v="Formal Shirt"/>
    <n v="3"/>
    <n v="1299"/>
    <n v="15"/>
    <s v="Karan Patel"/>
    <s v="UPI"/>
    <s v="Delivered"/>
    <n v="3312.45"/>
    <s v="June"/>
    <s v="Medium"/>
    <n v="389"/>
  </r>
  <r>
    <n v="1023"/>
    <s v="20-04-2025"/>
    <s v="Ishaan Chauhan"/>
    <x v="1"/>
    <x v="0"/>
    <s v="Webcam"/>
    <n v="6"/>
    <n v="299"/>
    <n v="5"/>
    <s v="Divya Nair"/>
    <s v="Debit Card"/>
    <s v="Returned"/>
    <n v="1704.3"/>
    <s v="April"/>
    <s v="Medium"/>
    <n v="447"/>
  </r>
  <r>
    <n v="1024"/>
    <s v="22/08/2025"/>
    <s v="Kabir Chauhan"/>
    <x v="2"/>
    <x v="0"/>
    <s v="Denim Jacket"/>
    <n v="1"/>
    <n v="349"/>
    <n v="15"/>
    <s v="Priya Shah"/>
    <s v="Credit  Card"/>
    <s v="Delivered"/>
    <n v="296.64999999999998"/>
    <s v="August"/>
    <s v="Low"/>
    <n v="323"/>
  </r>
  <r>
    <n v="1025"/>
    <s v="08-12-2025"/>
    <s v="Dev Nair"/>
    <x v="3"/>
    <x v="0"/>
    <s v="Formal Shirt"/>
    <n v="8"/>
    <n v="999"/>
    <n v="5"/>
    <s v="Divya Nair"/>
    <s v="Debit Card"/>
    <s v="Delivered"/>
    <n v="7592.4"/>
    <s v="December"/>
    <s v="High"/>
    <n v="215"/>
  </r>
  <r>
    <n v="1026"/>
    <s v="2025-10-04"/>
    <s v="Rohan Shah"/>
    <x v="5"/>
    <x v="0"/>
    <s v="Office Chair"/>
    <n v="7"/>
    <n v="2999"/>
    <n v="10"/>
    <s v="Karan Patel"/>
    <s v="UNKHOWN"/>
    <s v="Delivered"/>
    <n v="18893.7"/>
    <s v="October"/>
    <s v="High"/>
    <n v="280"/>
  </r>
  <r>
    <n v="1027"/>
    <s v="22/10/2025"/>
    <s v="Ishaan Sharma"/>
    <x v="0"/>
    <x v="0"/>
    <s v="Kurti"/>
    <n v="4"/>
    <n v="4999"/>
    <n v="5"/>
    <s v="Aman Verma"/>
    <s v="Cash On Delivery"/>
    <s v="Delivered"/>
    <n v="18996.2"/>
    <s v="October"/>
    <s v="High"/>
    <n v="262"/>
  </r>
  <r>
    <n v="1028"/>
    <s v="07-03-2025"/>
    <s v="Aarav Reddy"/>
    <x v="4"/>
    <x v="0"/>
    <s v="Formal Shirt"/>
    <n v="3"/>
    <n v="249"/>
    <n v="10"/>
    <s v="Sneha Joshi"/>
    <s v="Debit Card"/>
    <s v="Delivered"/>
    <n v="672.30000000000007"/>
    <s v="March"/>
    <s v="Low"/>
    <n v="491"/>
  </r>
  <r>
    <n v="1029"/>
    <s v="11/02/2025"/>
    <s v="Aarav Chauhan"/>
    <x v="4"/>
    <x v="0"/>
    <s v="Office Chair"/>
    <n v="1"/>
    <n v="899"/>
    <n v="5"/>
    <s v="Rahul Mehta"/>
    <s v="Net Banking"/>
    <s v="Delivered"/>
    <n v="854.05"/>
    <s v="February"/>
    <s v="Low"/>
    <n v="515"/>
  </r>
  <r>
    <n v="1030"/>
    <s v="2025-07-08"/>
    <s v="Isha Shah"/>
    <x v="0"/>
    <x v="0"/>
    <s v="Water Bottle"/>
    <n v="7"/>
    <n v="2499"/>
    <n v="5"/>
    <s v="Rahul Mehta"/>
    <s v="Net Banking"/>
    <s v="Delivered"/>
    <n v="16618.349999999999"/>
    <s v="July"/>
    <s v="High"/>
    <n v="368"/>
  </r>
  <r>
    <n v="1031"/>
    <s v="22/01/2025"/>
    <s v="Neha Kapoor"/>
    <x v="0"/>
    <x v="0"/>
    <s v="Water Bottle"/>
    <n v="1"/>
    <n v="2999"/>
    <n v="20"/>
    <s v="Rahul Mehta"/>
    <s v="Cash On Delivery"/>
    <s v="Delivered"/>
    <n v="2399.2000000000003"/>
    <s v="January"/>
    <s v="Medium"/>
    <n v="535"/>
  </r>
  <r>
    <n v="1032"/>
    <s v="19-05-2025"/>
    <s v="Ishaan Nair"/>
    <x v="3"/>
    <x v="0"/>
    <s v="Water Bottle"/>
    <n v="4"/>
    <n v="299"/>
    <n v="10"/>
    <s v="Sneha Joshi"/>
    <s v="Credit Card"/>
    <s v="Delivered"/>
    <n v="1076.4000000000001"/>
    <s v="May"/>
    <s v="Low"/>
    <n v="418"/>
  </r>
  <r>
    <n v="1033"/>
    <s v="01/07/2025"/>
    <s v="Dev Gupta"/>
    <x v="0"/>
    <x v="0"/>
    <s v="Bluetooth Speaker"/>
    <n v="2"/>
    <n v="899"/>
    <n v="15"/>
    <s v="Sneha Joshi"/>
    <s v="Net Banking"/>
    <s v="Delivered"/>
    <n v="1528.3"/>
    <s v="July"/>
    <s v="Medium"/>
    <n v="375"/>
  </r>
  <r>
    <n v="1034"/>
    <s v="2025-12-21"/>
    <s v="Riya Kapoor"/>
    <x v="0"/>
    <x v="0"/>
    <s v="Water Bottle"/>
    <n v="7"/>
    <n v="1499"/>
    <n v="10"/>
    <s v="Divya Nair"/>
    <s v="Cash On Delivery"/>
    <s v="Delivered"/>
    <n v="9443.7000000000007"/>
    <s v="December"/>
    <s v="High"/>
    <n v="202"/>
  </r>
  <r>
    <n v="1035"/>
    <s v="2025-12-20"/>
    <s v="UNKHOWN"/>
    <x v="2"/>
    <x v="0"/>
    <s v="Induction Stove"/>
    <n v="5"/>
    <n v="349"/>
    <n v="5"/>
    <s v="Aman Verma"/>
    <s v="Credit Card"/>
    <s v="Delivered"/>
    <n v="1657.75"/>
    <s v="December"/>
    <s v="Medium"/>
    <n v="203"/>
  </r>
  <r>
    <n v="1036"/>
    <s v="2025-12-24"/>
    <s v="Ishaan Patel"/>
    <x v="4"/>
    <x v="0"/>
    <s v="Formal Shirt"/>
    <n v="6"/>
    <n v="599"/>
    <n v="0"/>
    <s v="Aman Verma"/>
    <s v="Cash On Delivery"/>
    <s v="Returned"/>
    <n v="3594"/>
    <s v="December"/>
    <s v="Medium"/>
    <n v="199"/>
  </r>
  <r>
    <n v="1037"/>
    <s v="16/10/2025"/>
    <s v="Aditi Mehta"/>
    <x v="6"/>
    <x v="0"/>
    <s v="Induction Stove"/>
    <n v="4"/>
    <n v="2499"/>
    <n v="20"/>
    <s v="Sneha Joshi"/>
    <s v="Debit Card"/>
    <s v="Delivered"/>
    <n v="7996.8"/>
    <s v="October"/>
    <s v="High"/>
    <n v="268"/>
  </r>
  <r>
    <n v="1038"/>
    <s v="19/04/2025"/>
    <s v="Aditi Shah"/>
    <x v="5"/>
    <x v="0"/>
    <s v="Mixer Grinder"/>
    <n v="1"/>
    <n v="2999"/>
    <n v="20"/>
    <s v="Divya Nair"/>
    <s v="Net Banking"/>
    <s v="Delivered"/>
    <n v="2399.2000000000003"/>
    <s v="April"/>
    <s v="Medium"/>
    <n v="448"/>
  </r>
  <r>
    <n v="1039"/>
    <s v="16-05-2025"/>
    <s v="Kabir Reddy"/>
    <x v="4"/>
    <x v="0"/>
    <s v="Study Table"/>
    <n v="2"/>
    <n v="249"/>
    <n v="0"/>
    <s v="Aman Verma"/>
    <s v="Net Banking"/>
    <s v="Delivered"/>
    <n v="498"/>
    <s v="May"/>
    <s v="Low"/>
    <n v="421"/>
  </r>
  <r>
    <n v="1040"/>
    <s v="2025-08-13"/>
    <s v="Vivaan Reddy"/>
    <x v="0"/>
    <x v="0"/>
    <s v="Notebook Pack"/>
    <n v="4"/>
    <n v="199"/>
    <n v="10"/>
    <s v="Karan Patel"/>
    <s v="UPI"/>
    <s v="Delivered"/>
    <n v="716.4"/>
    <s v="August"/>
    <s v="Low"/>
    <n v="332"/>
  </r>
  <r>
    <n v="1041"/>
    <s v="2025-09-09"/>
    <s v="Ishaan Iyer"/>
    <x v="2"/>
    <x v="1"/>
    <s v="Notebook Pack"/>
    <n v="3"/>
    <n v="1499"/>
    <n v="15"/>
    <s v="Divya Nair"/>
    <s v="Cash On Delivery"/>
    <s v="Delivered"/>
    <n v="3822.45"/>
    <s v="September"/>
    <s v="Medium"/>
    <n v="305"/>
  </r>
  <r>
    <n v="1042"/>
    <s v="01/03/2025"/>
    <s v="Aarav Kapoor"/>
    <x v="2"/>
    <x v="2"/>
    <s v="Webcam"/>
    <n v="6"/>
    <n v="4999"/>
    <n v="20"/>
    <s v="Rahul Mehta"/>
    <s v="Credit Card"/>
    <s v="Delivered"/>
    <n v="23995.200000000001"/>
    <s v="March"/>
    <s v="High"/>
    <n v="497"/>
  </r>
  <r>
    <n v="1043"/>
    <s v="2025-11-08"/>
    <s v="Meera Gupta"/>
    <x v="6"/>
    <x v="2"/>
    <s v="Wireless Mouse"/>
    <n v="8"/>
    <n v="349"/>
    <n v="0"/>
    <s v="Sneha Joshi"/>
    <s v="Debit Card"/>
    <s v="Delivered"/>
    <n v="2792"/>
    <s v="November"/>
    <s v="Medium"/>
    <n v="245"/>
  </r>
  <r>
    <n v="1044"/>
    <s v="03-11-2025"/>
    <s v="Rohan Patel"/>
    <x v="0"/>
    <x v="1"/>
    <s v="Sticky Notes"/>
    <n v="1"/>
    <n v="1299"/>
    <n v="10"/>
    <s v="Karan Patel"/>
    <s v="Net Banking"/>
    <s v="Returned"/>
    <n v="1169.1000000000001"/>
    <s v="November"/>
    <s v="Low"/>
    <n v="250"/>
  </r>
  <r>
    <n v="1045"/>
    <s v="2025-06-14"/>
    <s v="Ananya Joshi"/>
    <x v="2"/>
    <x v="3"/>
    <s v="Running Shoes"/>
    <n v="8"/>
    <n v="2499"/>
    <n v="15"/>
    <s v="Divya Nair"/>
    <s v="Credit Card"/>
    <s v="Cancelled"/>
    <n v="16993.2"/>
    <s v="June"/>
    <s v="High"/>
    <n v="392"/>
  </r>
  <r>
    <n v="1046"/>
    <s v="21-02-2025"/>
    <s v="Tanvi Sharma"/>
    <x v="5"/>
    <x v="0"/>
    <s v="Bean Bag"/>
    <n v="5"/>
    <n v="1499"/>
    <n v="15"/>
    <s v="Divya Nair"/>
    <s v="UPI"/>
    <s v="Returned"/>
    <n v="6370.75"/>
    <s v="February"/>
    <s v="High"/>
    <n v="505"/>
  </r>
  <r>
    <n v="1047"/>
    <s v="2025-10-05"/>
    <s v="Aditi Mehta"/>
    <x v="0"/>
    <x v="2"/>
    <s v="Wireless Mouse"/>
    <n v="2"/>
    <n v="3499"/>
    <n v="0"/>
    <s v="Divya Nair"/>
    <s v="Debit Card"/>
    <s v="Delivered"/>
    <n v="6998"/>
    <s v="October"/>
    <s v="High"/>
    <n v="279"/>
  </r>
  <r>
    <n v="1231"/>
    <s v="17-10-2025"/>
    <s v="Meera Shah"/>
    <x v="5"/>
    <x v="4"/>
    <s v="Induction Stove"/>
    <n v="5"/>
    <n v="4999"/>
    <n v="0"/>
    <s v="Priya Shah"/>
    <s v="Cash On Delivery"/>
    <s v="Delivered"/>
    <n v="24995"/>
    <s v="October"/>
    <s v="High"/>
    <n v="267"/>
  </r>
  <r>
    <n v="1049"/>
    <s v="2025-03-22"/>
    <s v="Tanvi Iyer"/>
    <x v="0"/>
    <x v="3"/>
    <s v="Running Shoes"/>
    <n v="8"/>
    <n v="1299"/>
    <n v="5"/>
    <s v="Sneha Joshi"/>
    <s v="Cash On Delivery"/>
    <s v="Delivered"/>
    <n v="9872.4"/>
    <s v="March"/>
    <s v="High"/>
    <n v="476"/>
  </r>
  <r>
    <n v="1050"/>
    <s v="04/12/2025"/>
    <s v="Yash Sharma"/>
    <x v="6"/>
    <x v="1"/>
    <s v="Marker Set"/>
    <n v="6"/>
    <n v="899"/>
    <n v="5"/>
    <s v="Karan Patel"/>
    <s v="Debit Card"/>
    <s v="Delivered"/>
    <n v="5124.3"/>
    <s v="December"/>
    <s v="High"/>
    <n v="219"/>
  </r>
  <r>
    <n v="1051"/>
    <s v="2025-03-09"/>
    <s v="Riya Iyer"/>
    <x v="2"/>
    <x v="0"/>
    <s v="Filing Cabinet"/>
    <n v="6"/>
    <n v="999"/>
    <n v="0"/>
    <s v="Aman Verma"/>
    <s v="Cash On Delivery"/>
    <s v="Delivered"/>
    <n v="5994"/>
    <s v="March"/>
    <s v="High"/>
    <n v="489"/>
  </r>
  <r>
    <n v="1052"/>
    <s v="13-12-2025"/>
    <s v="Arjun Verma"/>
    <x v="0"/>
    <x v="3"/>
    <s v="Running Shoes"/>
    <n v="2"/>
    <n v="3499"/>
    <n v="0"/>
    <s v="Divya Nair"/>
    <s v="Debit Card"/>
    <s v="Returned"/>
    <n v="6998"/>
    <s v="December"/>
    <s v="High"/>
    <n v="210"/>
  </r>
  <r>
    <n v="1053"/>
    <s v="15/10/2025"/>
    <s v="Ananya Kapoor"/>
    <x v="6"/>
    <x v="1"/>
    <s v="Whiteboard"/>
    <n v="2"/>
    <n v="499"/>
    <n v="0"/>
    <s v="Rahul Mehta"/>
    <s v="Debit Card"/>
    <s v="Delivered"/>
    <n v="998"/>
    <s v="October"/>
    <s v="Low"/>
    <n v="269"/>
  </r>
  <r>
    <n v="1054"/>
    <s v="23-12-2025"/>
    <s v="Neha Joshi"/>
    <x v="5"/>
    <x v="2"/>
    <s v="Webcam"/>
    <n v="7"/>
    <n v="999"/>
    <n v="0"/>
    <s v="Divya Nair"/>
    <s v="Debit Card"/>
    <s v="Delivered"/>
    <n v="6993"/>
    <s v="December"/>
    <s v="High"/>
    <n v="200"/>
  </r>
  <r>
    <n v="1055"/>
    <s v="27/11/2025"/>
    <s v="Vivaan Reddy"/>
    <x v="0"/>
    <x v="2"/>
    <s v="Wireless Mouse"/>
    <n v="4"/>
    <n v="199"/>
    <n v="0"/>
    <s v="Aman Verma"/>
    <s v="Credit Card"/>
    <s v="Returned"/>
    <n v="796"/>
    <s v="November"/>
    <s v="Low"/>
    <n v="226"/>
  </r>
  <r>
    <n v="1056"/>
    <s v="30/04/2025"/>
    <s v="Rohan Joshi"/>
    <x v="4"/>
    <x v="0"/>
    <s v="Filing Cabinet"/>
    <n v="5"/>
    <n v="599"/>
    <n v="0"/>
    <s v="Divya Nair"/>
    <s v="UPI"/>
    <s v="Delivered"/>
    <n v="2995"/>
    <s v="April"/>
    <s v="Medium"/>
    <n v="437"/>
  </r>
  <r>
    <n v="1057"/>
    <s v="04-08-2025"/>
    <s v="Isha Chauhan"/>
    <x v="6"/>
    <x v="3"/>
    <s v="Kurti"/>
    <n v="2"/>
    <n v="3499"/>
    <n v="5"/>
    <s v="Karan Patel"/>
    <s v="UPI"/>
    <s v="Delivered"/>
    <n v="6648.0999999999995"/>
    <s v="August"/>
    <s v="High"/>
    <n v="341"/>
  </r>
  <r>
    <n v="1058"/>
    <s v="09-09-2025"/>
    <s v="Tanvi Patel"/>
    <x v="4"/>
    <x v="4"/>
    <s v="Non-Stick Pan"/>
    <n v="3"/>
    <n v="999"/>
    <n v="10"/>
    <s v="Sneha Joshi"/>
    <s v="Net Banking"/>
    <s v="Delivered"/>
    <n v="2697.3"/>
    <s v="September"/>
    <s v="Medium"/>
    <n v="305"/>
  </r>
  <r>
    <n v="1059"/>
    <s v="10-10-2025"/>
    <s v="Kabir Reddy"/>
    <x v="2"/>
    <x v="3"/>
    <s v="Formal Shirt"/>
    <n v="7"/>
    <n v="2999"/>
    <n v="0"/>
    <s v="Aman Verma"/>
    <s v="Cash On Delivery"/>
    <s v="Delivered"/>
    <n v="20993"/>
    <s v="October"/>
    <s v="High"/>
    <n v="274"/>
  </r>
  <r>
    <n v="1060"/>
    <s v="17/02/2025"/>
    <s v="Isha Chauhan"/>
    <x v="0"/>
    <x v="4"/>
    <s v="Induction Stove"/>
    <n v="6"/>
    <n v="349"/>
    <n v="15"/>
    <s v="Aman Verma"/>
    <s v="Cash On Delivery"/>
    <s v="Delivered"/>
    <n v="1779.8999999999999"/>
    <s v="February"/>
    <s v="Medium"/>
    <n v="509"/>
  </r>
  <r>
    <n v="1061"/>
    <s v="2025-09-04"/>
    <s v="Isha Iyer"/>
    <x v="0"/>
    <x v="1"/>
    <s v="Gel Pen Set"/>
    <n v="7"/>
    <n v="1488"/>
    <n v="10"/>
    <s v="Rahul Mehta"/>
    <s v="Credit Card"/>
    <s v="Delivered"/>
    <n v="9374.4"/>
    <s v="September"/>
    <s v="High"/>
    <n v="310"/>
  </r>
  <r>
    <n v="1062"/>
    <s v="2025-07-25"/>
    <s v="Rohan Chauhan"/>
    <x v="4"/>
    <x v="4"/>
    <s v="Lunch Box"/>
    <n v="7"/>
    <n v="3499"/>
    <n v="10"/>
    <s v="Priya Shah"/>
    <s v="Debit Card"/>
    <s v="Delivered"/>
    <n v="22043.7"/>
    <s v="July"/>
    <s v="High"/>
    <n v="351"/>
  </r>
  <r>
    <n v="1063"/>
    <s v="2025-11-13"/>
    <s v="Aditi Gupta"/>
    <x v="3"/>
    <x v="3"/>
    <s v="Kurti"/>
    <n v="8"/>
    <n v="2999"/>
    <n v="10"/>
    <s v="Priya Shah"/>
    <s v="Net Banking"/>
    <s v="Delivered"/>
    <n v="21592.799999999999"/>
    <s v="November"/>
    <s v="High"/>
    <n v="240"/>
  </r>
  <r>
    <n v="1064"/>
    <s v="23/04/2025"/>
    <s v="Vivaan Sharma"/>
    <x v="5"/>
    <x v="0"/>
    <s v="Bookshelf"/>
    <n v="5"/>
    <n v="1499"/>
    <n v="0"/>
    <s v="Rahul Mehta"/>
    <s v="Cash On Delivery"/>
    <s v="Delivered"/>
    <n v="7495"/>
    <s v="April"/>
    <s v="High"/>
    <n v="444"/>
  </r>
  <r>
    <n v="1065"/>
    <s v="2025-07-01"/>
    <s v="UNKHOWN"/>
    <x v="6"/>
    <x v="2"/>
    <s v="Wireless Mouse"/>
    <n v="6"/>
    <n v="2999"/>
    <n v="15"/>
    <s v="Divya Nair"/>
    <s v="Cash On Delivery"/>
    <s v="Delivered"/>
    <n v="15294.9"/>
    <s v="July"/>
    <s v="High"/>
    <n v="375"/>
  </r>
  <r>
    <n v="1066"/>
    <s v="2025-07-05"/>
    <s v="Neha Patel"/>
    <x v="5"/>
    <x v="4"/>
    <s v="Induction Stove"/>
    <n v="2"/>
    <n v="2499"/>
    <n v="10"/>
    <s v="Divya Nair"/>
    <s v="Debit Card"/>
    <s v="Delivered"/>
    <n v="4498.2"/>
    <s v="July"/>
    <s v="Medium"/>
    <n v="371"/>
  </r>
  <r>
    <n v="1067"/>
    <s v="28/06/2025"/>
    <s v="Rohan Mehta"/>
    <x v="4"/>
    <x v="1"/>
    <s v="Gel Pen Set"/>
    <n v="3"/>
    <n v="299"/>
    <n v="0"/>
    <s v="Divya Nair"/>
    <s v="Cash On Delivery"/>
    <s v="Returned"/>
    <n v="897"/>
    <s v="June"/>
    <s v="Low"/>
    <n v="378"/>
  </r>
  <r>
    <n v="1068"/>
    <s v="16/11/2025"/>
    <s v="UNKHOWN"/>
    <x v="2"/>
    <x v="3"/>
    <s v="Running Shoes"/>
    <n v="5"/>
    <n v="249"/>
    <n v="10"/>
    <s v="Karan Patel"/>
    <s v="UPI"/>
    <s v="Delivered"/>
    <n v="1120.5"/>
    <s v="November"/>
    <s v="Low"/>
    <n v="237"/>
  </r>
  <r>
    <n v="1069"/>
    <s v="16-02-2025"/>
    <s v="Arjun Nair"/>
    <x v="6"/>
    <x v="4"/>
    <s v="Mixer Grinder"/>
    <n v="6"/>
    <n v="4999"/>
    <n v="0"/>
    <s v="Rahul Mehta"/>
    <s v="Cash On Delivery"/>
    <s v="Returned"/>
    <n v="29994"/>
    <s v="February"/>
    <s v="High"/>
    <n v="510"/>
  </r>
  <r>
    <n v="1070"/>
    <s v="29/12/2025"/>
    <s v="Tanvi Verma"/>
    <x v="5"/>
    <x v="1"/>
    <s v="Whiteboard"/>
    <n v="7"/>
    <n v="1499"/>
    <n v="0"/>
    <s v="Divya Nair"/>
    <s v="Debit Card"/>
    <s v="Delivered"/>
    <n v="10493"/>
    <s v="December"/>
    <s v="High"/>
    <n v="194"/>
  </r>
  <r>
    <n v="1071"/>
    <s v="2025-11-05"/>
    <s v="Dev Patel"/>
    <x v="5"/>
    <x v="1"/>
    <s v="Whiteboard"/>
    <n v="3"/>
    <n v="299"/>
    <n v="10"/>
    <s v="Karan Patel"/>
    <s v="Cash On Delivery"/>
    <s v="Returned"/>
    <n v="807.30000000000007"/>
    <s v="November"/>
    <s v="Low"/>
    <n v="248"/>
  </r>
  <r>
    <n v="1072"/>
    <s v="2025-09-27"/>
    <s v="Neha Verma"/>
    <x v="0"/>
    <x v="1"/>
    <s v="Gel Pen Set"/>
    <n v="4"/>
    <n v="1499"/>
    <n v="20"/>
    <s v="Priya Shah"/>
    <s v="Credit Card"/>
    <s v="Delivered"/>
    <n v="4796.8"/>
    <s v="September"/>
    <s v="Medium"/>
    <n v="287"/>
  </r>
  <r>
    <n v="1073"/>
    <s v="2025-09-27"/>
    <s v="Dev Joshi"/>
    <x v="1"/>
    <x v="3"/>
    <s v="Denim Jacket"/>
    <n v="3"/>
    <n v="599"/>
    <n v="20"/>
    <s v="Rahul Mehta"/>
    <s v="Cash On Delivery"/>
    <s v="Delivered"/>
    <n v="1437.6000000000001"/>
    <s v="September"/>
    <s v="Low"/>
    <n v="287"/>
  </r>
  <r>
    <n v="1074"/>
    <s v="2025-10-01"/>
    <s v="Riya Nair"/>
    <x v="5"/>
    <x v="4"/>
    <s v="Lunch Box"/>
    <n v="5"/>
    <n v="2499"/>
    <n v="15"/>
    <s v="Priya Shah"/>
    <s v="Credit  Card"/>
    <s v="Delivered"/>
    <n v="10620.75"/>
    <s v="October"/>
    <s v="High"/>
    <n v="283"/>
  </r>
  <r>
    <n v="1075"/>
    <s v="2025-09-22"/>
    <s v="Riya Patel"/>
    <x v="5"/>
    <x v="3"/>
    <s v="Denim Jacket"/>
    <n v="7"/>
    <n v="299"/>
    <n v="5"/>
    <s v="Sneha Joshi"/>
    <s v="Debit Card"/>
    <s v="Delivered"/>
    <n v="1988.35"/>
    <s v="September"/>
    <s v="Medium"/>
    <n v="292"/>
  </r>
  <r>
    <n v="1076"/>
    <s v="2025-06-13"/>
    <s v="Dev Shah"/>
    <x v="5"/>
    <x v="1"/>
    <s v="Gel Pen Set"/>
    <n v="8"/>
    <n v="3499"/>
    <n v="0"/>
    <s v="Rahul Mehta"/>
    <s v="UPI"/>
    <s v="Delivered"/>
    <n v="27992"/>
    <s v="June"/>
    <s v="High"/>
    <n v="393"/>
  </r>
  <r>
    <n v="1077"/>
    <s v="02/05/2025"/>
    <s v="Isha Sharma"/>
    <x v="5"/>
    <x v="4"/>
    <s v="Non-Stick Pan"/>
    <n v="5"/>
    <n v="4999"/>
    <n v="0"/>
    <s v="Divya Nair"/>
    <s v="Net Banking"/>
    <s v="Delivered"/>
    <n v="24995"/>
    <s v="May"/>
    <s v="High"/>
    <n v="435"/>
  </r>
  <r>
    <n v="1078"/>
    <s v="2025-12-09"/>
    <s v="Simran Patel"/>
    <x v="6"/>
    <x v="3"/>
    <s v="Formal Shirt"/>
    <n v="6"/>
    <n v="999"/>
    <n v="0"/>
    <s v="Aman Verma"/>
    <s v="UPI"/>
    <s v="Delivered"/>
    <n v="5994"/>
    <s v="December"/>
    <s v="High"/>
    <n v="214"/>
  </r>
  <r>
    <n v="1079"/>
    <s v="30-06-2025"/>
    <s v="Dev Kapoor"/>
    <x v="1"/>
    <x v="3"/>
    <s v="Formal Shirt"/>
    <n v="3"/>
    <n v="499"/>
    <n v="0"/>
    <s v="Divya Nair"/>
    <s v="Cash On Delivery"/>
    <s v="Delivered"/>
    <n v="1497"/>
    <s v="June"/>
    <s v="Low"/>
    <n v="376"/>
  </r>
  <r>
    <n v="1080"/>
    <s v="06/10/2025"/>
    <s v="Yash Sharma"/>
    <x v="5"/>
    <x v="1"/>
    <s v="Sticky Notes"/>
    <n v="5"/>
    <n v="349"/>
    <n v="10"/>
    <s v="Sneha Joshi"/>
    <s v="Cash On Delivery"/>
    <s v="Delivered"/>
    <n v="1570.5"/>
    <s v="October"/>
    <s v="Medium"/>
    <n v="278"/>
  </r>
  <r>
    <n v="1081"/>
    <s v="23/09/2025"/>
    <s v="Aditi Chauhan"/>
    <x v="2"/>
    <x v="3"/>
    <s v="Denim Jacket"/>
    <n v="5"/>
    <n v="1499"/>
    <n v="0"/>
    <s v="Rahul Mehta"/>
    <s v="Debit Card"/>
    <s v="Delivered"/>
    <n v="7495"/>
    <s v="September"/>
    <s v="High"/>
    <n v="291"/>
  </r>
  <r>
    <n v="1082"/>
    <s v="30-06-2025"/>
    <s v="Neha Gupta"/>
    <x v="4"/>
    <x v="3"/>
    <s v="Kurti"/>
    <n v="3"/>
    <n v="199"/>
    <n v="0"/>
    <s v="Karan Patel"/>
    <s v="Cash On Delivery"/>
    <s v="Delivered"/>
    <n v="597"/>
    <s v="June"/>
    <s v="Low"/>
    <n v="376"/>
  </r>
  <r>
    <n v="1083"/>
    <s v="20-03-2025"/>
    <s v="UNKHOWN"/>
    <x v="0"/>
    <x v="2"/>
    <s v="Bluetooth Speaker"/>
    <n v="6"/>
    <n v="2499"/>
    <n v="10"/>
    <s v="Divya Nair"/>
    <s v="Debit Card"/>
    <s v="Cancelled"/>
    <n v="13494.6"/>
    <s v="March"/>
    <s v="High"/>
    <n v="478"/>
  </r>
  <r>
    <n v="1084"/>
    <s v="14-05-2025"/>
    <s v="Tanvi Mehta"/>
    <x v="0"/>
    <x v="3"/>
    <s v="Cotton T-Shirt"/>
    <n v="3"/>
    <n v="299"/>
    <n v="20"/>
    <s v="Priya Shah"/>
    <s v="Cash On Delivery"/>
    <s v="Returned"/>
    <n v="717.6"/>
    <s v="May"/>
    <s v="Low"/>
    <n v="423"/>
  </r>
  <r>
    <n v="1085"/>
    <s v="29/05/2025"/>
    <s v="Meera Chauhan"/>
    <x v="5"/>
    <x v="4"/>
    <s v="Non-Stick Pan"/>
    <n v="4"/>
    <n v="499"/>
    <n v="5"/>
    <s v="Sneha Joshi"/>
    <s v="UPI"/>
    <s v="Delivered"/>
    <n v="1896.1999999999998"/>
    <s v="May"/>
    <s v="Medium"/>
    <n v="408"/>
  </r>
  <r>
    <n v="1086"/>
    <s v="08/06/2025"/>
    <s v="Ishaan Verma"/>
    <x v="2"/>
    <x v="4"/>
    <s v="Mixer Grinder"/>
    <n v="6"/>
    <n v="299"/>
    <n v="20"/>
    <s v="Sneha Joshi"/>
    <s v="Net Banking"/>
    <s v="Delivered"/>
    <n v="1435.2"/>
    <s v="June"/>
    <s v="Low"/>
    <n v="398"/>
  </r>
  <r>
    <n v="1087"/>
    <s v="2025-09-15"/>
    <s v="Isha Verma"/>
    <x v="5"/>
    <x v="0"/>
    <s v="Bookshelf"/>
    <n v="4"/>
    <n v="1999"/>
    <n v="10"/>
    <s v="Rahul Mehta"/>
    <s v="Debit Card"/>
    <s v="Delivered"/>
    <n v="7196.4000000000005"/>
    <s v="September"/>
    <s v="High"/>
    <n v="299"/>
  </r>
  <r>
    <n v="1088"/>
    <s v="28-03-2025"/>
    <s v="Rohan Shah"/>
    <x v="0"/>
    <x v="2"/>
    <s v="Wireless Mouse"/>
    <n v="1"/>
    <n v="999"/>
    <n v="5"/>
    <s v="Karan Patel"/>
    <s v="Cash On Delivery"/>
    <s v="Delivered"/>
    <n v="949.05"/>
    <s v="March"/>
    <s v="Low"/>
    <n v="470"/>
  </r>
  <r>
    <n v="1089"/>
    <s v="17/12/2025"/>
    <s v="Riya Nair"/>
    <x v="4"/>
    <x v="0"/>
    <s v="Bean Bag"/>
    <n v="8"/>
    <n v="3499"/>
    <n v="5"/>
    <s v="Aman Verma"/>
    <s v="Net Banking"/>
    <s v="Delivered"/>
    <n v="26592.399999999998"/>
    <s v="December"/>
    <s v="High"/>
    <n v="206"/>
  </r>
  <r>
    <n v="1090"/>
    <s v="09-07-2025"/>
    <s v="Isha Iyer"/>
    <x v="5"/>
    <x v="2"/>
    <s v="Laptop Stand"/>
    <n v="4"/>
    <n v="499"/>
    <n v="0"/>
    <s v="Rahul Mehta"/>
    <s v="Debit Card"/>
    <s v="Returned"/>
    <n v="1996"/>
    <s v="July"/>
    <s v="Medium"/>
    <n v="367"/>
  </r>
  <r>
    <n v="1091"/>
    <s v="2025-06-10"/>
    <s v="Meera Nair"/>
    <x v="2"/>
    <x v="1"/>
    <s v="Notebook Pack"/>
    <n v="2"/>
    <n v="2499"/>
    <n v="20"/>
    <s v="Priya Shah"/>
    <s v="Credit  Card"/>
    <s v="Delivered"/>
    <n v="3998.4"/>
    <s v="June"/>
    <s v="Medium"/>
    <n v="396"/>
  </r>
  <r>
    <n v="1092"/>
    <s v="2025-10-02"/>
    <s v="Isha Reddy"/>
    <x v="5"/>
    <x v="1"/>
    <s v="Sticky Notes"/>
    <n v="1"/>
    <n v="2499"/>
    <n v="0"/>
    <s v="Karan Patel"/>
    <s v="Net Banking"/>
    <s v="Delivered"/>
    <n v="2499"/>
    <s v="October"/>
    <s v="Medium"/>
    <n v="282"/>
  </r>
  <r>
    <n v="1093"/>
    <s v="16-11-2025"/>
    <s v="Isha Shah"/>
    <x v="6"/>
    <x v="1"/>
    <s v="Marker Set"/>
    <n v="6"/>
    <n v="499"/>
    <n v="5"/>
    <s v="Karan Patel"/>
    <s v="Net Banking"/>
    <s v="Delivered"/>
    <n v="2844.2999999999997"/>
    <s v="November"/>
    <s v="Medium"/>
    <n v="237"/>
  </r>
  <r>
    <n v="1094"/>
    <s v="07-11-2025"/>
    <s v="Rohan Iyer"/>
    <x v="0"/>
    <x v="3"/>
    <s v="Running Shoes"/>
    <n v="6"/>
    <n v="4999"/>
    <n v="10"/>
    <s v="Sneha Joshi"/>
    <s v="UPI"/>
    <s v="Delivered"/>
    <n v="26994.600000000002"/>
    <s v="November"/>
    <s v="High"/>
    <n v="246"/>
  </r>
  <r>
    <n v="1095"/>
    <s v="2025-11-19"/>
    <s v="Ishaan Gupta"/>
    <x v="1"/>
    <x v="2"/>
    <s v="Laptop Stand"/>
    <n v="3"/>
    <n v="2499"/>
    <n v="0"/>
    <s v="Divya Nair"/>
    <s v="Credit Card"/>
    <s v="Delivered"/>
    <n v="7497"/>
    <s v="November"/>
    <s v="High"/>
    <n v="234"/>
  </r>
  <r>
    <n v="1096"/>
    <s v="15/04/2025"/>
    <s v="Ishaan Chauhan"/>
    <x v="4"/>
    <x v="4"/>
    <s v="Induction Stove"/>
    <n v="6"/>
    <n v="4999"/>
    <n v="15"/>
    <s v="Aman Verma"/>
    <s v="Credit Card"/>
    <s v="Pending"/>
    <n v="25494.899999999998"/>
    <s v="April"/>
    <s v="High"/>
    <n v="452"/>
  </r>
  <r>
    <n v="1097"/>
    <s v="21/12/2025"/>
    <s v="Ishaan Mehta"/>
    <x v="5"/>
    <x v="4"/>
    <s v="Mixer Grinder"/>
    <n v="5"/>
    <n v="1299"/>
    <n v="5"/>
    <s v="Divya Nair"/>
    <s v="Cash On Delivery"/>
    <s v="Delivered"/>
    <n v="6170.25"/>
    <s v="December"/>
    <s v="High"/>
    <n v="202"/>
  </r>
  <r>
    <n v="1098"/>
    <s v="06/10/2025"/>
    <s v="Arjun Iyer"/>
    <x v="5"/>
    <x v="2"/>
    <s v="Wireless Mouse"/>
    <n v="6"/>
    <n v="3499"/>
    <n v="10"/>
    <s v="Divya Nair"/>
    <s v="Cash On Delivery"/>
    <s v="Delivered"/>
    <n v="18894.600000000002"/>
    <s v="October"/>
    <s v="High"/>
    <n v="278"/>
  </r>
  <r>
    <n v="1099"/>
    <s v="2025-10-28"/>
    <s v="Ananya Sharma"/>
    <x v="1"/>
    <x v="0"/>
    <s v="Office Chair"/>
    <n v="7"/>
    <n v="1499"/>
    <n v="20"/>
    <s v="Rahul Mehta"/>
    <s v="Credit Card"/>
    <s v="Cancelled"/>
    <n v="8394.4"/>
    <s v="October"/>
    <s v="High"/>
    <n v="256"/>
  </r>
  <r>
    <n v="1100"/>
    <s v="2025-11-30"/>
    <s v="Riya Iyer"/>
    <x v="0"/>
    <x v="2"/>
    <s v="Webcam"/>
    <n v="4"/>
    <n v="249"/>
    <n v="0"/>
    <s v="Sneha Joshi"/>
    <s v="Credit Card"/>
    <s v="Cancelled"/>
    <n v="996"/>
    <s v="November"/>
    <s v="Low"/>
    <n v="223"/>
  </r>
  <r>
    <n v="1101"/>
    <s v="2025-01-20"/>
    <s v="Riya Joshi"/>
    <x v="4"/>
    <x v="1"/>
    <s v="Marker Set"/>
    <n v="8"/>
    <n v="499"/>
    <n v="0"/>
    <s v="Aman Verma"/>
    <s v="Credit Card"/>
    <s v="Delivered"/>
    <n v="3992"/>
    <s v="January"/>
    <s v="Medium"/>
    <n v="537"/>
  </r>
  <r>
    <n v="1102"/>
    <s v="01-06-2025"/>
    <s v="UNKHOWN"/>
    <x v="2"/>
    <x v="4"/>
    <s v="Non-Stick Pan"/>
    <n v="7"/>
    <n v="349"/>
    <n v="0"/>
    <s v="Priya Shah"/>
    <s v="Cash On Delivery"/>
    <s v="Pending"/>
    <n v="2443"/>
    <s v="June"/>
    <s v="Medium"/>
    <n v="405"/>
  </r>
  <r>
    <n v="1103"/>
    <s v="26-10-2025"/>
    <s v="Aarav Gupta"/>
    <x v="0"/>
    <x v="0"/>
    <s v="Office Chair"/>
    <n v="8"/>
    <n v="1299"/>
    <n v="0"/>
    <s v="Sneha Joshi"/>
    <s v="Net Banking"/>
    <s v="Delivered"/>
    <n v="10392"/>
    <s v="October"/>
    <s v="High"/>
    <n v="258"/>
  </r>
  <r>
    <n v="1104"/>
    <s v="2025-09-02"/>
    <s v="Tanvi Chauhan"/>
    <x v="0"/>
    <x v="4"/>
    <s v="Induction Stove"/>
    <n v="4"/>
    <n v="899"/>
    <n v="0"/>
    <s v="Karan Patel"/>
    <s v="Cash On Delivery"/>
    <s v="Delivered"/>
    <n v="3596"/>
    <s v="September"/>
    <s v="Medium"/>
    <n v="312"/>
  </r>
  <r>
    <n v="1105"/>
    <s v="21-10-2025"/>
    <s v="Rohan Shah"/>
    <x v="0"/>
    <x v="3"/>
    <s v="Denim Jacket"/>
    <n v="8"/>
    <n v="299"/>
    <n v="20"/>
    <s v="Rahul Mehta"/>
    <s v="Cash On Delivery"/>
    <s v="Delivered"/>
    <n v="1913.6000000000001"/>
    <s v="October"/>
    <s v="Medium"/>
    <n v="263"/>
  </r>
  <r>
    <n v="1106"/>
    <s v="22/07/2025"/>
    <s v="Aarav Chauhan"/>
    <x v="1"/>
    <x v="2"/>
    <s v="Laptop Stand"/>
    <n v="6"/>
    <n v="299"/>
    <n v="0"/>
    <s v="Rahul Mehta"/>
    <s v="Cash On Delivery"/>
    <s v="Delivered"/>
    <n v="1794"/>
    <s v="July"/>
    <s v="Medium"/>
    <n v="354"/>
  </r>
  <r>
    <n v="1107"/>
    <s v="11/07/2025"/>
    <s v="Tanvi Reddy"/>
    <x v="2"/>
    <x v="4"/>
    <s v="Water Bottle"/>
    <n v="2"/>
    <n v="599"/>
    <n v="15"/>
    <s v="Karan Patel"/>
    <s v="Credit  Card"/>
    <s v="Cancelled"/>
    <n v="1018.3"/>
    <s v="July"/>
    <s v="Low"/>
    <n v="365"/>
  </r>
  <r>
    <n v="1108"/>
    <s v="06-08-2025"/>
    <s v="Arjun Mehta"/>
    <x v="5"/>
    <x v="1"/>
    <s v="Sticky Notes"/>
    <n v="5"/>
    <n v="349"/>
    <n v="0"/>
    <s v="Divya Nair"/>
    <s v="Cash On Delivery"/>
    <s v="Returned"/>
    <n v="1745"/>
    <s v="August"/>
    <s v="Medium"/>
    <n v="339"/>
  </r>
  <r>
    <n v="1109"/>
    <s v="03-11-2025"/>
    <s v="Vivaan Mehta"/>
    <x v="6"/>
    <x v="3"/>
    <s v="Kurti"/>
    <n v="4"/>
    <n v="249"/>
    <n v="0"/>
    <s v="Karan Patel"/>
    <s v="Debit Card"/>
    <s v="Returned"/>
    <n v="996"/>
    <s v="November"/>
    <s v="Low"/>
    <n v="250"/>
  </r>
  <r>
    <n v="1110"/>
    <s v="2025-06-04"/>
    <s v="Ananya Reddy"/>
    <x v="0"/>
    <x v="2"/>
    <s v="Webcam"/>
    <n v="3"/>
    <n v="2999"/>
    <n v="20"/>
    <s v="Rahul Mehta"/>
    <s v="Debit Card"/>
    <s v="Returned"/>
    <n v="7197.6"/>
    <s v="June"/>
    <s v="High"/>
    <n v="402"/>
  </r>
  <r>
    <n v="1111"/>
    <s v="2025-08-31"/>
    <s v="Ananya Gupta"/>
    <x v="5"/>
    <x v="2"/>
    <s v="Laptop Stand"/>
    <n v="7"/>
    <n v="499"/>
    <n v="15"/>
    <s v="Priya Shah"/>
    <s v="Debit Card"/>
    <s v="Delivered"/>
    <n v="2969.0499999999997"/>
    <s v="August"/>
    <s v="Medium"/>
    <n v="314"/>
  </r>
  <r>
    <n v="1112"/>
    <s v="27/01/2025"/>
    <s v="Arjun Kapoor"/>
    <x v="4"/>
    <x v="0"/>
    <s v="Bean Bag"/>
    <n v="4"/>
    <n v="1499"/>
    <n v="10"/>
    <s v="Rahul Mehta"/>
    <s v="Credit Card"/>
    <s v="Cancelled"/>
    <n v="5396.4000000000005"/>
    <s v="January"/>
    <s v="High"/>
    <n v="530"/>
  </r>
  <r>
    <n v="1232"/>
    <s v="15/04/2025"/>
    <s v="Ananya Verma"/>
    <x v="0"/>
    <x v="3"/>
    <s v="Kurti"/>
    <n v="6"/>
    <n v="1299"/>
    <n v="10"/>
    <s v="Aman Verma"/>
    <s v="Net Banking"/>
    <s v="Delivered"/>
    <n v="7014.6"/>
    <s v="April"/>
    <s v="High"/>
    <n v="452"/>
  </r>
  <r>
    <n v="1114"/>
    <s v="10/06/2025"/>
    <s v="Vivaan Joshi"/>
    <x v="1"/>
    <x v="0"/>
    <s v="Bookshelf"/>
    <n v="7"/>
    <n v="1299"/>
    <n v="0"/>
    <s v="Priya Shah"/>
    <s v="Debit Card"/>
    <s v="Delivered"/>
    <n v="9093"/>
    <s v="June"/>
    <s v="High"/>
    <n v="396"/>
  </r>
  <r>
    <n v="1115"/>
    <s v="08-09-2025"/>
    <s v="Ishaan Nair"/>
    <x v="1"/>
    <x v="1"/>
    <s v="Gel Pen Set"/>
    <n v="8"/>
    <n v="599"/>
    <n v="0"/>
    <s v="Karan Patel"/>
    <s v="UPI"/>
    <s v="Pending"/>
    <n v="4792"/>
    <s v="September"/>
    <s v="Medium"/>
    <n v="306"/>
  </r>
  <r>
    <n v="1116"/>
    <s v="2025-12-29"/>
    <s v="Aarav Mehta"/>
    <x v="2"/>
    <x v="2"/>
    <s v="Webcam"/>
    <n v="8"/>
    <n v="4999"/>
    <n v="0"/>
    <s v="Rahul Mehta"/>
    <s v="Net Banking"/>
    <s v="Delivered"/>
    <n v="39992"/>
    <s v="December"/>
    <s v="High"/>
    <n v="194"/>
  </r>
  <r>
    <n v="1117"/>
    <s v="12/12/2025"/>
    <s v="Meera Patel"/>
    <x v="4"/>
    <x v="0"/>
    <s v="Filing Cabinet"/>
    <n v="5"/>
    <n v="1999"/>
    <n v="10"/>
    <s v="Sneha Joshi"/>
    <s v="UPI"/>
    <s v="Cancelled"/>
    <n v="8995.5"/>
    <s v="December"/>
    <s v="High"/>
    <n v="211"/>
  </r>
  <r>
    <n v="1118"/>
    <s v="11-02-2025"/>
    <s v="Vivaan Patel"/>
    <x v="2"/>
    <x v="3"/>
    <s v="Formal Shirt"/>
    <n v="1"/>
    <n v="199"/>
    <n v="0"/>
    <s v="Rahul Mehta"/>
    <s v="Cash On Delivery"/>
    <s v="Delivered"/>
    <n v="199"/>
    <s v="February"/>
    <s v="Low"/>
    <n v="515"/>
  </r>
  <r>
    <n v="1119"/>
    <s v="2025-04-28"/>
    <s v="Ishaan Gupta"/>
    <x v="4"/>
    <x v="1"/>
    <s v="Marker Set"/>
    <n v="1"/>
    <n v="599"/>
    <n v="10"/>
    <s v="Rahul Mehta"/>
    <s v="Credit  Card"/>
    <s v="Delivered"/>
    <n v="539.1"/>
    <s v="April"/>
    <s v="Low"/>
    <n v="439"/>
  </r>
  <r>
    <n v="1120"/>
    <s v="18/10/2025"/>
    <s v="Dev Reddy"/>
    <x v="1"/>
    <x v="2"/>
    <s v="USB-C Cable"/>
    <n v="1"/>
    <n v="349"/>
    <n v="15"/>
    <s v="Priya Shah"/>
    <s v="UPI"/>
    <s v="Delivered"/>
    <n v="296.64999999999998"/>
    <s v="October"/>
    <s v="Low"/>
    <n v="266"/>
  </r>
  <r>
    <n v="1121"/>
    <s v="19/08/2025"/>
    <s v="Ananya Iyer"/>
    <x v="2"/>
    <x v="0"/>
    <s v="Office Chair"/>
    <n v="5"/>
    <n v="899"/>
    <n v="0"/>
    <s v="Rahul Mehta"/>
    <s v="Debit Card"/>
    <s v="Delivered"/>
    <n v="4495"/>
    <s v="August"/>
    <s v="Medium"/>
    <n v="326"/>
  </r>
  <r>
    <n v="1122"/>
    <s v="07/06/2025"/>
    <s v="Simran Gupta"/>
    <x v="4"/>
    <x v="2"/>
    <s v="Laptop Stand"/>
    <n v="8"/>
    <n v="2999"/>
    <n v="0"/>
    <s v="Rahul Mehta"/>
    <s v="UPI"/>
    <s v="Delivered"/>
    <n v="23992"/>
    <s v="June"/>
    <s v="High"/>
    <n v="399"/>
  </r>
  <r>
    <n v="1123"/>
    <s v="13-02-2025"/>
    <s v="Ananya Joshi"/>
    <x v="1"/>
    <x v="3"/>
    <s v="Denim Jacket"/>
    <n v="5"/>
    <n v="1299"/>
    <n v="10"/>
    <s v="Sneha Joshi"/>
    <s v="Credit Card"/>
    <s v="Delivered"/>
    <n v="5845.5"/>
    <s v="February"/>
    <s v="High"/>
    <n v="513"/>
  </r>
  <r>
    <n v="1124"/>
    <s v="17/11/2025"/>
    <s v="Kabir Nair"/>
    <x v="4"/>
    <x v="1"/>
    <s v="Whiteboard"/>
    <n v="6"/>
    <n v="2499"/>
    <n v="10"/>
    <s v="Sneha Joshi"/>
    <s v="Debit Card"/>
    <s v="Returned"/>
    <n v="13494.6"/>
    <s v="November"/>
    <s v="High"/>
    <n v="236"/>
  </r>
  <r>
    <n v="1125"/>
    <s v="13/04/2025"/>
    <s v="Dev Shah"/>
    <x v="2"/>
    <x v="1"/>
    <s v="Whiteboard"/>
    <n v="4"/>
    <n v="1499"/>
    <n v="15"/>
    <s v="Aman Verma"/>
    <s v="Cash On Delivery"/>
    <s v="Delivered"/>
    <n v="5096.5999999999995"/>
    <s v="April"/>
    <s v="High"/>
    <n v="454"/>
  </r>
  <r>
    <n v="1126"/>
    <s v="25-08-2025"/>
    <s v="Kabir Nair"/>
    <x v="0"/>
    <x v="2"/>
    <s v="Laptop Stand"/>
    <n v="3"/>
    <n v="1299"/>
    <n v="5"/>
    <s v="Aman Verma"/>
    <s v="Credit  Card"/>
    <s v="Delivered"/>
    <n v="3702.1499999999996"/>
    <s v="August"/>
    <s v="Medium"/>
    <n v="320"/>
  </r>
  <r>
    <n v="1127"/>
    <s v="21/12/2025"/>
    <s v="Vivaan Iyer"/>
    <x v="4"/>
    <x v="0"/>
    <s v="Study Table"/>
    <n v="1"/>
    <n v="2499"/>
    <n v="10"/>
    <s v="Sneha Joshi"/>
    <s v="UPI"/>
    <s v="Delivered"/>
    <n v="2249.1"/>
    <s v="December"/>
    <s v="Medium"/>
    <n v="202"/>
  </r>
  <r>
    <n v="1128"/>
    <s v="11/07/2025"/>
    <s v="Tanvi Kapoor"/>
    <x v="5"/>
    <x v="2"/>
    <s v="Wireless Mouse"/>
    <n v="5"/>
    <n v="2999"/>
    <n v="0"/>
    <s v="Rahul Mehta"/>
    <s v="Credit Card"/>
    <s v="Delivered"/>
    <n v="14995"/>
    <s v="July"/>
    <s v="High"/>
    <n v="365"/>
  </r>
  <r>
    <n v="1129"/>
    <s v="23/12/2025"/>
    <s v="Dev Patel"/>
    <x v="0"/>
    <x v="2"/>
    <s v="USB-C Cable"/>
    <n v="2"/>
    <n v="599"/>
    <n v="5"/>
    <s v="Karan Patel"/>
    <s v="Credit  Card"/>
    <s v="Delivered"/>
    <n v="1138.0999999999999"/>
    <s v="December"/>
    <s v="Low"/>
    <n v="200"/>
  </r>
  <r>
    <n v="1130"/>
    <s v="24-11-2025"/>
    <s v="Neha Reddy"/>
    <x v="4"/>
    <x v="3"/>
    <s v="Formal Shirt"/>
    <n v="7"/>
    <n v="199"/>
    <n v="5"/>
    <s v="Priya Shah"/>
    <s v="Debit Card"/>
    <s v="Delivered"/>
    <n v="1323.35"/>
    <s v="November"/>
    <s v="Low"/>
    <n v="229"/>
  </r>
  <r>
    <n v="1131"/>
    <s v="10/12/2025"/>
    <s v="Dev Joshi"/>
    <x v="3"/>
    <x v="3"/>
    <s v="Cotton T-Shirt"/>
    <n v="6"/>
    <n v="1999"/>
    <n v="20"/>
    <s v="Karan Patel"/>
    <s v="Credit  Card"/>
    <s v="Delivered"/>
    <n v="9595.2000000000007"/>
    <s v="December"/>
    <s v="High"/>
    <n v="213"/>
  </r>
  <r>
    <n v="1132"/>
    <s v="2025-06-06"/>
    <s v="Meera Iyer"/>
    <x v="1"/>
    <x v="3"/>
    <s v="Kurti"/>
    <n v="3"/>
    <n v="2499"/>
    <n v="15"/>
    <s v="Priya Shah"/>
    <s v="Cash On Delivery"/>
    <s v="Delivered"/>
    <n v="6372.45"/>
    <s v="June"/>
    <s v="High"/>
    <n v="400"/>
  </r>
  <r>
    <n v="1133"/>
    <s v="06/04/2025"/>
    <s v="Tanvi Joshi"/>
    <x v="4"/>
    <x v="2"/>
    <s v="Bluetooth Speaker"/>
    <n v="4"/>
    <n v="2499"/>
    <n v="20"/>
    <s v="Sneha Joshi"/>
    <s v="Cash On Delivery"/>
    <s v="Delivered"/>
    <n v="7996.8"/>
    <s v="April"/>
    <s v="High"/>
    <n v="461"/>
  </r>
  <r>
    <n v="1134"/>
    <s v="17/01/2025"/>
    <s v="Ananya Verma"/>
    <x v="0"/>
    <x v="3"/>
    <s v="Formal Shirt"/>
    <n v="2"/>
    <n v="349"/>
    <n v="10"/>
    <s v="Karan Patel"/>
    <s v="Debit Card"/>
    <s v="Returned"/>
    <n v="628.20000000000005"/>
    <s v="January"/>
    <s v="Low"/>
    <n v="540"/>
  </r>
  <r>
    <n v="1135"/>
    <s v="07/05/2025"/>
    <s v="Vivaan Nair"/>
    <x v="0"/>
    <x v="2"/>
    <s v="Wireless Mouse"/>
    <n v="4"/>
    <n v="699"/>
    <n v="10"/>
    <s v="Divya Nair"/>
    <s v="Net Banking"/>
    <s v="Delivered"/>
    <n v="2516.4"/>
    <s v="May"/>
    <s v="Medium"/>
    <n v="430"/>
  </r>
  <r>
    <n v="1136"/>
    <s v="24-05-2025"/>
    <s v="Meera Iyer"/>
    <x v="0"/>
    <x v="4"/>
    <s v="Induction Stove"/>
    <n v="2"/>
    <n v="499"/>
    <n v="15"/>
    <s v="Rahul Mehta"/>
    <s v="Debit Card"/>
    <s v="Delivered"/>
    <n v="848.3"/>
    <s v="May"/>
    <s v="Low"/>
    <n v="413"/>
  </r>
  <r>
    <n v="1137"/>
    <s v="21/07/2025"/>
    <s v="Rohan Joshi"/>
    <x v="0"/>
    <x v="3"/>
    <s v="Formal Shirt"/>
    <n v="2"/>
    <n v="299"/>
    <n v="15"/>
    <s v="Karan Patel"/>
    <s v="Debit Card"/>
    <s v="Delivered"/>
    <n v="508.3"/>
    <s v="July"/>
    <s v="Low"/>
    <n v="355"/>
  </r>
  <r>
    <n v="1138"/>
    <s v="23-08-2025"/>
    <s v="Simran Patel"/>
    <x v="2"/>
    <x v="3"/>
    <s v="Formal Shirt"/>
    <n v="5"/>
    <n v="1499"/>
    <n v="0"/>
    <s v="Aman Verma"/>
    <s v="Net Banking"/>
    <s v="Delivered"/>
    <n v="7495"/>
    <s v="August"/>
    <s v="High"/>
    <n v="322"/>
  </r>
  <r>
    <n v="1139"/>
    <s v="2025-08-24"/>
    <s v="Isha Shah"/>
    <x v="2"/>
    <x v="2"/>
    <s v="Bluetooth Speaker"/>
    <n v="3"/>
    <n v="1299"/>
    <n v="0"/>
    <s v="Aman Verma"/>
    <s v="UPI"/>
    <s v="Delivered"/>
    <n v="3897"/>
    <s v="August"/>
    <s v="Medium"/>
    <n v="321"/>
  </r>
  <r>
    <n v="1140"/>
    <s v="2025-12-25"/>
    <s v="Neha Kapoor"/>
    <x v="4"/>
    <x v="2"/>
    <s v="Laptop Stand"/>
    <n v="2"/>
    <n v="499"/>
    <n v="5"/>
    <s v="Karan Patel"/>
    <s v="Cash On Delivery"/>
    <s v="Delivered"/>
    <n v="948.09999999999991"/>
    <s v="December"/>
    <s v="Low"/>
    <n v="198"/>
  </r>
  <r>
    <n v="1141"/>
    <s v="28/04/2025"/>
    <s v="UNKHOWN"/>
    <x v="4"/>
    <x v="1"/>
    <s v="Sticky Notes"/>
    <n v="3"/>
    <n v="2499"/>
    <n v="0"/>
    <s v="Divya Nair"/>
    <s v="Credit Card"/>
    <s v="Delivered"/>
    <n v="7497"/>
    <s v="April"/>
    <s v="High"/>
    <n v="439"/>
  </r>
  <r>
    <n v="1142"/>
    <s v="19/03/2025"/>
    <s v="Tanvi Mehta"/>
    <x v="4"/>
    <x v="0"/>
    <s v="Filing Cabinet"/>
    <n v="7"/>
    <n v="1999"/>
    <n v="15"/>
    <s v="Aman Verma"/>
    <s v="Credit Card"/>
    <s v="Delivered"/>
    <n v="11894.05"/>
    <s v="March"/>
    <s v="High"/>
    <n v="479"/>
  </r>
  <r>
    <n v="1143"/>
    <s v="2025-12-20"/>
    <s v="Riya Mehta"/>
    <x v="1"/>
    <x v="3"/>
    <s v="Cotton T-Shirt"/>
    <n v="4"/>
    <n v="1488"/>
    <n v="15"/>
    <s v="Rahul Mehta"/>
    <s v="Credit Card"/>
    <s v="Delivered"/>
    <n v="5059.2"/>
    <s v="December"/>
    <s v="High"/>
    <n v="203"/>
  </r>
  <r>
    <n v="1144"/>
    <s v="18-07-2025"/>
    <s v="Neha Iyer"/>
    <x v="5"/>
    <x v="2"/>
    <s v="Webcam"/>
    <n v="2"/>
    <n v="199"/>
    <n v="10"/>
    <s v="Priya Shah"/>
    <s v="UPI"/>
    <s v="Pending"/>
    <n v="358.2"/>
    <s v="July"/>
    <s v="Low"/>
    <n v="358"/>
  </r>
  <r>
    <n v="1145"/>
    <s v="2025-07-25"/>
    <s v="Rohan Gupta"/>
    <x v="4"/>
    <x v="2"/>
    <s v="Bluetooth Speaker"/>
    <n v="3"/>
    <n v="1499"/>
    <n v="15"/>
    <s v="Karan Patel"/>
    <s v="UPI"/>
    <s v="Delivered"/>
    <n v="3822.45"/>
    <s v="July"/>
    <s v="Medium"/>
    <n v="351"/>
  </r>
  <r>
    <n v="1146"/>
    <s v="21-08-2025"/>
    <s v="Vivaan Gupta"/>
    <x v="5"/>
    <x v="2"/>
    <s v="Bluetooth Speaker"/>
    <n v="1"/>
    <n v="599"/>
    <n v="20"/>
    <s v="Aman Verma"/>
    <s v="Net Banking"/>
    <s v="Delivered"/>
    <n v="479.20000000000005"/>
    <s v="August"/>
    <s v="Low"/>
    <n v="324"/>
  </r>
  <r>
    <n v="1147"/>
    <s v="16/01/2025"/>
    <s v="Neha Gupta"/>
    <x v="4"/>
    <x v="4"/>
    <s v="Non-Stick Pan"/>
    <n v="8"/>
    <n v="3499"/>
    <n v="10"/>
    <s v="Rahul Mehta"/>
    <s v="Cash On Delivery"/>
    <s v="Delivered"/>
    <n v="25192.799999999999"/>
    <s v="January"/>
    <s v="High"/>
    <n v="541"/>
  </r>
  <r>
    <n v="1148"/>
    <s v="2025-09-18"/>
    <s v="Vivaan Sharma"/>
    <x v="5"/>
    <x v="3"/>
    <s v="Formal Shirt"/>
    <n v="3"/>
    <n v="599"/>
    <n v="0"/>
    <s v="Karan Patel"/>
    <s v="Cash On Delivery"/>
    <s v="Delivered"/>
    <n v="1797"/>
    <s v="September"/>
    <s v="Medium"/>
    <n v="296"/>
  </r>
  <r>
    <n v="1149"/>
    <s v="15-09-2025"/>
    <s v="Vivaan Shah"/>
    <x v="1"/>
    <x v="2"/>
    <s v="Wireless Mouse"/>
    <n v="8"/>
    <n v="1299"/>
    <n v="10"/>
    <s v="Aman Verma"/>
    <s v="UPI"/>
    <s v="Delivered"/>
    <n v="9352.8000000000011"/>
    <s v="September"/>
    <s v="High"/>
    <n v="299"/>
  </r>
  <r>
    <n v="1150"/>
    <s v="30/10/2025"/>
    <s v="Kabir Chauhan"/>
    <x v="5"/>
    <x v="2"/>
    <s v="Wireless Mouse"/>
    <n v="4"/>
    <n v="1999"/>
    <n v="0"/>
    <s v="Aman Verma"/>
    <s v="UPI"/>
    <s v="Returned"/>
    <n v="7996"/>
    <s v="October"/>
    <s v="High"/>
    <n v="254"/>
  </r>
  <r>
    <n v="1151"/>
    <s v="2025-01-31"/>
    <s v="Yash Patel"/>
    <x v="4"/>
    <x v="4"/>
    <s v="Water Bottle"/>
    <n v="8"/>
    <n v="299"/>
    <n v="0"/>
    <s v="Karan Patel"/>
    <s v="Credit  Card"/>
    <s v="Returned"/>
    <n v="2392"/>
    <s v="January"/>
    <s v="Medium"/>
    <n v="526"/>
  </r>
  <r>
    <n v="1152"/>
    <s v="14/05/2025"/>
    <s v="Arjun Chauhan"/>
    <x v="0"/>
    <x v="3"/>
    <s v="Denim Jacket"/>
    <n v="2"/>
    <n v="699"/>
    <n v="0"/>
    <s v="Karan Patel"/>
    <s v="UPI"/>
    <s v="Delivered"/>
    <n v="1398"/>
    <s v="May"/>
    <s v="Low"/>
    <n v="423"/>
  </r>
  <r>
    <n v="1153"/>
    <s v="20/08/2025"/>
    <s v="Tanvi Gupta"/>
    <x v="4"/>
    <x v="0"/>
    <s v="Filing Cabinet"/>
    <n v="1"/>
    <n v="699"/>
    <n v="10"/>
    <s v="Priya Shah"/>
    <s v="UPI"/>
    <s v="Cancelled"/>
    <n v="629.1"/>
    <s v="August"/>
    <s v="Low"/>
    <n v="325"/>
  </r>
  <r>
    <n v="1154"/>
    <s v="27/07/2025"/>
    <s v="Ananya Patel"/>
    <x v="2"/>
    <x v="0"/>
    <s v="Office Chair"/>
    <n v="1"/>
    <n v="899"/>
    <n v="0"/>
    <s v="Priya Shah"/>
    <s v="Cash On Delivery"/>
    <s v="Delivered"/>
    <n v="899"/>
    <s v="July"/>
    <s v="Low"/>
    <n v="349"/>
  </r>
  <r>
    <n v="1155"/>
    <s v="2025-02-03"/>
    <s v="Tanvi Shah"/>
    <x v="4"/>
    <x v="2"/>
    <s v="Laptop Stand"/>
    <n v="1"/>
    <n v="599"/>
    <n v="15"/>
    <s v="Divya Nair"/>
    <s v="Cash On Delivery"/>
    <s v="Delivered"/>
    <n v="509.15"/>
    <s v="February"/>
    <s v="Low"/>
    <n v="523"/>
  </r>
  <r>
    <n v="1156"/>
    <s v="2025-03-18"/>
    <s v="Ananya Kapoor"/>
    <x v="0"/>
    <x v="3"/>
    <s v="Formal Shirt"/>
    <n v="1"/>
    <n v="299"/>
    <n v="10"/>
    <s v="Sneha Joshi"/>
    <s v="Credit Card"/>
    <s v="Delivered"/>
    <n v="269.10000000000002"/>
    <s v="March"/>
    <s v="Low"/>
    <n v="480"/>
  </r>
  <r>
    <n v="1157"/>
    <s v="15-07-2025"/>
    <s v="Simran Nair"/>
    <x v="2"/>
    <x v="4"/>
    <s v="Water Bottle"/>
    <n v="7"/>
    <n v="999"/>
    <n v="0"/>
    <s v="Rahul Mehta"/>
    <s v="Debit Card"/>
    <s v="Delivered"/>
    <n v="6993"/>
    <s v="July"/>
    <s v="High"/>
    <n v="361"/>
  </r>
  <r>
    <n v="1158"/>
    <s v="2025-10-27"/>
    <s v="Meera Patel"/>
    <x v="1"/>
    <x v="0"/>
    <s v="Filing Cabinet"/>
    <n v="1"/>
    <n v="899"/>
    <n v="15"/>
    <s v="Aman Verma"/>
    <s v="Credit Card"/>
    <s v="Delivered"/>
    <n v="764.15"/>
    <s v="October"/>
    <s v="Low"/>
    <n v="257"/>
  </r>
  <r>
    <n v="1159"/>
    <s v="30-06-2025"/>
    <s v="Rohan Joshi"/>
    <x v="5"/>
    <x v="4"/>
    <s v="Mixer Grinder"/>
    <n v="5"/>
    <n v="249"/>
    <n v="0"/>
    <s v="Rahul Mehta"/>
    <s v="Credit  Card"/>
    <s v="Delivered"/>
    <n v="1245"/>
    <s v="June"/>
    <s v="Low"/>
    <n v="376"/>
  </r>
  <r>
    <n v="1160"/>
    <s v="01/04/2025"/>
    <s v="Vivaan Sharma"/>
    <x v="1"/>
    <x v="0"/>
    <s v="Filing Cabinet"/>
    <n v="6"/>
    <n v="299"/>
    <n v="10"/>
    <s v="Divya Nair"/>
    <s v="Cash On Delivery"/>
    <s v="Delivered"/>
    <n v="1614.6000000000001"/>
    <s v="April"/>
    <s v="Medium"/>
    <n v="466"/>
  </r>
  <r>
    <n v="1161"/>
    <s v="07-09-2025"/>
    <s v="Dev Shah"/>
    <x v="0"/>
    <x v="4"/>
    <s v="Lunch Box"/>
    <n v="5"/>
    <n v="1299"/>
    <n v="0"/>
    <s v="Priya Shah"/>
    <s v="UPI"/>
    <s v="Returned"/>
    <n v="6495"/>
    <s v="September"/>
    <s v="High"/>
    <n v="307"/>
  </r>
  <r>
    <n v="1162"/>
    <s v="2025-11-10"/>
    <s v="Isha Nair"/>
    <x v="5"/>
    <x v="2"/>
    <s v="USB-C Cable"/>
    <n v="6"/>
    <n v="599"/>
    <n v="0"/>
    <s v="Divya Nair"/>
    <s v="Debit Card"/>
    <s v="Delivered"/>
    <n v="3594"/>
    <s v="November"/>
    <s v="Medium"/>
    <n v="243"/>
  </r>
  <r>
    <n v="1163"/>
    <s v="25/01/2025"/>
    <s v="Tanvi Chauhan"/>
    <x v="2"/>
    <x v="3"/>
    <s v="Formal Shirt"/>
    <n v="6"/>
    <n v="2499"/>
    <n v="0"/>
    <s v="Sneha Joshi"/>
    <s v="Net Banking"/>
    <s v="Delivered"/>
    <n v="14994"/>
    <s v="January"/>
    <s v="High"/>
    <n v="532"/>
  </r>
  <r>
    <n v="1164"/>
    <s v="07/02/2025"/>
    <s v="Meera Reddy"/>
    <x v="1"/>
    <x v="2"/>
    <s v="Wireless Mouse"/>
    <n v="6"/>
    <n v="4999"/>
    <n v="0"/>
    <s v="Sneha Joshi"/>
    <s v="Credit  Card"/>
    <s v="Pending"/>
    <n v="29994"/>
    <s v="February"/>
    <s v="High"/>
    <n v="519"/>
  </r>
  <r>
    <n v="1165"/>
    <s v="04/10/2025"/>
    <s v="Riya Gupta"/>
    <x v="5"/>
    <x v="2"/>
    <s v="Webcam"/>
    <n v="8"/>
    <n v="499"/>
    <n v="0"/>
    <s v="Aman Verma"/>
    <s v="UPI"/>
    <s v="Delivered"/>
    <n v="3992"/>
    <s v="October"/>
    <s v="Medium"/>
    <n v="280"/>
  </r>
  <r>
    <n v="1166"/>
    <s v="23/11/2025"/>
    <s v="Aditi Nair"/>
    <x v="4"/>
    <x v="3"/>
    <s v="Formal Shirt"/>
    <n v="5"/>
    <n v="299"/>
    <n v="15"/>
    <s v="Priya Shah"/>
    <s v="Debit Card"/>
    <s v="Delivered"/>
    <n v="1270.75"/>
    <s v="November"/>
    <s v="Low"/>
    <n v="230"/>
  </r>
  <r>
    <n v="1167"/>
    <s v="2025-02-01"/>
    <s v="Isha Patel"/>
    <x v="0"/>
    <x v="3"/>
    <s v="Denim Jacket"/>
    <n v="1"/>
    <n v="2499"/>
    <n v="15"/>
    <s v="Karan Patel"/>
    <s v="Cash On Delivery"/>
    <s v="Pending"/>
    <n v="2124.15"/>
    <s v="February"/>
    <s v="Medium"/>
    <n v="525"/>
  </r>
  <r>
    <n v="1168"/>
    <s v="22-09-2025"/>
    <s v="Rohan Patel"/>
    <x v="2"/>
    <x v="0"/>
    <s v="Study Table"/>
    <n v="3"/>
    <n v="249"/>
    <n v="15"/>
    <s v="Rahul Mehta"/>
    <s v="Cash On Delivery"/>
    <s v="Cancelled"/>
    <n v="634.94999999999993"/>
    <s v="September"/>
    <s v="Low"/>
    <n v="292"/>
  </r>
  <r>
    <n v="1169"/>
    <s v="2025-02-04"/>
    <s v="Arjun Verma"/>
    <x v="3"/>
    <x v="1"/>
    <s v="Marker Set"/>
    <n v="8"/>
    <n v="199"/>
    <n v="15"/>
    <s v="Rahul Mehta"/>
    <s v="Cash On Delivery"/>
    <s v="Delivered"/>
    <n v="1353.2"/>
    <s v="February"/>
    <s v="Low"/>
    <n v="522"/>
  </r>
  <r>
    <n v="1170"/>
    <s v="21/02/2025"/>
    <s v="Simran Reddy"/>
    <x v="0"/>
    <x v="3"/>
    <s v="Kurti"/>
    <n v="8"/>
    <n v="249"/>
    <n v="0"/>
    <s v="Aman Verma"/>
    <s v="Cash On Delivery"/>
    <s v="Delivered"/>
    <n v="1992"/>
    <s v="February"/>
    <s v="Medium"/>
    <n v="505"/>
  </r>
  <r>
    <n v="1171"/>
    <s v="26-01-2025"/>
    <s v="Ishaan Gupta"/>
    <x v="0"/>
    <x v="1"/>
    <s v="Sticky Notes"/>
    <n v="5"/>
    <n v="4999"/>
    <n v="0"/>
    <s v="Priya Shah"/>
    <s v="Credit Card"/>
    <s v="Cancelled"/>
    <n v="24995"/>
    <s v="January"/>
    <s v="High"/>
    <n v="531"/>
  </r>
  <r>
    <n v="1172"/>
    <s v="07/04/2025"/>
    <s v="Kabir Reddy"/>
    <x v="3"/>
    <x v="1"/>
    <s v="Marker Set"/>
    <n v="3"/>
    <n v="1488"/>
    <n v="10"/>
    <s v="Divya Nair"/>
    <s v="Net Banking"/>
    <s v="Delivered"/>
    <n v="4017.6"/>
    <s v="April"/>
    <s v="Medium"/>
    <n v="460"/>
  </r>
  <r>
    <n v="1173"/>
    <s v="2025-01-30"/>
    <s v="Vivaan Nair"/>
    <x v="4"/>
    <x v="0"/>
    <s v="Bookshelf"/>
    <n v="8"/>
    <n v="2499"/>
    <n v="0"/>
    <s v="Divya Nair"/>
    <s v="UPI"/>
    <s v="Delivered"/>
    <n v="19992"/>
    <s v="January"/>
    <s v="High"/>
    <n v="527"/>
  </r>
  <r>
    <n v="1174"/>
    <s v="25/03/2025"/>
    <s v="Aditi Gupta"/>
    <x v="6"/>
    <x v="2"/>
    <s v="Webcam"/>
    <n v="4"/>
    <n v="899"/>
    <n v="5"/>
    <s v="Divya Nair"/>
    <s v="Credit Card"/>
    <s v="Delivered"/>
    <n v="3416.2"/>
    <s v="March"/>
    <s v="Medium"/>
    <n v="473"/>
  </r>
  <r>
    <n v="1175"/>
    <s v="09-03-2025"/>
    <s v="Meera Joshi"/>
    <x v="4"/>
    <x v="1"/>
    <s v="Sticky Notes"/>
    <n v="5"/>
    <n v="2999"/>
    <n v="15"/>
    <s v="Aman Verma"/>
    <s v="UNKHOWN"/>
    <s v="Delivered"/>
    <n v="12745.75"/>
    <s v="March"/>
    <s v="High"/>
    <n v="489"/>
  </r>
  <r>
    <n v="1176"/>
    <s v="06/12/2025"/>
    <s v="Riya Gupta"/>
    <x v="6"/>
    <x v="2"/>
    <s v="USB-C Cable"/>
    <n v="6"/>
    <n v="999"/>
    <n v="10"/>
    <s v="Divya Nair"/>
    <s v="Debit Card"/>
    <s v="Delivered"/>
    <n v="5394.6"/>
    <s v="December"/>
    <s v="High"/>
    <n v="217"/>
  </r>
  <r>
    <n v="1177"/>
    <s v="05/12/2025"/>
    <s v="Rohan Chauhan"/>
    <x v="6"/>
    <x v="1"/>
    <s v="Whiteboard"/>
    <n v="7"/>
    <n v="2499"/>
    <n v="0"/>
    <s v="Karan Patel"/>
    <s v="Net Banking"/>
    <s v="Delivered"/>
    <n v="17493"/>
    <s v="December"/>
    <s v="High"/>
    <n v="218"/>
  </r>
  <r>
    <n v="1178"/>
    <s v="03-07-2025"/>
    <s v="Riya Shah"/>
    <x v="5"/>
    <x v="2"/>
    <s v="Bluetooth Speaker"/>
    <n v="5"/>
    <n v="599"/>
    <n v="10"/>
    <s v="Divya Nair"/>
    <s v="UPI"/>
    <s v="Delivered"/>
    <n v="2695.5"/>
    <s v="July"/>
    <s v="Medium"/>
    <n v="373"/>
  </r>
  <r>
    <n v="1233"/>
    <s v="31/05/2025"/>
    <s v="Isha Nair"/>
    <x v="4"/>
    <x v="3"/>
    <s v="Kurti"/>
    <n v="2"/>
    <n v="2499"/>
    <n v="10"/>
    <s v="Sneha Joshi"/>
    <s v="UPI"/>
    <s v="Delivered"/>
    <n v="4498.2"/>
    <s v="May"/>
    <s v="Medium"/>
    <n v="406"/>
  </r>
  <r>
    <n v="1180"/>
    <s v="11-06-2025"/>
    <s v="Meera Patel"/>
    <x v="2"/>
    <x v="0"/>
    <s v="Office Chair"/>
    <n v="1"/>
    <n v="3499"/>
    <n v="10"/>
    <s v="Priya Shah"/>
    <s v="Credit  Card"/>
    <s v="Returned"/>
    <n v="3149.1"/>
    <s v="June"/>
    <s v="Medium"/>
    <n v="395"/>
  </r>
  <r>
    <n v="1181"/>
    <s v="26/07/2025"/>
    <s v="Ishaan Reddy"/>
    <x v="4"/>
    <x v="4"/>
    <s v="Water Bottle"/>
    <n v="1"/>
    <n v="1499"/>
    <n v="5"/>
    <s v="Rahul Mehta"/>
    <s v="UPI"/>
    <s v="Delivered"/>
    <n v="1424.05"/>
    <s v="July"/>
    <s v="Low"/>
    <n v="350"/>
  </r>
  <r>
    <n v="1182"/>
    <s v="2025-02-03"/>
    <s v="Riya Gupta"/>
    <x v="3"/>
    <x v="4"/>
    <s v="Induction Stove"/>
    <n v="6"/>
    <n v="2999"/>
    <n v="0"/>
    <s v="Aman Verma"/>
    <s v="Cash On Delivery"/>
    <s v="Returned"/>
    <n v="17994"/>
    <s v="February"/>
    <s v="High"/>
    <n v="523"/>
  </r>
  <r>
    <n v="1183"/>
    <s v="2025-03-09"/>
    <s v="UNKHOWN"/>
    <x v="5"/>
    <x v="1"/>
    <s v="Notebook Pack"/>
    <n v="7"/>
    <n v="999"/>
    <n v="0"/>
    <s v="Karan Patel"/>
    <s v="UPI"/>
    <s v="Delivered"/>
    <n v="6993"/>
    <s v="March"/>
    <s v="High"/>
    <n v="489"/>
  </r>
  <r>
    <n v="1184"/>
    <s v="31-08-2025"/>
    <s v="Rohan Mehta"/>
    <x v="4"/>
    <x v="3"/>
    <s v="Cotton T-Shirt"/>
    <n v="5"/>
    <n v="499"/>
    <n v="15"/>
    <s v="Rahul Mehta"/>
    <s v="Net Banking"/>
    <s v="Delivered"/>
    <n v="2120.75"/>
    <s v="August"/>
    <s v="Medium"/>
    <n v="314"/>
  </r>
  <r>
    <n v="1185"/>
    <s v="14/04/2025"/>
    <s v="Neha Gupta"/>
    <x v="5"/>
    <x v="4"/>
    <s v="Mixer Grinder"/>
    <n v="8"/>
    <n v="1499"/>
    <n v="5"/>
    <s v="Rahul Mehta"/>
    <s v="UPI"/>
    <s v="Pending"/>
    <n v="11392.4"/>
    <s v="April"/>
    <s v="High"/>
    <n v="453"/>
  </r>
  <r>
    <n v="1186"/>
    <s v="21/02/2025"/>
    <s v="Ananya Nair"/>
    <x v="0"/>
    <x v="3"/>
    <s v="Cotton T-Shirt"/>
    <n v="3"/>
    <n v="249"/>
    <n v="10"/>
    <s v="Aman Verma"/>
    <s v="Debit Card"/>
    <s v="Delivered"/>
    <n v="672.30000000000007"/>
    <s v="February"/>
    <s v="Low"/>
    <n v="505"/>
  </r>
  <r>
    <n v="1187"/>
    <s v="29/03/2025"/>
    <s v="Simran Nair"/>
    <x v="0"/>
    <x v="2"/>
    <s v="USB-C Cable"/>
    <n v="3"/>
    <n v="349"/>
    <n v="15"/>
    <s v="Sneha Joshi"/>
    <s v="Cash On Delivery"/>
    <s v="Returned"/>
    <n v="889.94999999999993"/>
    <s v="March"/>
    <s v="Low"/>
    <n v="469"/>
  </r>
  <r>
    <n v="1188"/>
    <s v="09-03-2025"/>
    <s v="Vivaan Shah"/>
    <x v="6"/>
    <x v="4"/>
    <s v="Induction Stove"/>
    <n v="8"/>
    <n v="599"/>
    <n v="15"/>
    <s v="Aman Verma"/>
    <s v="Net Banking"/>
    <s v="Returned"/>
    <n v="4073.2"/>
    <s v="March"/>
    <s v="Medium"/>
    <n v="489"/>
  </r>
  <r>
    <n v="1189"/>
    <s v="30/07/2025"/>
    <s v="Vivaan Patel"/>
    <x v="0"/>
    <x v="1"/>
    <s v="Marker Set"/>
    <n v="4"/>
    <n v="1499"/>
    <n v="0"/>
    <s v="Sneha Joshi"/>
    <s v="Credit Card"/>
    <s v="Delivered"/>
    <n v="5996"/>
    <s v="July"/>
    <s v="High"/>
    <n v="346"/>
  </r>
  <r>
    <n v="1190"/>
    <s v="2025-01-28"/>
    <s v="Meera Verma"/>
    <x v="2"/>
    <x v="0"/>
    <s v="Bean Bag"/>
    <n v="6"/>
    <n v="899"/>
    <n v="10"/>
    <s v="Aman Verma"/>
    <s v="UPI"/>
    <s v="Delivered"/>
    <n v="4854.6000000000004"/>
    <s v="January"/>
    <s v="Medium"/>
    <n v="529"/>
  </r>
  <r>
    <n v="1191"/>
    <s v="15/02/2025"/>
    <s v="Tanvi Iyer"/>
    <x v="6"/>
    <x v="2"/>
    <s v="Laptop Stand"/>
    <n v="7"/>
    <n v="249"/>
    <n v="0"/>
    <s v="Rahul Mehta"/>
    <s v="Net Banking"/>
    <s v="Pending"/>
    <n v="1743"/>
    <s v="February"/>
    <s v="Medium"/>
    <n v="511"/>
  </r>
  <r>
    <n v="1192"/>
    <s v="25/04/2025"/>
    <s v="Dev Verma"/>
    <x v="3"/>
    <x v="1"/>
    <s v="Whiteboard"/>
    <n v="2"/>
    <n v="349"/>
    <n v="5"/>
    <s v="Rahul Mehta"/>
    <s v="Debit Card"/>
    <s v="Returned"/>
    <n v="663.1"/>
    <s v="April"/>
    <s v="Low"/>
    <n v="442"/>
  </r>
  <r>
    <n v="1193"/>
    <s v="26/03/2025"/>
    <s v="Rohan Chauhan"/>
    <x v="2"/>
    <x v="1"/>
    <s v="Gel Pen Set"/>
    <n v="4"/>
    <n v="349"/>
    <n v="15"/>
    <s v="Priya Shah"/>
    <s v="Cash On Delivery"/>
    <s v="Delivered"/>
    <n v="1186.5999999999999"/>
    <s v="March"/>
    <s v="Low"/>
    <n v="472"/>
  </r>
  <r>
    <n v="1194"/>
    <s v="19/08/2025"/>
    <s v="Rohan Nair"/>
    <x v="4"/>
    <x v="4"/>
    <s v="Induction Stove"/>
    <n v="8"/>
    <n v="599"/>
    <n v="0"/>
    <s v="Divya Nair"/>
    <s v="Credit Card"/>
    <s v="Delivered"/>
    <n v="4792"/>
    <s v="August"/>
    <s v="Medium"/>
    <n v="326"/>
  </r>
  <r>
    <n v="1195"/>
    <s v="2025-12-21"/>
    <s v="Yash Reddy"/>
    <x v="0"/>
    <x v="3"/>
    <s v="Denim Jacket"/>
    <n v="7"/>
    <n v="1299"/>
    <n v="10"/>
    <s v="Divya Nair"/>
    <s v="Net Banking"/>
    <s v="Delivered"/>
    <n v="8183.7"/>
    <s v="December"/>
    <s v="High"/>
    <n v="202"/>
  </r>
  <r>
    <n v="1196"/>
    <s v="2025-11-29"/>
    <s v="Dev Chauhan"/>
    <x v="4"/>
    <x v="4"/>
    <s v="Induction Stove"/>
    <n v="7"/>
    <n v="1299"/>
    <n v="15"/>
    <s v="Rahul Mehta"/>
    <s v="Net Banking"/>
    <s v="Delivered"/>
    <n v="7729.05"/>
    <s v="November"/>
    <s v="High"/>
    <n v="224"/>
  </r>
  <r>
    <n v="1197"/>
    <s v="27-05-2025"/>
    <s v="Yash Shah"/>
    <x v="4"/>
    <x v="0"/>
    <s v="Bookshelf"/>
    <n v="8"/>
    <n v="349"/>
    <n v="5"/>
    <s v="Divya Nair"/>
    <s v="Net Banking"/>
    <s v="Delivered"/>
    <n v="2652.4"/>
    <s v="May"/>
    <s v="Medium"/>
    <n v="410"/>
  </r>
  <r>
    <n v="1198"/>
    <s v="18/07/2025"/>
    <s v="Dev Verma"/>
    <x v="4"/>
    <x v="1"/>
    <s v="Marker Set"/>
    <n v="8"/>
    <n v="899"/>
    <n v="10"/>
    <s v="Karan Patel"/>
    <s v="Net Banking"/>
    <s v="Returned"/>
    <n v="6472.8"/>
    <s v="July"/>
    <s v="High"/>
    <n v="358"/>
  </r>
  <r>
    <n v="1199"/>
    <s v="30-03-2025"/>
    <s v="Isha Reddy"/>
    <x v="6"/>
    <x v="1"/>
    <s v="Sticky Notes"/>
    <n v="3"/>
    <n v="599"/>
    <n v="10"/>
    <s v="Rahul Mehta"/>
    <s v="Debit Card"/>
    <s v="Delivered"/>
    <n v="1617.3"/>
    <s v="March"/>
    <s v="Medium"/>
    <n v="468"/>
  </r>
  <r>
    <n v="1200"/>
    <s v="12-11-2025"/>
    <s v="Riya Nair"/>
    <x v="0"/>
    <x v="1"/>
    <s v="Gel Pen Set"/>
    <n v="3"/>
    <n v="299"/>
    <n v="0"/>
    <s v="Sneha Joshi"/>
    <s v="Net Banking"/>
    <s v="Delivered"/>
    <n v="897"/>
    <s v="November"/>
    <s v="Low"/>
    <n v="241"/>
  </r>
  <r>
    <n v="1201"/>
    <s v="13-11-2025"/>
    <s v="Ishaan Verma"/>
    <x v="4"/>
    <x v="1"/>
    <s v="Gel Pen Set"/>
    <n v="5"/>
    <n v="249"/>
    <n v="10"/>
    <s v="Sneha Joshi"/>
    <s v="UPI"/>
    <s v="Delivered"/>
    <n v="1120.5"/>
    <s v="November"/>
    <s v="Low"/>
    <n v="240"/>
  </r>
  <r>
    <n v="1202"/>
    <s v="18/09/2025"/>
    <s v="Ishaan Sharma"/>
    <x v="0"/>
    <x v="0"/>
    <s v="Filing Cabinet"/>
    <n v="2"/>
    <n v="349"/>
    <n v="0"/>
    <s v="Karan Patel"/>
    <s v="Net Banking"/>
    <s v="Delivered"/>
    <n v="698"/>
    <s v="September"/>
    <s v="Low"/>
    <n v="296"/>
  </r>
  <r>
    <n v="1203"/>
    <s v="16-04-2025"/>
    <s v="Neha Kapoor"/>
    <x v="4"/>
    <x v="2"/>
    <s v="USB-C Cable"/>
    <n v="1"/>
    <n v="299"/>
    <n v="0"/>
    <s v="Rahul Mehta"/>
    <s v="Credit Card"/>
    <s v="Delivered"/>
    <n v="299"/>
    <s v="April"/>
    <s v="Low"/>
    <n v="451"/>
  </r>
  <r>
    <n v="1204"/>
    <s v="10/08/2025"/>
    <s v="Aarav Reddy"/>
    <x v="4"/>
    <x v="4"/>
    <s v="Induction Stove"/>
    <n v="1"/>
    <n v="299"/>
    <n v="10"/>
    <s v="Karan Patel"/>
    <s v="UPI"/>
    <s v="Returned"/>
    <n v="269.10000000000002"/>
    <s v="August"/>
    <s v="Low"/>
    <n v="335"/>
  </r>
  <r>
    <n v="1205"/>
    <s v="2025-12-05"/>
    <s v="UNKHOWN"/>
    <x v="5"/>
    <x v="3"/>
    <s v="Running Shoes"/>
    <n v="3"/>
    <n v="1299"/>
    <n v="10"/>
    <s v="Rahul Mehta"/>
    <s v="Net Banking"/>
    <s v="Delivered"/>
    <n v="3507.3"/>
    <s v="December"/>
    <s v="Medium"/>
    <n v="218"/>
  </r>
  <r>
    <n v="1206"/>
    <s v="2025-06-26"/>
    <s v="Neha Kapoor"/>
    <x v="5"/>
    <x v="0"/>
    <s v="Filing Cabinet"/>
    <n v="5"/>
    <n v="699"/>
    <n v="0"/>
    <s v="Priya Shah"/>
    <s v="Net Banking"/>
    <s v="Returned"/>
    <n v="3495"/>
    <s v="June"/>
    <s v="Medium"/>
    <n v="380"/>
  </r>
  <r>
    <n v="1207"/>
    <s v="04/02/2025"/>
    <s v="Isha Mehta"/>
    <x v="2"/>
    <x v="1"/>
    <s v="Gel Pen Set"/>
    <n v="2"/>
    <n v="1299"/>
    <n v="0"/>
    <s v="Priya Shah"/>
    <s v="Debit Card"/>
    <s v="Delivered"/>
    <n v="2598"/>
    <s v="February"/>
    <s v="Medium"/>
    <n v="522"/>
  </r>
  <r>
    <n v="1208"/>
    <s v="11/06/2025"/>
    <s v="Meera Sharma"/>
    <x v="0"/>
    <x v="0"/>
    <s v="Bookshelf"/>
    <n v="6"/>
    <n v="499"/>
    <n v="10"/>
    <s v="Sneha Joshi"/>
    <s v="Cash On Delivery"/>
    <s v="Delivered"/>
    <n v="2694.6"/>
    <s v="June"/>
    <s v="Medium"/>
    <n v="395"/>
  </r>
  <r>
    <n v="1209"/>
    <s v="13-03-2025"/>
    <s v="Kabir Gupta"/>
    <x v="4"/>
    <x v="2"/>
    <s v="Wireless Mouse"/>
    <n v="7"/>
    <n v="699"/>
    <n v="0"/>
    <s v="Karan Patel"/>
    <s v="Debit Card"/>
    <s v="Delivered"/>
    <n v="4893"/>
    <s v="March"/>
    <s v="Medium"/>
    <n v="485"/>
  </r>
  <r>
    <n v="1210"/>
    <s v="10/03/2025"/>
    <s v="Aditi Reddy"/>
    <x v="0"/>
    <x v="2"/>
    <s v="Bluetooth Speaker"/>
    <n v="3"/>
    <n v="499"/>
    <n v="20"/>
    <s v="Priya Shah"/>
    <s v="Credit  Card"/>
    <s v="Pending"/>
    <n v="1197.6000000000001"/>
    <s v="March"/>
    <s v="Low"/>
    <n v="488"/>
  </r>
  <r>
    <n v="1211"/>
    <s v="23/04/2025"/>
    <s v="Ananya Patel"/>
    <x v="0"/>
    <x v="0"/>
    <s v="Study Table"/>
    <n v="6"/>
    <n v="2499"/>
    <n v="20"/>
    <s v="Sneha Joshi"/>
    <s v="UPI"/>
    <s v="Cancelled"/>
    <n v="11995.2"/>
    <s v="April"/>
    <s v="High"/>
    <n v="444"/>
  </r>
  <r>
    <n v="1212"/>
    <s v="15-05-2025"/>
    <s v="Meera Reddy"/>
    <x v="2"/>
    <x v="4"/>
    <s v="Non-Stick Pan"/>
    <n v="5"/>
    <n v="2499"/>
    <n v="0"/>
    <s v="Karan Patel"/>
    <s v="Cash On Delivery"/>
    <s v="Returned"/>
    <n v="12495"/>
    <s v="May"/>
    <s v="High"/>
    <n v="422"/>
  </r>
  <r>
    <n v="1213"/>
    <s v="2025-08-14"/>
    <s v="Ananya Patel"/>
    <x v="0"/>
    <x v="0"/>
    <s v="Study Table"/>
    <n v="6"/>
    <n v="349"/>
    <n v="5"/>
    <s v="Sneha Joshi"/>
    <s v="UNKHOWN"/>
    <s v="Delivered"/>
    <n v="1989.3"/>
    <s v="August"/>
    <s v="Medium"/>
    <n v="331"/>
  </r>
  <r>
    <n v="1214"/>
    <s v="2025-01-23"/>
    <s v="Meera Shah"/>
    <x v="4"/>
    <x v="2"/>
    <s v="USB-C Cable"/>
    <n v="3"/>
    <n v="2499"/>
    <n v="0"/>
    <s v="Divya Nair"/>
    <s v="Debit Card"/>
    <s v="Delivered"/>
    <n v="7497"/>
    <s v="January"/>
    <s v="High"/>
    <n v="534"/>
  </r>
  <r>
    <n v="1215"/>
    <s v="15-03-2025"/>
    <s v="Meera Joshi"/>
    <x v="0"/>
    <x v="1"/>
    <s v="Marker Set"/>
    <n v="2"/>
    <n v="899"/>
    <n v="15"/>
    <s v="Sneha Joshi"/>
    <s v="Credit Card"/>
    <s v="Delivered"/>
    <n v="1528.3"/>
    <s v="March"/>
    <s v="Medium"/>
    <n v="483"/>
  </r>
  <r>
    <n v="1216"/>
    <s v="01/04/2025"/>
    <s v="Vivaan Verma"/>
    <x v="4"/>
    <x v="3"/>
    <s v="Denim Jacket"/>
    <n v="1"/>
    <n v="2999"/>
    <n v="15"/>
    <s v="Aman Verma"/>
    <s v="UPI"/>
    <s v="Delivered"/>
    <n v="2549.15"/>
    <s v="April"/>
    <s v="Medium"/>
    <n v="466"/>
  </r>
  <r>
    <n v="1217"/>
    <s v="23-12-2025"/>
    <s v="Isha Reddy"/>
    <x v="5"/>
    <x v="3"/>
    <s v="Cotton T-Shirt"/>
    <n v="5"/>
    <n v="2999"/>
    <n v="10"/>
    <s v="Priya Shah"/>
    <s v="UPI"/>
    <s v="Delivered"/>
    <n v="13495.5"/>
    <s v="December"/>
    <s v="High"/>
    <n v="200"/>
  </r>
  <r>
    <n v="1218"/>
    <s v="2025-07-05"/>
    <s v="Rohan Reddy"/>
    <x v="0"/>
    <x v="4"/>
    <s v="Induction Stove"/>
    <n v="6"/>
    <n v="999"/>
    <n v="15"/>
    <s v="Priya Shah"/>
    <s v="Cash On Delivery"/>
    <s v="Returned"/>
    <n v="5094.8999999999996"/>
    <s v="July"/>
    <s v="High"/>
    <n v="371"/>
  </r>
  <r>
    <n v="1219"/>
    <s v="26-06-2025"/>
    <s v="Arjun Chauhan"/>
    <x v="1"/>
    <x v="2"/>
    <s v="Bluetooth Speaker"/>
    <n v="8"/>
    <n v="599"/>
    <n v="0"/>
    <s v="Priya Shah"/>
    <s v="Net Banking"/>
    <s v="Returned"/>
    <n v="4792"/>
    <s v="June"/>
    <s v="Medium"/>
    <n v="380"/>
  </r>
  <r>
    <n v="1220"/>
    <s v="2025-11-22"/>
    <s v="Aditi Shah"/>
    <x v="3"/>
    <x v="3"/>
    <s v="Cotton T-Shirt"/>
    <n v="5"/>
    <n v="899"/>
    <n v="10"/>
    <s v="Rahul Mehta"/>
    <s v="Net Banking"/>
    <s v="Delivered"/>
    <n v="4045.5"/>
    <s v="November"/>
    <s v="Medium"/>
    <n v="231"/>
  </r>
  <r>
    <n v="1221"/>
    <s v="2025-01-30"/>
    <s v="UNKHOWN"/>
    <x v="4"/>
    <x v="4"/>
    <s v="Mixer Grinder"/>
    <n v="1"/>
    <n v="899"/>
    <n v="0"/>
    <s v="Divya Nair"/>
    <s v="UPI"/>
    <s v="Delivered"/>
    <n v="899"/>
    <s v="January"/>
    <s v="Low"/>
    <n v="527"/>
  </r>
  <r>
    <n v="1222"/>
    <s v="22/07/2025"/>
    <s v="Kabir Verma"/>
    <x v="4"/>
    <x v="2"/>
    <s v="USB-C Cable"/>
    <n v="5"/>
    <n v="1999"/>
    <n v="10"/>
    <s v="Priya Shah"/>
    <s v="Net Banking"/>
    <s v="Delivered"/>
    <n v="8995.5"/>
    <s v="July"/>
    <s v="High"/>
    <n v="354"/>
  </r>
  <r>
    <n v="1223"/>
    <s v="15/09/2025"/>
    <s v="Dev Patel"/>
    <x v="0"/>
    <x v="4"/>
    <s v="Lunch Box"/>
    <n v="5"/>
    <n v="4999"/>
    <n v="5"/>
    <s v="Aman Verma"/>
    <s v="Cash On Delivery"/>
    <s v="Delivered"/>
    <n v="23745.25"/>
    <s v="September"/>
    <s v="High"/>
    <n v="299"/>
  </r>
  <r>
    <n v="1224"/>
    <s v="23-04-2025"/>
    <s v="Ananya Iyer"/>
    <x v="2"/>
    <x v="4"/>
    <s v="Non-Stick Pan"/>
    <n v="5"/>
    <n v="899"/>
    <n v="10"/>
    <s v="Rahul Mehta"/>
    <s v="Cash On Delivery"/>
    <s v="Delivered"/>
    <n v="4045.5"/>
    <s v="April"/>
    <s v="Medium"/>
    <n v="444"/>
  </r>
  <r>
    <n v="1225"/>
    <s v="21/10/2025"/>
    <s v="Meera Chauhan"/>
    <x v="5"/>
    <x v="0"/>
    <s v="Study Table"/>
    <n v="5"/>
    <n v="699"/>
    <n v="5"/>
    <s v="Priya Shah"/>
    <s v="Credit  Card"/>
    <s v="Delivered"/>
    <n v="3320.25"/>
    <s v="October"/>
    <s v="Medium"/>
    <n v="263"/>
  </r>
  <r>
    <n v="1226"/>
    <s v="04-01-2025"/>
    <s v="Vivaan Nair"/>
    <x v="0"/>
    <x v="1"/>
    <s v="Marker Set"/>
    <n v="5"/>
    <n v="4999"/>
    <n v="0"/>
    <s v="Karan Patel"/>
    <s v="Debit Card"/>
    <s v="Delivered"/>
    <n v="24995"/>
    <s v="January"/>
    <s v="High"/>
    <n v="553"/>
  </r>
  <r>
    <n v="1227"/>
    <s v="15/09/2025"/>
    <s v="Arjun Kapoor"/>
    <x v="5"/>
    <x v="2"/>
    <s v="Webcam"/>
    <n v="8"/>
    <n v="1499"/>
    <n v="0"/>
    <s v="Rahul Mehta"/>
    <s v="Credit Card"/>
    <s v="Delivered"/>
    <n v="11992"/>
    <s v="September"/>
    <s v="High"/>
    <n v="299"/>
  </r>
  <r>
    <n v="1228"/>
    <s v="30-08-2025"/>
    <s v="Dev Iyer"/>
    <x v="5"/>
    <x v="3"/>
    <s v="Formal Shirt"/>
    <n v="6"/>
    <n v="1999"/>
    <n v="15"/>
    <s v="Aman Verma"/>
    <s v="Cash On Delivery"/>
    <s v="Delivered"/>
    <n v="10194.9"/>
    <s v="August"/>
    <s v="High"/>
    <n v="315"/>
  </r>
  <r>
    <n v="1229"/>
    <s v="12/10/2025"/>
    <s v="Arjun Mehta"/>
    <x v="1"/>
    <x v="0"/>
    <s v="Office Chair"/>
    <n v="3"/>
    <n v="2999"/>
    <n v="20"/>
    <s v="Priya Shah"/>
    <s v="Net Banking"/>
    <s v="Returned"/>
    <n v="7197.6"/>
    <s v="October"/>
    <s v="High"/>
    <n v="272"/>
  </r>
  <r>
    <n v="1230"/>
    <s v="2025-01-31"/>
    <s v="Yash Nair"/>
    <x v="6"/>
    <x v="1"/>
    <s v="Sticky Notes"/>
    <n v="6"/>
    <n v="999"/>
    <n v="10"/>
    <s v="Rahul Mehta"/>
    <s v="Cash On Delivery"/>
    <s v="Delivered"/>
    <n v="5394.6"/>
    <s v="January"/>
    <s v="High"/>
    <n v="5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4B6E5-9F33-41FF-8114-3D03AECC44DB}" name="PivotTable2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2:I11" firstHeaderRow="1" firstDataRow="2" firstDataCol="1"/>
  <pivotFields count="16">
    <pivotField showAll="0"/>
    <pivotField showAll="0"/>
    <pivotField showAll="0"/>
    <pivotField axis="axisRow" showAll="0">
      <items count="8">
        <item x="0"/>
        <item x="4"/>
        <item x="6"/>
        <item x="5"/>
        <item x="1"/>
        <item x="2"/>
        <item x="3"/>
        <item t="default"/>
      </items>
    </pivotField>
    <pivotField axis="axisCol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1"/>
  <sheetViews>
    <sheetView topLeftCell="H1" workbookViewId="0">
      <pane ySplit="1" topLeftCell="A2" activePane="bottomLeft" state="frozen"/>
      <selection pane="bottomLeft" activeCell="C281" sqref="C281"/>
    </sheetView>
  </sheetViews>
  <sheetFormatPr defaultRowHeight="14.4" x14ac:dyDescent="0.3"/>
  <cols>
    <col min="1" max="1" width="10" customWidth="1"/>
    <col min="2" max="2" width="12" customWidth="1"/>
    <col min="3" max="3" width="20" customWidth="1"/>
    <col min="4" max="4" width="10" customWidth="1"/>
    <col min="5" max="5" width="12" customWidth="1"/>
    <col min="6" max="6" width="18" customWidth="1"/>
    <col min="7" max="7" width="10" customWidth="1"/>
    <col min="8" max="9" width="11" customWidth="1"/>
    <col min="10" max="10" width="16" customWidth="1"/>
    <col min="11" max="11" width="15" customWidth="1"/>
    <col min="12" max="12" width="12" customWidth="1"/>
    <col min="13" max="13" width="16.33203125" customWidth="1"/>
    <col min="14" max="14" width="14.21875" customWidth="1"/>
    <col min="15" max="15" width="15.5546875" customWidth="1"/>
    <col min="16" max="16" width="16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408</v>
      </c>
      <c r="N1" s="1" t="s">
        <v>409</v>
      </c>
      <c r="O1" s="1" t="s">
        <v>410</v>
      </c>
      <c r="P1" s="1" t="s">
        <v>411</v>
      </c>
    </row>
    <row r="2" spans="1:16" x14ac:dyDescent="0.3">
      <c r="A2" s="2">
        <v>1001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</v>
      </c>
      <c r="H2" s="2">
        <v>2999</v>
      </c>
      <c r="I2" s="2">
        <v>0</v>
      </c>
      <c r="J2" s="2" t="s">
        <v>17</v>
      </c>
      <c r="K2" s="2" t="s">
        <v>18</v>
      </c>
      <c r="L2" s="2" t="s">
        <v>19</v>
      </c>
      <c r="M2">
        <f>G2*H2*(1-I2/100)</f>
        <v>5998</v>
      </c>
      <c r="N2" t="str">
        <f>TEXT(B2,"mmmm")</f>
        <v>November</v>
      </c>
      <c r="O2" t="str">
        <f>IF(M2&gt;5000,"High", IF(M2&gt;1500,"Medium","Low") )</f>
        <v>High</v>
      </c>
      <c r="P2" s="4">
        <f ca="1">TODAY()-B2</f>
        <v>229</v>
      </c>
    </row>
    <row r="3" spans="1:16" x14ac:dyDescent="0.3">
      <c r="A3" s="2">
        <v>1002</v>
      </c>
      <c r="B3" s="2" t="s">
        <v>20</v>
      </c>
      <c r="C3" s="2" t="s">
        <v>21</v>
      </c>
      <c r="D3" s="2" t="s">
        <v>22</v>
      </c>
      <c r="E3" s="2" t="s">
        <v>15</v>
      </c>
      <c r="F3" s="2" t="s">
        <v>23</v>
      </c>
      <c r="G3" s="2">
        <v>3</v>
      </c>
      <c r="H3" s="2">
        <v>699</v>
      </c>
      <c r="I3" s="2">
        <v>10</v>
      </c>
      <c r="J3" s="2" t="s">
        <v>17</v>
      </c>
      <c r="K3" s="2" t="s">
        <v>18</v>
      </c>
      <c r="L3" s="2" t="s">
        <v>19</v>
      </c>
      <c r="M3">
        <f t="shared" ref="M3:M66" si="0">G3*H3*(1-I3/100)</f>
        <v>1887.3</v>
      </c>
      <c r="N3" t="str">
        <f t="shared" ref="N3:N66" si="1">TEXT(B3,"mmmm")</f>
        <v>August</v>
      </c>
      <c r="O3" t="str">
        <f t="shared" ref="O3:O66" si="2">IF(M3&gt;5000,"High", IF(M3&gt;1500,"Medium","Low") )</f>
        <v>Medium</v>
      </c>
      <c r="P3" s="4">
        <f t="shared" ref="P3:P66" ca="1" si="3">TODAY()-B3</f>
        <v>327</v>
      </c>
    </row>
    <row r="4" spans="1:16" x14ac:dyDescent="0.3">
      <c r="A4" s="2">
        <v>1003</v>
      </c>
      <c r="B4" s="2" t="s">
        <v>24</v>
      </c>
      <c r="C4" s="2" t="s">
        <v>25</v>
      </c>
      <c r="D4" s="2" t="s">
        <v>14</v>
      </c>
      <c r="E4" s="2" t="s">
        <v>15</v>
      </c>
      <c r="F4" s="2" t="s">
        <v>16</v>
      </c>
      <c r="G4" s="2">
        <v>4</v>
      </c>
      <c r="H4" s="2">
        <v>1299</v>
      </c>
      <c r="I4" s="2">
        <v>0</v>
      </c>
      <c r="J4" s="2" t="s">
        <v>26</v>
      </c>
      <c r="K4" s="2" t="s">
        <v>18</v>
      </c>
      <c r="L4" s="2" t="s">
        <v>19</v>
      </c>
      <c r="M4">
        <f t="shared" si="0"/>
        <v>5196</v>
      </c>
      <c r="N4" t="str">
        <f t="shared" si="1"/>
        <v>July</v>
      </c>
      <c r="O4" t="str">
        <f t="shared" si="2"/>
        <v>High</v>
      </c>
      <c r="P4" s="4">
        <f t="shared" ca="1" si="3"/>
        <v>363</v>
      </c>
    </row>
    <row r="5" spans="1:16" x14ac:dyDescent="0.3">
      <c r="A5" s="2">
        <v>1004</v>
      </c>
      <c r="B5" s="2" t="s">
        <v>27</v>
      </c>
      <c r="C5" s="2" t="s">
        <v>407</v>
      </c>
      <c r="D5" s="2" t="s">
        <v>22</v>
      </c>
      <c r="E5" s="2" t="s">
        <v>15</v>
      </c>
      <c r="F5" s="2" t="s">
        <v>28</v>
      </c>
      <c r="G5" s="2">
        <v>7</v>
      </c>
      <c r="H5" s="2">
        <v>999</v>
      </c>
      <c r="I5" s="2">
        <v>5</v>
      </c>
      <c r="J5" s="2" t="s">
        <v>29</v>
      </c>
      <c r="K5" s="2" t="s">
        <v>30</v>
      </c>
      <c r="L5" s="2" t="s">
        <v>19</v>
      </c>
      <c r="M5">
        <f t="shared" si="0"/>
        <v>6643.3499999999995</v>
      </c>
      <c r="N5" t="str">
        <f t="shared" si="1"/>
        <v>December</v>
      </c>
      <c r="O5" t="str">
        <f t="shared" si="2"/>
        <v>High</v>
      </c>
      <c r="P5" s="4">
        <f t="shared" ca="1" si="3"/>
        <v>207</v>
      </c>
    </row>
    <row r="6" spans="1:16" x14ac:dyDescent="0.3">
      <c r="A6" s="2">
        <v>1005</v>
      </c>
      <c r="B6" s="2" t="s">
        <v>31</v>
      </c>
      <c r="C6" s="2" t="s">
        <v>32</v>
      </c>
      <c r="D6" s="2" t="s">
        <v>33</v>
      </c>
      <c r="E6" s="2" t="s">
        <v>15</v>
      </c>
      <c r="F6" s="2" t="s">
        <v>34</v>
      </c>
      <c r="G6" s="2">
        <v>5</v>
      </c>
      <c r="H6" s="2">
        <v>2999</v>
      </c>
      <c r="I6" s="2">
        <v>15</v>
      </c>
      <c r="J6" s="2" t="s">
        <v>35</v>
      </c>
      <c r="K6" s="2" t="s">
        <v>36</v>
      </c>
      <c r="L6" s="2" t="s">
        <v>19</v>
      </c>
      <c r="M6">
        <f t="shared" si="0"/>
        <v>12745.75</v>
      </c>
      <c r="N6" t="str">
        <f t="shared" si="1"/>
        <v>June</v>
      </c>
      <c r="O6" t="str">
        <f t="shared" si="2"/>
        <v>High</v>
      </c>
      <c r="P6" s="4">
        <f t="shared" ca="1" si="3"/>
        <v>395</v>
      </c>
    </row>
    <row r="7" spans="1:16" x14ac:dyDescent="0.3">
      <c r="A7" s="2">
        <v>1006</v>
      </c>
      <c r="B7" s="2" t="s">
        <v>37</v>
      </c>
      <c r="C7" s="2" t="s">
        <v>38</v>
      </c>
      <c r="D7" s="2" t="s">
        <v>39</v>
      </c>
      <c r="E7" s="2" t="s">
        <v>15</v>
      </c>
      <c r="F7" s="2" t="s">
        <v>23</v>
      </c>
      <c r="G7" s="2">
        <v>5</v>
      </c>
      <c r="H7" s="2">
        <v>349</v>
      </c>
      <c r="I7" s="2">
        <v>10</v>
      </c>
      <c r="J7" s="2" t="s">
        <v>29</v>
      </c>
      <c r="K7" s="2" t="s">
        <v>30</v>
      </c>
      <c r="L7" s="2" t="s">
        <v>19</v>
      </c>
      <c r="M7">
        <f t="shared" si="0"/>
        <v>1570.5</v>
      </c>
      <c r="N7" t="str">
        <f t="shared" si="1"/>
        <v>August</v>
      </c>
      <c r="O7" t="str">
        <f t="shared" si="2"/>
        <v>Medium</v>
      </c>
      <c r="P7" s="4">
        <f t="shared" ca="1" si="3"/>
        <v>340</v>
      </c>
    </row>
    <row r="8" spans="1:16" x14ac:dyDescent="0.3">
      <c r="A8" s="2">
        <v>1007</v>
      </c>
      <c r="B8" s="2" t="s">
        <v>40</v>
      </c>
      <c r="C8" s="2" t="s">
        <v>41</v>
      </c>
      <c r="D8" s="2" t="s">
        <v>14</v>
      </c>
      <c r="E8" s="2" t="s">
        <v>15</v>
      </c>
      <c r="F8" s="2" t="s">
        <v>42</v>
      </c>
      <c r="G8" s="2">
        <v>3</v>
      </c>
      <c r="H8" s="2">
        <v>1999</v>
      </c>
      <c r="I8" s="2">
        <v>0</v>
      </c>
      <c r="J8" s="2" t="s">
        <v>43</v>
      </c>
      <c r="K8" s="2" t="s">
        <v>44</v>
      </c>
      <c r="L8" s="2" t="s">
        <v>19</v>
      </c>
      <c r="M8">
        <f t="shared" si="0"/>
        <v>5997</v>
      </c>
      <c r="N8" t="str">
        <f t="shared" si="1"/>
        <v>April</v>
      </c>
      <c r="O8" t="str">
        <f t="shared" si="2"/>
        <v>High</v>
      </c>
      <c r="P8" s="4">
        <f t="shared" ca="1" si="3"/>
        <v>465</v>
      </c>
    </row>
    <row r="9" spans="1:16" x14ac:dyDescent="0.3">
      <c r="A9" s="2">
        <v>1008</v>
      </c>
      <c r="B9" s="2" t="s">
        <v>45</v>
      </c>
      <c r="C9" s="2" t="s">
        <v>46</v>
      </c>
      <c r="D9" s="2" t="s">
        <v>47</v>
      </c>
      <c r="E9" s="2" t="s">
        <v>15</v>
      </c>
      <c r="F9" s="2" t="s">
        <v>49</v>
      </c>
      <c r="G9" s="2">
        <v>3</v>
      </c>
      <c r="H9" s="2">
        <v>499</v>
      </c>
      <c r="I9" s="2">
        <v>20</v>
      </c>
      <c r="J9" s="2" t="s">
        <v>43</v>
      </c>
      <c r="K9" s="2" t="s">
        <v>36</v>
      </c>
      <c r="L9" s="2" t="s">
        <v>19</v>
      </c>
      <c r="M9">
        <f t="shared" si="0"/>
        <v>1197.6000000000001</v>
      </c>
      <c r="N9" t="str">
        <f t="shared" si="1"/>
        <v>May</v>
      </c>
      <c r="O9" t="str">
        <f t="shared" si="2"/>
        <v>Low</v>
      </c>
      <c r="P9" s="4">
        <f t="shared" ca="1" si="3"/>
        <v>434</v>
      </c>
    </row>
    <row r="10" spans="1:16" x14ac:dyDescent="0.3">
      <c r="A10" s="2">
        <v>1009</v>
      </c>
      <c r="B10" s="2" t="s">
        <v>50</v>
      </c>
      <c r="C10" s="2" t="s">
        <v>51</v>
      </c>
      <c r="D10" s="2" t="s">
        <v>33</v>
      </c>
      <c r="E10" s="2" t="s">
        <v>15</v>
      </c>
      <c r="F10" s="2" t="s">
        <v>16</v>
      </c>
      <c r="G10" s="2">
        <v>6</v>
      </c>
      <c r="H10" s="2">
        <v>199</v>
      </c>
      <c r="I10" s="2">
        <v>5</v>
      </c>
      <c r="J10" s="2" t="s">
        <v>43</v>
      </c>
      <c r="K10" s="2" t="s">
        <v>36</v>
      </c>
      <c r="L10" s="2" t="s">
        <v>19</v>
      </c>
      <c r="M10">
        <f t="shared" si="0"/>
        <v>1134.3</v>
      </c>
      <c r="N10" t="str">
        <f t="shared" si="1"/>
        <v>June</v>
      </c>
      <c r="O10" t="str">
        <f t="shared" si="2"/>
        <v>Low</v>
      </c>
      <c r="P10" s="4">
        <f t="shared" ca="1" si="3"/>
        <v>397</v>
      </c>
    </row>
    <row r="11" spans="1:16" x14ac:dyDescent="0.3">
      <c r="A11" s="2">
        <v>1010</v>
      </c>
      <c r="B11" s="2" t="s">
        <v>52</v>
      </c>
      <c r="C11" s="2" t="s">
        <v>53</v>
      </c>
      <c r="D11" s="2" t="s">
        <v>22</v>
      </c>
      <c r="E11" s="2" t="s">
        <v>15</v>
      </c>
      <c r="F11" s="2" t="s">
        <v>54</v>
      </c>
      <c r="G11" s="2">
        <v>4</v>
      </c>
      <c r="H11" s="2">
        <v>4999</v>
      </c>
      <c r="I11" s="2">
        <v>15</v>
      </c>
      <c r="J11" s="2" t="s">
        <v>26</v>
      </c>
      <c r="K11" s="2" t="s">
        <v>18</v>
      </c>
      <c r="L11" s="2" t="s">
        <v>19</v>
      </c>
      <c r="M11">
        <f t="shared" si="0"/>
        <v>16996.599999999999</v>
      </c>
      <c r="N11" t="str">
        <f t="shared" si="1"/>
        <v>May</v>
      </c>
      <c r="O11" t="str">
        <f t="shared" si="2"/>
        <v>High</v>
      </c>
      <c r="P11" s="4">
        <f t="shared" ca="1" si="3"/>
        <v>435</v>
      </c>
    </row>
    <row r="12" spans="1:16" x14ac:dyDescent="0.3">
      <c r="A12" s="2">
        <v>1011</v>
      </c>
      <c r="B12" s="2" t="s">
        <v>55</v>
      </c>
      <c r="C12" s="2" t="s">
        <v>56</v>
      </c>
      <c r="D12" s="2" t="s">
        <v>14</v>
      </c>
      <c r="E12" s="2" t="s">
        <v>15</v>
      </c>
      <c r="F12" s="2" t="s">
        <v>57</v>
      </c>
      <c r="G12" s="2">
        <v>8</v>
      </c>
      <c r="H12" s="2">
        <v>499</v>
      </c>
      <c r="I12" s="2">
        <v>15</v>
      </c>
      <c r="J12" s="2" t="s">
        <v>26</v>
      </c>
      <c r="K12" s="2" t="s">
        <v>30</v>
      </c>
      <c r="L12" s="2" t="s">
        <v>19</v>
      </c>
      <c r="M12">
        <f t="shared" si="0"/>
        <v>3393.2</v>
      </c>
      <c r="N12" t="str">
        <f t="shared" si="1"/>
        <v>November</v>
      </c>
      <c r="O12" t="str">
        <f t="shared" si="2"/>
        <v>Medium</v>
      </c>
      <c r="P12" s="4">
        <f t="shared" ca="1" si="3"/>
        <v>226</v>
      </c>
    </row>
    <row r="13" spans="1:16" x14ac:dyDescent="0.3">
      <c r="A13" s="2">
        <v>1012</v>
      </c>
      <c r="B13" s="2" t="s">
        <v>58</v>
      </c>
      <c r="C13" s="2" t="s">
        <v>59</v>
      </c>
      <c r="D13" s="2" t="s">
        <v>93</v>
      </c>
      <c r="E13" s="2" t="s">
        <v>15</v>
      </c>
      <c r="F13" s="2" t="s">
        <v>60</v>
      </c>
      <c r="G13" s="2">
        <v>7</v>
      </c>
      <c r="H13" s="2">
        <v>249</v>
      </c>
      <c r="I13" s="2">
        <v>0</v>
      </c>
      <c r="J13" s="2" t="s">
        <v>61</v>
      </c>
      <c r="K13" s="2" t="s">
        <v>18</v>
      </c>
      <c r="L13" s="2" t="s">
        <v>19</v>
      </c>
      <c r="M13">
        <f t="shared" si="0"/>
        <v>1743</v>
      </c>
      <c r="N13" t="str">
        <f t="shared" si="1"/>
        <v>October</v>
      </c>
      <c r="O13" t="str">
        <f t="shared" si="2"/>
        <v>Medium</v>
      </c>
      <c r="P13" s="4">
        <f t="shared" ca="1" si="3"/>
        <v>280</v>
      </c>
    </row>
    <row r="14" spans="1:16" x14ac:dyDescent="0.3">
      <c r="A14" s="2">
        <v>1013</v>
      </c>
      <c r="B14" s="2" t="s">
        <v>62</v>
      </c>
      <c r="C14" s="2" t="s">
        <v>63</v>
      </c>
      <c r="D14" s="2" t="s">
        <v>93</v>
      </c>
      <c r="E14" s="2" t="s">
        <v>15</v>
      </c>
      <c r="F14" s="2" t="s">
        <v>64</v>
      </c>
      <c r="G14" s="2">
        <v>1</v>
      </c>
      <c r="H14" s="2">
        <v>1499</v>
      </c>
      <c r="I14" s="2">
        <v>0</v>
      </c>
      <c r="J14" s="2" t="s">
        <v>17</v>
      </c>
      <c r="K14" s="2" t="s">
        <v>44</v>
      </c>
      <c r="L14" s="2" t="s">
        <v>19</v>
      </c>
      <c r="M14">
        <f t="shared" si="0"/>
        <v>1499</v>
      </c>
      <c r="N14" t="str">
        <f t="shared" si="1"/>
        <v>October</v>
      </c>
      <c r="O14" t="str">
        <f t="shared" si="2"/>
        <v>Low</v>
      </c>
      <c r="P14" s="4">
        <f t="shared" ca="1" si="3"/>
        <v>272</v>
      </c>
    </row>
    <row r="15" spans="1:16" x14ac:dyDescent="0.3">
      <c r="A15" s="2">
        <v>1014</v>
      </c>
      <c r="B15" s="2" t="s">
        <v>65</v>
      </c>
      <c r="C15" s="2" t="s">
        <v>66</v>
      </c>
      <c r="D15" s="2" t="s">
        <v>47</v>
      </c>
      <c r="E15" s="2" t="s">
        <v>15</v>
      </c>
      <c r="F15" s="2" t="s">
        <v>67</v>
      </c>
      <c r="G15" s="2">
        <v>2</v>
      </c>
      <c r="H15" s="2">
        <v>2999</v>
      </c>
      <c r="I15" s="2">
        <v>10</v>
      </c>
      <c r="J15" s="2" t="s">
        <v>35</v>
      </c>
      <c r="K15" s="2" t="s">
        <v>68</v>
      </c>
      <c r="L15" s="2" t="s">
        <v>19</v>
      </c>
      <c r="M15">
        <f t="shared" si="0"/>
        <v>5398.2</v>
      </c>
      <c r="N15" t="str">
        <f t="shared" si="1"/>
        <v>November</v>
      </c>
      <c r="O15" t="str">
        <f t="shared" si="2"/>
        <v>High</v>
      </c>
      <c r="P15" s="4">
        <f t="shared" ca="1" si="3"/>
        <v>252</v>
      </c>
    </row>
    <row r="16" spans="1:16" x14ac:dyDescent="0.3">
      <c r="A16" s="2">
        <v>1015</v>
      </c>
      <c r="B16" s="2" t="s">
        <v>69</v>
      </c>
      <c r="C16" s="2" t="s">
        <v>70</v>
      </c>
      <c r="D16" s="2" t="s">
        <v>47</v>
      </c>
      <c r="E16" s="2" t="s">
        <v>15</v>
      </c>
      <c r="F16" s="2" t="s">
        <v>72</v>
      </c>
      <c r="G16" s="2">
        <v>5</v>
      </c>
      <c r="H16" s="2">
        <v>499</v>
      </c>
      <c r="I16" s="2">
        <v>10</v>
      </c>
      <c r="J16" s="2" t="s">
        <v>17</v>
      </c>
      <c r="K16" s="2" t="s">
        <v>36</v>
      </c>
      <c r="L16" s="2" t="s">
        <v>19</v>
      </c>
      <c r="M16">
        <f t="shared" si="0"/>
        <v>2245.5</v>
      </c>
      <c r="N16" t="str">
        <f t="shared" si="1"/>
        <v>February</v>
      </c>
      <c r="O16" t="str">
        <f t="shared" si="2"/>
        <v>Medium</v>
      </c>
      <c r="P16" s="4">
        <f t="shared" ca="1" si="3"/>
        <v>519</v>
      </c>
    </row>
    <row r="17" spans="1:16" x14ac:dyDescent="0.3">
      <c r="A17" s="2">
        <v>1016</v>
      </c>
      <c r="B17" s="2" t="s">
        <v>73</v>
      </c>
      <c r="C17" s="2" t="s">
        <v>25</v>
      </c>
      <c r="D17" s="2" t="s">
        <v>47</v>
      </c>
      <c r="E17" s="2" t="s">
        <v>15</v>
      </c>
      <c r="F17" s="2" t="s">
        <v>74</v>
      </c>
      <c r="G17" s="2">
        <v>3</v>
      </c>
      <c r="H17" s="2">
        <v>999</v>
      </c>
      <c r="I17" s="2">
        <v>10</v>
      </c>
      <c r="J17" s="2" t="s">
        <v>43</v>
      </c>
      <c r="K17" s="2" t="s">
        <v>68</v>
      </c>
      <c r="L17" s="2" t="s">
        <v>19</v>
      </c>
      <c r="M17">
        <f t="shared" si="0"/>
        <v>2697.3</v>
      </c>
      <c r="N17" t="str">
        <f t="shared" si="1"/>
        <v>September</v>
      </c>
      <c r="O17" t="str">
        <f t="shared" si="2"/>
        <v>Medium</v>
      </c>
      <c r="P17" s="4">
        <f t="shared" ca="1" si="3"/>
        <v>286</v>
      </c>
    </row>
    <row r="18" spans="1:16" x14ac:dyDescent="0.3">
      <c r="A18" s="2">
        <v>1017</v>
      </c>
      <c r="B18" s="2" t="s">
        <v>75</v>
      </c>
      <c r="C18" s="2" t="s">
        <v>76</v>
      </c>
      <c r="D18" s="2" t="s">
        <v>47</v>
      </c>
      <c r="E18" s="2" t="s">
        <v>15</v>
      </c>
      <c r="F18" s="2" t="s">
        <v>77</v>
      </c>
      <c r="G18" s="2">
        <v>3</v>
      </c>
      <c r="H18" s="2">
        <v>3499</v>
      </c>
      <c r="I18" s="2">
        <v>15</v>
      </c>
      <c r="J18" s="2" t="s">
        <v>43</v>
      </c>
      <c r="K18" s="2" t="s">
        <v>18</v>
      </c>
      <c r="L18" s="2" t="s">
        <v>19</v>
      </c>
      <c r="M18">
        <f t="shared" si="0"/>
        <v>8922.4499999999989</v>
      </c>
      <c r="N18" t="str">
        <f t="shared" si="1"/>
        <v>January</v>
      </c>
      <c r="O18" t="str">
        <f t="shared" si="2"/>
        <v>High</v>
      </c>
      <c r="P18" s="4">
        <f t="shared" ca="1" si="3"/>
        <v>530</v>
      </c>
    </row>
    <row r="19" spans="1:16" x14ac:dyDescent="0.3">
      <c r="A19" s="2">
        <v>1018</v>
      </c>
      <c r="B19" s="2" t="s">
        <v>78</v>
      </c>
      <c r="C19" s="2" t="s">
        <v>79</v>
      </c>
      <c r="D19" s="2" t="s">
        <v>14</v>
      </c>
      <c r="E19" s="2" t="s">
        <v>15</v>
      </c>
      <c r="F19" s="2" t="s">
        <v>80</v>
      </c>
      <c r="G19" s="2">
        <v>4</v>
      </c>
      <c r="H19" s="2">
        <v>349</v>
      </c>
      <c r="I19" s="2">
        <v>10</v>
      </c>
      <c r="J19" s="2" t="s">
        <v>43</v>
      </c>
      <c r="K19" s="2" t="s">
        <v>406</v>
      </c>
      <c r="L19" s="2" t="s">
        <v>19</v>
      </c>
      <c r="M19">
        <f t="shared" si="0"/>
        <v>1256.4000000000001</v>
      </c>
      <c r="N19" t="str">
        <f t="shared" si="1"/>
        <v>March</v>
      </c>
      <c r="O19" t="str">
        <f t="shared" si="2"/>
        <v>Low</v>
      </c>
      <c r="P19" s="4">
        <f t="shared" ca="1" si="3"/>
        <v>481</v>
      </c>
    </row>
    <row r="20" spans="1:16" x14ac:dyDescent="0.3">
      <c r="A20" s="2">
        <v>1019</v>
      </c>
      <c r="B20" s="2" t="s">
        <v>81</v>
      </c>
      <c r="C20" s="2" t="s">
        <v>82</v>
      </c>
      <c r="D20" s="2" t="s">
        <v>14</v>
      </c>
      <c r="E20" s="2" t="s">
        <v>15</v>
      </c>
      <c r="F20" s="2" t="s">
        <v>57</v>
      </c>
      <c r="G20" s="2">
        <v>2</v>
      </c>
      <c r="H20" s="2">
        <v>2499</v>
      </c>
      <c r="I20" s="2">
        <v>0</v>
      </c>
      <c r="J20" s="2" t="s">
        <v>61</v>
      </c>
      <c r="K20" s="2" t="s">
        <v>407</v>
      </c>
      <c r="L20" s="2" t="s">
        <v>83</v>
      </c>
      <c r="M20">
        <f t="shared" si="0"/>
        <v>4998</v>
      </c>
      <c r="N20" t="str">
        <f t="shared" si="1"/>
        <v>July</v>
      </c>
      <c r="O20" t="str">
        <f t="shared" si="2"/>
        <v>Medium</v>
      </c>
      <c r="P20" s="4">
        <f t="shared" ca="1" si="3"/>
        <v>345</v>
      </c>
    </row>
    <row r="21" spans="1:16" x14ac:dyDescent="0.3">
      <c r="A21" s="2">
        <v>1020</v>
      </c>
      <c r="B21" s="2" t="s">
        <v>84</v>
      </c>
      <c r="C21" s="2" t="s">
        <v>85</v>
      </c>
      <c r="D21" s="2" t="s">
        <v>47</v>
      </c>
      <c r="E21" s="2" t="s">
        <v>15</v>
      </c>
      <c r="F21" s="2" t="s">
        <v>87</v>
      </c>
      <c r="G21" s="2">
        <v>7</v>
      </c>
      <c r="H21" s="2">
        <v>1499</v>
      </c>
      <c r="I21" s="2">
        <v>0</v>
      </c>
      <c r="J21" s="2" t="s">
        <v>17</v>
      </c>
      <c r="K21" s="2" t="s">
        <v>30</v>
      </c>
      <c r="L21" s="2" t="s">
        <v>19</v>
      </c>
      <c r="M21">
        <f t="shared" si="0"/>
        <v>10493</v>
      </c>
      <c r="N21" t="str">
        <f t="shared" si="1"/>
        <v>April</v>
      </c>
      <c r="O21" t="str">
        <f t="shared" si="2"/>
        <v>High</v>
      </c>
      <c r="P21" s="4">
        <f t="shared" ca="1" si="3"/>
        <v>458</v>
      </c>
    </row>
    <row r="22" spans="1:16" x14ac:dyDescent="0.3">
      <c r="A22" s="2">
        <v>1021</v>
      </c>
      <c r="B22" s="2" t="s">
        <v>88</v>
      </c>
      <c r="C22" s="2" t="s">
        <v>89</v>
      </c>
      <c r="D22" s="2" t="s">
        <v>93</v>
      </c>
      <c r="E22" s="2" t="s">
        <v>15</v>
      </c>
      <c r="F22" s="2" t="s">
        <v>90</v>
      </c>
      <c r="G22" s="2">
        <v>1</v>
      </c>
      <c r="H22" s="2">
        <v>699</v>
      </c>
      <c r="I22" s="2">
        <v>10</v>
      </c>
      <c r="J22" s="2" t="s">
        <v>61</v>
      </c>
      <c r="K22" s="2" t="s">
        <v>18</v>
      </c>
      <c r="L22" s="2" t="s">
        <v>19</v>
      </c>
      <c r="M22">
        <f t="shared" si="0"/>
        <v>629.1</v>
      </c>
      <c r="N22" t="str">
        <f t="shared" si="1"/>
        <v>August</v>
      </c>
      <c r="O22" t="str">
        <f t="shared" si="2"/>
        <v>Low</v>
      </c>
      <c r="P22" s="4">
        <f t="shared" ca="1" si="3"/>
        <v>333</v>
      </c>
    </row>
    <row r="23" spans="1:16" x14ac:dyDescent="0.3">
      <c r="A23" s="2">
        <v>1022</v>
      </c>
      <c r="B23" s="2" t="s">
        <v>91</v>
      </c>
      <c r="C23" s="2" t="s">
        <v>92</v>
      </c>
      <c r="D23" s="2" t="s">
        <v>93</v>
      </c>
      <c r="E23" s="2" t="s">
        <v>15</v>
      </c>
      <c r="F23" s="2" t="s">
        <v>94</v>
      </c>
      <c r="G23" s="2">
        <v>3</v>
      </c>
      <c r="H23" s="2">
        <v>1299</v>
      </c>
      <c r="I23" s="2">
        <v>15</v>
      </c>
      <c r="J23" s="2" t="s">
        <v>43</v>
      </c>
      <c r="K23" s="2" t="s">
        <v>18</v>
      </c>
      <c r="L23" s="2" t="s">
        <v>19</v>
      </c>
      <c r="M23">
        <f t="shared" si="0"/>
        <v>3312.45</v>
      </c>
      <c r="N23" t="str">
        <f t="shared" si="1"/>
        <v>June</v>
      </c>
      <c r="O23" t="str">
        <f t="shared" si="2"/>
        <v>Medium</v>
      </c>
      <c r="P23" s="4">
        <f t="shared" ca="1" si="3"/>
        <v>389</v>
      </c>
    </row>
    <row r="24" spans="1:16" x14ac:dyDescent="0.3">
      <c r="A24" s="2">
        <v>1023</v>
      </c>
      <c r="B24" s="2" t="s">
        <v>95</v>
      </c>
      <c r="C24" s="2" t="s">
        <v>96</v>
      </c>
      <c r="D24" s="2" t="s">
        <v>22</v>
      </c>
      <c r="E24" s="2" t="s">
        <v>15</v>
      </c>
      <c r="F24" s="2" t="s">
        <v>97</v>
      </c>
      <c r="G24" s="2">
        <v>6</v>
      </c>
      <c r="H24" s="2">
        <v>299</v>
      </c>
      <c r="I24" s="2">
        <v>5</v>
      </c>
      <c r="J24" s="2" t="s">
        <v>29</v>
      </c>
      <c r="K24" s="2" t="s">
        <v>30</v>
      </c>
      <c r="L24" s="2" t="s">
        <v>83</v>
      </c>
      <c r="M24">
        <f t="shared" si="0"/>
        <v>1704.3</v>
      </c>
      <c r="N24" t="str">
        <f t="shared" si="1"/>
        <v>April</v>
      </c>
      <c r="O24" t="str">
        <f t="shared" si="2"/>
        <v>Medium</v>
      </c>
      <c r="P24" s="4">
        <f t="shared" ca="1" si="3"/>
        <v>447</v>
      </c>
    </row>
    <row r="25" spans="1:16" x14ac:dyDescent="0.3">
      <c r="A25" s="2">
        <v>1024</v>
      </c>
      <c r="B25" s="2" t="s">
        <v>98</v>
      </c>
      <c r="C25" s="2" t="s">
        <v>99</v>
      </c>
      <c r="D25" s="2" t="s">
        <v>33</v>
      </c>
      <c r="E25" s="2" t="s">
        <v>15</v>
      </c>
      <c r="F25" s="2" t="s">
        <v>60</v>
      </c>
      <c r="G25" s="2">
        <v>1</v>
      </c>
      <c r="H25" s="2">
        <v>349</v>
      </c>
      <c r="I25" s="2">
        <v>15</v>
      </c>
      <c r="J25" s="2" t="s">
        <v>26</v>
      </c>
      <c r="K25" s="2" t="s">
        <v>68</v>
      </c>
      <c r="L25" s="2" t="s">
        <v>19</v>
      </c>
      <c r="M25">
        <f t="shared" si="0"/>
        <v>296.64999999999998</v>
      </c>
      <c r="N25" t="str">
        <f t="shared" si="1"/>
        <v>August</v>
      </c>
      <c r="O25" t="str">
        <f t="shared" si="2"/>
        <v>Low</v>
      </c>
      <c r="P25" s="4">
        <f t="shared" ca="1" si="3"/>
        <v>323</v>
      </c>
    </row>
    <row r="26" spans="1:16" x14ac:dyDescent="0.3">
      <c r="A26" s="2">
        <v>1025</v>
      </c>
      <c r="B26" s="2" t="s">
        <v>100</v>
      </c>
      <c r="C26" s="2" t="s">
        <v>101</v>
      </c>
      <c r="D26" s="2" t="s">
        <v>39</v>
      </c>
      <c r="E26" s="2" t="s">
        <v>15</v>
      </c>
      <c r="F26" s="2" t="s">
        <v>94</v>
      </c>
      <c r="G26" s="2">
        <v>8</v>
      </c>
      <c r="H26" s="2">
        <v>999</v>
      </c>
      <c r="I26" s="2">
        <v>5</v>
      </c>
      <c r="J26" s="2" t="s">
        <v>29</v>
      </c>
      <c r="K26" s="2" t="s">
        <v>30</v>
      </c>
      <c r="L26" s="2" t="s">
        <v>19</v>
      </c>
      <c r="M26">
        <f t="shared" si="0"/>
        <v>7592.4</v>
      </c>
      <c r="N26" t="str">
        <f t="shared" si="1"/>
        <v>December</v>
      </c>
      <c r="O26" t="str">
        <f t="shared" si="2"/>
        <v>High</v>
      </c>
      <c r="P26" s="4">
        <f t="shared" ca="1" si="3"/>
        <v>215</v>
      </c>
    </row>
    <row r="27" spans="1:16" x14ac:dyDescent="0.3">
      <c r="A27" s="2">
        <v>1026</v>
      </c>
      <c r="B27" s="2" t="s">
        <v>58</v>
      </c>
      <c r="C27" s="2" t="s">
        <v>102</v>
      </c>
      <c r="D27" s="2" t="s">
        <v>93</v>
      </c>
      <c r="E27" s="2" t="s">
        <v>15</v>
      </c>
      <c r="F27" s="2" t="s">
        <v>16</v>
      </c>
      <c r="G27" s="2">
        <v>7</v>
      </c>
      <c r="H27" s="2">
        <v>2999</v>
      </c>
      <c r="I27" s="2">
        <v>10</v>
      </c>
      <c r="J27" s="2" t="s">
        <v>43</v>
      </c>
      <c r="K27" s="2" t="s">
        <v>407</v>
      </c>
      <c r="L27" s="2" t="s">
        <v>19</v>
      </c>
      <c r="M27">
        <f t="shared" si="0"/>
        <v>18893.7</v>
      </c>
      <c r="N27" t="str">
        <f t="shared" si="1"/>
        <v>October</v>
      </c>
      <c r="O27" t="str">
        <f t="shared" si="2"/>
        <v>High</v>
      </c>
      <c r="P27" s="4">
        <f t="shared" ca="1" si="3"/>
        <v>280</v>
      </c>
    </row>
    <row r="28" spans="1:16" x14ac:dyDescent="0.3">
      <c r="A28" s="2">
        <v>1027</v>
      </c>
      <c r="B28" s="2" t="s">
        <v>103</v>
      </c>
      <c r="C28" s="2" t="s">
        <v>104</v>
      </c>
      <c r="D28" s="2" t="s">
        <v>14</v>
      </c>
      <c r="E28" s="2" t="s">
        <v>15</v>
      </c>
      <c r="F28" s="2" t="s">
        <v>49</v>
      </c>
      <c r="G28" s="2">
        <v>4</v>
      </c>
      <c r="H28" s="2">
        <v>4999</v>
      </c>
      <c r="I28" s="2">
        <v>5</v>
      </c>
      <c r="J28" s="2" t="s">
        <v>35</v>
      </c>
      <c r="K28" s="2" t="s">
        <v>406</v>
      </c>
      <c r="L28" s="2" t="s">
        <v>19</v>
      </c>
      <c r="M28">
        <f t="shared" si="0"/>
        <v>18996.2</v>
      </c>
      <c r="N28" t="str">
        <f t="shared" si="1"/>
        <v>October</v>
      </c>
      <c r="O28" t="str">
        <f t="shared" si="2"/>
        <v>High</v>
      </c>
      <c r="P28" s="4">
        <f t="shared" ca="1" si="3"/>
        <v>262</v>
      </c>
    </row>
    <row r="29" spans="1:16" x14ac:dyDescent="0.3">
      <c r="A29" s="2">
        <v>1028</v>
      </c>
      <c r="B29" s="2" t="s">
        <v>105</v>
      </c>
      <c r="C29" s="2" t="s">
        <v>106</v>
      </c>
      <c r="D29" s="2" t="s">
        <v>47</v>
      </c>
      <c r="E29" s="2" t="s">
        <v>15</v>
      </c>
      <c r="F29" s="2" t="s">
        <v>94</v>
      </c>
      <c r="G29" s="2">
        <v>3</v>
      </c>
      <c r="H29" s="2">
        <v>249</v>
      </c>
      <c r="I29" s="2">
        <v>10</v>
      </c>
      <c r="J29" s="2" t="s">
        <v>61</v>
      </c>
      <c r="K29" s="2" t="s">
        <v>30</v>
      </c>
      <c r="L29" s="2" t="s">
        <v>19</v>
      </c>
      <c r="M29">
        <f t="shared" si="0"/>
        <v>672.30000000000007</v>
      </c>
      <c r="N29" t="str">
        <f t="shared" si="1"/>
        <v>March</v>
      </c>
      <c r="O29" t="str">
        <f t="shared" si="2"/>
        <v>Low</v>
      </c>
      <c r="P29" s="4">
        <f t="shared" ca="1" si="3"/>
        <v>491</v>
      </c>
    </row>
    <row r="30" spans="1:16" x14ac:dyDescent="0.3">
      <c r="A30" s="2">
        <v>1029</v>
      </c>
      <c r="B30" s="2" t="s">
        <v>107</v>
      </c>
      <c r="C30" s="2" t="s">
        <v>13</v>
      </c>
      <c r="D30" s="2" t="s">
        <v>47</v>
      </c>
      <c r="E30" s="2" t="s">
        <v>15</v>
      </c>
      <c r="F30" s="2" t="s">
        <v>16</v>
      </c>
      <c r="G30" s="2">
        <v>1</v>
      </c>
      <c r="H30" s="2">
        <v>899</v>
      </c>
      <c r="I30" s="2">
        <v>5</v>
      </c>
      <c r="J30" s="2" t="s">
        <v>17</v>
      </c>
      <c r="K30" s="2" t="s">
        <v>44</v>
      </c>
      <c r="L30" s="2" t="s">
        <v>19</v>
      </c>
      <c r="M30">
        <f t="shared" si="0"/>
        <v>854.05</v>
      </c>
      <c r="N30" t="str">
        <f t="shared" si="1"/>
        <v>February</v>
      </c>
      <c r="O30" t="str">
        <f t="shared" si="2"/>
        <v>Low</v>
      </c>
      <c r="P30" s="4">
        <f t="shared" ca="1" si="3"/>
        <v>515</v>
      </c>
    </row>
    <row r="31" spans="1:16" x14ac:dyDescent="0.3">
      <c r="A31" s="2">
        <v>1030</v>
      </c>
      <c r="B31" s="2" t="s">
        <v>108</v>
      </c>
      <c r="C31" s="2" t="s">
        <v>109</v>
      </c>
      <c r="D31" s="2" t="s">
        <v>14</v>
      </c>
      <c r="E31" s="2" t="s">
        <v>15</v>
      </c>
      <c r="F31" s="2" t="s">
        <v>110</v>
      </c>
      <c r="G31" s="2">
        <v>7</v>
      </c>
      <c r="H31" s="2">
        <v>2499</v>
      </c>
      <c r="I31" s="2">
        <v>5</v>
      </c>
      <c r="J31" s="2" t="s">
        <v>17</v>
      </c>
      <c r="K31" s="2" t="s">
        <v>44</v>
      </c>
      <c r="L31" s="2" t="s">
        <v>19</v>
      </c>
      <c r="M31">
        <f t="shared" si="0"/>
        <v>16618.349999999999</v>
      </c>
      <c r="N31" t="str">
        <f t="shared" si="1"/>
        <v>July</v>
      </c>
      <c r="O31" t="str">
        <f t="shared" si="2"/>
        <v>High</v>
      </c>
      <c r="P31" s="4">
        <f t="shared" ca="1" si="3"/>
        <v>368</v>
      </c>
    </row>
    <row r="32" spans="1:16" x14ac:dyDescent="0.3">
      <c r="A32" s="2">
        <v>1031</v>
      </c>
      <c r="B32" s="2" t="s">
        <v>111</v>
      </c>
      <c r="C32" s="2" t="s">
        <v>112</v>
      </c>
      <c r="D32" s="2" t="s">
        <v>14</v>
      </c>
      <c r="E32" s="2" t="s">
        <v>15</v>
      </c>
      <c r="F32" s="2" t="s">
        <v>110</v>
      </c>
      <c r="G32" s="2">
        <v>1</v>
      </c>
      <c r="H32" s="2">
        <v>2999</v>
      </c>
      <c r="I32" s="2">
        <v>20</v>
      </c>
      <c r="J32" s="2" t="s">
        <v>17</v>
      </c>
      <c r="K32" s="2" t="s">
        <v>406</v>
      </c>
      <c r="L32" s="2" t="s">
        <v>19</v>
      </c>
      <c r="M32">
        <f t="shared" si="0"/>
        <v>2399.2000000000003</v>
      </c>
      <c r="N32" t="str">
        <f t="shared" si="1"/>
        <v>January</v>
      </c>
      <c r="O32" t="str">
        <f t="shared" si="2"/>
        <v>Medium</v>
      </c>
      <c r="P32" s="4">
        <f t="shared" ca="1" si="3"/>
        <v>535</v>
      </c>
    </row>
    <row r="33" spans="1:16" x14ac:dyDescent="0.3">
      <c r="A33" s="2">
        <v>1032</v>
      </c>
      <c r="B33" s="2" t="s">
        <v>113</v>
      </c>
      <c r="C33" s="2" t="s">
        <v>114</v>
      </c>
      <c r="D33" s="2" t="s">
        <v>39</v>
      </c>
      <c r="E33" s="2" t="s">
        <v>15</v>
      </c>
      <c r="F33" s="2" t="s">
        <v>110</v>
      </c>
      <c r="G33" s="2">
        <v>4</v>
      </c>
      <c r="H33" s="2">
        <v>299</v>
      </c>
      <c r="I33" s="2">
        <v>10</v>
      </c>
      <c r="J33" s="2" t="s">
        <v>61</v>
      </c>
      <c r="K33" s="2" t="s">
        <v>36</v>
      </c>
      <c r="L33" s="2" t="s">
        <v>19</v>
      </c>
      <c r="M33">
        <f t="shared" si="0"/>
        <v>1076.4000000000001</v>
      </c>
      <c r="N33" t="str">
        <f t="shared" si="1"/>
        <v>May</v>
      </c>
      <c r="O33" t="str">
        <f t="shared" si="2"/>
        <v>Low</v>
      </c>
      <c r="P33" s="4">
        <f t="shared" ca="1" si="3"/>
        <v>418</v>
      </c>
    </row>
    <row r="34" spans="1:16" x14ac:dyDescent="0.3">
      <c r="A34" s="2">
        <v>1033</v>
      </c>
      <c r="B34" s="2" t="s">
        <v>115</v>
      </c>
      <c r="C34" s="2" t="s">
        <v>85</v>
      </c>
      <c r="D34" s="2" t="s">
        <v>14</v>
      </c>
      <c r="E34" s="2" t="s">
        <v>15</v>
      </c>
      <c r="F34" s="2" t="s">
        <v>80</v>
      </c>
      <c r="G34" s="2">
        <v>2</v>
      </c>
      <c r="H34" s="2">
        <v>899</v>
      </c>
      <c r="I34" s="2">
        <v>15</v>
      </c>
      <c r="J34" s="2" t="s">
        <v>61</v>
      </c>
      <c r="K34" s="2" t="s">
        <v>44</v>
      </c>
      <c r="L34" s="2" t="s">
        <v>19</v>
      </c>
      <c r="M34">
        <f t="shared" si="0"/>
        <v>1528.3</v>
      </c>
      <c r="N34" t="str">
        <f t="shared" si="1"/>
        <v>July</v>
      </c>
      <c r="O34" t="str">
        <f t="shared" si="2"/>
        <v>Medium</v>
      </c>
      <c r="P34" s="4">
        <f t="shared" ca="1" si="3"/>
        <v>375</v>
      </c>
    </row>
    <row r="35" spans="1:16" x14ac:dyDescent="0.3">
      <c r="A35" s="2">
        <v>1034</v>
      </c>
      <c r="B35" s="2" t="s">
        <v>116</v>
      </c>
      <c r="C35" s="2" t="s">
        <v>25</v>
      </c>
      <c r="D35" s="2" t="s">
        <v>14</v>
      </c>
      <c r="E35" s="2" t="s">
        <v>15</v>
      </c>
      <c r="F35" s="2" t="s">
        <v>110</v>
      </c>
      <c r="G35" s="2">
        <v>7</v>
      </c>
      <c r="H35" s="2">
        <v>1499</v>
      </c>
      <c r="I35" s="2">
        <v>10</v>
      </c>
      <c r="J35" s="2" t="s">
        <v>29</v>
      </c>
      <c r="K35" s="2" t="s">
        <v>406</v>
      </c>
      <c r="L35" s="2" t="s">
        <v>19</v>
      </c>
      <c r="M35">
        <f t="shared" si="0"/>
        <v>9443.7000000000007</v>
      </c>
      <c r="N35" t="str">
        <f t="shared" si="1"/>
        <v>December</v>
      </c>
      <c r="O35" t="str">
        <f t="shared" si="2"/>
        <v>High</v>
      </c>
      <c r="P35" s="4">
        <f t="shared" ca="1" si="3"/>
        <v>202</v>
      </c>
    </row>
    <row r="36" spans="1:16" x14ac:dyDescent="0.3">
      <c r="A36" s="2">
        <v>1035</v>
      </c>
      <c r="B36" s="2" t="s">
        <v>117</v>
      </c>
      <c r="C36" s="2" t="s">
        <v>407</v>
      </c>
      <c r="D36" s="2" t="s">
        <v>33</v>
      </c>
      <c r="E36" s="2" t="s">
        <v>15</v>
      </c>
      <c r="F36" s="2" t="s">
        <v>72</v>
      </c>
      <c r="G36" s="2">
        <v>5</v>
      </c>
      <c r="H36" s="2">
        <v>349</v>
      </c>
      <c r="I36" s="2">
        <v>5</v>
      </c>
      <c r="J36" s="2" t="s">
        <v>35</v>
      </c>
      <c r="K36" s="2" t="s">
        <v>36</v>
      </c>
      <c r="L36" s="2" t="s">
        <v>19</v>
      </c>
      <c r="M36">
        <f t="shared" si="0"/>
        <v>1657.75</v>
      </c>
      <c r="N36" t="str">
        <f t="shared" si="1"/>
        <v>December</v>
      </c>
      <c r="O36" t="str">
        <f t="shared" si="2"/>
        <v>Medium</v>
      </c>
      <c r="P36" s="4">
        <f t="shared" ca="1" si="3"/>
        <v>203</v>
      </c>
    </row>
    <row r="37" spans="1:16" x14ac:dyDescent="0.3">
      <c r="A37" s="2">
        <v>1036</v>
      </c>
      <c r="B37" s="2" t="s">
        <v>118</v>
      </c>
      <c r="C37" s="2" t="s">
        <v>119</v>
      </c>
      <c r="D37" s="2" t="s">
        <v>47</v>
      </c>
      <c r="E37" s="2" t="s">
        <v>15</v>
      </c>
      <c r="F37" s="2" t="s">
        <v>94</v>
      </c>
      <c r="G37" s="2">
        <v>6</v>
      </c>
      <c r="H37" s="2">
        <v>599</v>
      </c>
      <c r="I37" s="2">
        <v>0</v>
      </c>
      <c r="J37" s="2" t="s">
        <v>35</v>
      </c>
      <c r="K37" s="2" t="s">
        <v>406</v>
      </c>
      <c r="L37" s="2" t="s">
        <v>83</v>
      </c>
      <c r="M37">
        <f t="shared" si="0"/>
        <v>3594</v>
      </c>
      <c r="N37" t="str">
        <f t="shared" si="1"/>
        <v>December</v>
      </c>
      <c r="O37" t="str">
        <f t="shared" si="2"/>
        <v>Medium</v>
      </c>
      <c r="P37" s="4">
        <f t="shared" ca="1" si="3"/>
        <v>199</v>
      </c>
    </row>
    <row r="38" spans="1:16" x14ac:dyDescent="0.3">
      <c r="A38" s="2">
        <v>1037</v>
      </c>
      <c r="B38" s="2" t="s">
        <v>120</v>
      </c>
      <c r="C38" s="2" t="s">
        <v>59</v>
      </c>
      <c r="D38" s="2" t="s">
        <v>121</v>
      </c>
      <c r="E38" s="2" t="s">
        <v>15</v>
      </c>
      <c r="F38" s="2" t="s">
        <v>72</v>
      </c>
      <c r="G38" s="2">
        <v>4</v>
      </c>
      <c r="H38" s="2">
        <v>2499</v>
      </c>
      <c r="I38" s="2">
        <v>20</v>
      </c>
      <c r="J38" s="2" t="s">
        <v>61</v>
      </c>
      <c r="K38" s="2" t="s">
        <v>30</v>
      </c>
      <c r="L38" s="2" t="s">
        <v>19</v>
      </c>
      <c r="M38">
        <f t="shared" si="0"/>
        <v>7996.8</v>
      </c>
      <c r="N38" t="str">
        <f t="shared" si="1"/>
        <v>October</v>
      </c>
      <c r="O38" t="str">
        <f t="shared" si="2"/>
        <v>High</v>
      </c>
      <c r="P38" s="4">
        <f t="shared" ca="1" si="3"/>
        <v>268</v>
      </c>
    </row>
    <row r="39" spans="1:16" x14ac:dyDescent="0.3">
      <c r="A39" s="2">
        <v>1038</v>
      </c>
      <c r="B39" s="2" t="s">
        <v>122</v>
      </c>
      <c r="C39" s="2" t="s">
        <v>123</v>
      </c>
      <c r="D39" s="2" t="s">
        <v>93</v>
      </c>
      <c r="E39" s="2" t="s">
        <v>15</v>
      </c>
      <c r="F39" s="2" t="s">
        <v>42</v>
      </c>
      <c r="G39" s="2">
        <v>1</v>
      </c>
      <c r="H39" s="2">
        <v>2999</v>
      </c>
      <c r="I39" s="2">
        <v>20</v>
      </c>
      <c r="J39" s="2" t="s">
        <v>29</v>
      </c>
      <c r="K39" s="2" t="s">
        <v>44</v>
      </c>
      <c r="L39" s="2" t="s">
        <v>19</v>
      </c>
      <c r="M39">
        <f t="shared" si="0"/>
        <v>2399.2000000000003</v>
      </c>
      <c r="N39" t="str">
        <f t="shared" si="1"/>
        <v>April</v>
      </c>
      <c r="O39" t="str">
        <f t="shared" si="2"/>
        <v>Medium</v>
      </c>
      <c r="P39" s="4">
        <f t="shared" ca="1" si="3"/>
        <v>448</v>
      </c>
    </row>
    <row r="40" spans="1:16" x14ac:dyDescent="0.3">
      <c r="A40" s="2">
        <v>1039</v>
      </c>
      <c r="B40" s="2" t="s">
        <v>124</v>
      </c>
      <c r="C40" s="2" t="s">
        <v>125</v>
      </c>
      <c r="D40" s="2" t="s">
        <v>47</v>
      </c>
      <c r="E40" s="2" t="s">
        <v>15</v>
      </c>
      <c r="F40" s="2" t="s">
        <v>57</v>
      </c>
      <c r="G40" s="2">
        <v>2</v>
      </c>
      <c r="H40" s="2">
        <v>249</v>
      </c>
      <c r="I40" s="2">
        <v>0</v>
      </c>
      <c r="J40" s="2" t="s">
        <v>35</v>
      </c>
      <c r="K40" s="2" t="s">
        <v>44</v>
      </c>
      <c r="L40" s="2" t="s">
        <v>19</v>
      </c>
      <c r="M40">
        <f t="shared" si="0"/>
        <v>498</v>
      </c>
      <c r="N40" t="str">
        <f t="shared" si="1"/>
        <v>May</v>
      </c>
      <c r="O40" t="str">
        <f t="shared" si="2"/>
        <v>Low</v>
      </c>
      <c r="P40" s="4">
        <f t="shared" ca="1" si="3"/>
        <v>421</v>
      </c>
    </row>
    <row r="41" spans="1:16" x14ac:dyDescent="0.3">
      <c r="A41" s="2">
        <v>1040</v>
      </c>
      <c r="B41" s="2" t="s">
        <v>126</v>
      </c>
      <c r="C41" s="2" t="s">
        <v>56</v>
      </c>
      <c r="D41" s="2" t="s">
        <v>14</v>
      </c>
      <c r="E41" s="2" t="s">
        <v>15</v>
      </c>
      <c r="F41" s="2" t="s">
        <v>74</v>
      </c>
      <c r="G41" s="2">
        <v>4</v>
      </c>
      <c r="H41" s="2">
        <v>199</v>
      </c>
      <c r="I41" s="2">
        <v>10</v>
      </c>
      <c r="J41" s="2" t="s">
        <v>43</v>
      </c>
      <c r="K41" s="2" t="s">
        <v>18</v>
      </c>
      <c r="L41" s="2" t="s">
        <v>19</v>
      </c>
      <c r="M41">
        <f t="shared" si="0"/>
        <v>716.4</v>
      </c>
      <c r="N41" t="str">
        <f t="shared" si="1"/>
        <v>August</v>
      </c>
      <c r="O41" t="str">
        <f t="shared" si="2"/>
        <v>Low</v>
      </c>
      <c r="P41" s="4">
        <f t="shared" ca="1" si="3"/>
        <v>332</v>
      </c>
    </row>
    <row r="42" spans="1:16" x14ac:dyDescent="0.3">
      <c r="A42" s="2">
        <v>1041</v>
      </c>
      <c r="B42" s="2" t="s">
        <v>127</v>
      </c>
      <c r="C42" s="2" t="s">
        <v>128</v>
      </c>
      <c r="D42" s="2" t="s">
        <v>33</v>
      </c>
      <c r="E42" s="2" t="s">
        <v>86</v>
      </c>
      <c r="F42" s="2" t="s">
        <v>74</v>
      </c>
      <c r="G42" s="2">
        <v>3</v>
      </c>
      <c r="H42" s="2">
        <v>1499</v>
      </c>
      <c r="I42" s="2">
        <v>15</v>
      </c>
      <c r="J42" s="2" t="s">
        <v>29</v>
      </c>
      <c r="K42" s="2" t="s">
        <v>406</v>
      </c>
      <c r="L42" s="2" t="s">
        <v>19</v>
      </c>
      <c r="M42">
        <f t="shared" si="0"/>
        <v>3822.45</v>
      </c>
      <c r="N42" t="str">
        <f t="shared" si="1"/>
        <v>September</v>
      </c>
      <c r="O42" t="str">
        <f t="shared" si="2"/>
        <v>Medium</v>
      </c>
      <c r="P42" s="4">
        <f t="shared" ca="1" si="3"/>
        <v>305</v>
      </c>
    </row>
    <row r="43" spans="1:16" x14ac:dyDescent="0.3">
      <c r="A43" s="2">
        <v>1042</v>
      </c>
      <c r="B43" s="2" t="s">
        <v>129</v>
      </c>
      <c r="C43" s="2" t="s">
        <v>130</v>
      </c>
      <c r="D43" s="2" t="s">
        <v>33</v>
      </c>
      <c r="E43" s="2" t="s">
        <v>131</v>
      </c>
      <c r="F43" s="2" t="s">
        <v>97</v>
      </c>
      <c r="G43" s="2">
        <v>6</v>
      </c>
      <c r="H43" s="2">
        <v>4999</v>
      </c>
      <c r="I43" s="2">
        <v>20</v>
      </c>
      <c r="J43" s="2" t="s">
        <v>17</v>
      </c>
      <c r="K43" s="2" t="s">
        <v>36</v>
      </c>
      <c r="L43" s="2" t="s">
        <v>19</v>
      </c>
      <c r="M43">
        <f t="shared" si="0"/>
        <v>23995.200000000001</v>
      </c>
      <c r="N43" t="str">
        <f t="shared" si="1"/>
        <v>March</v>
      </c>
      <c r="O43" t="str">
        <f t="shared" si="2"/>
        <v>High</v>
      </c>
      <c r="P43" s="4">
        <f t="shared" ca="1" si="3"/>
        <v>497</v>
      </c>
    </row>
    <row r="44" spans="1:16" x14ac:dyDescent="0.3">
      <c r="A44" s="2">
        <v>1043</v>
      </c>
      <c r="B44" s="2" t="s">
        <v>132</v>
      </c>
      <c r="C44" s="2" t="s">
        <v>133</v>
      </c>
      <c r="D44" s="2" t="s">
        <v>121</v>
      </c>
      <c r="E44" s="2" t="s">
        <v>131</v>
      </c>
      <c r="F44" s="2" t="s">
        <v>134</v>
      </c>
      <c r="G44" s="2">
        <v>8</v>
      </c>
      <c r="H44" s="2">
        <v>349</v>
      </c>
      <c r="I44" s="2">
        <v>0</v>
      </c>
      <c r="J44" s="2" t="s">
        <v>61</v>
      </c>
      <c r="K44" s="2" t="s">
        <v>30</v>
      </c>
      <c r="L44" s="2" t="s">
        <v>19</v>
      </c>
      <c r="M44">
        <f t="shared" si="0"/>
        <v>2792</v>
      </c>
      <c r="N44" t="str">
        <f t="shared" si="1"/>
        <v>November</v>
      </c>
      <c r="O44" t="str">
        <f t="shared" si="2"/>
        <v>Medium</v>
      </c>
      <c r="P44" s="4">
        <f t="shared" ca="1" si="3"/>
        <v>245</v>
      </c>
    </row>
    <row r="45" spans="1:16" x14ac:dyDescent="0.3">
      <c r="A45" s="2">
        <v>1044</v>
      </c>
      <c r="B45" s="2" t="s">
        <v>135</v>
      </c>
      <c r="C45" s="2" t="s">
        <v>136</v>
      </c>
      <c r="D45" s="2" t="s">
        <v>14</v>
      </c>
      <c r="E45" s="2" t="s">
        <v>86</v>
      </c>
      <c r="F45" s="2" t="s">
        <v>77</v>
      </c>
      <c r="G45" s="2">
        <v>1</v>
      </c>
      <c r="H45" s="2">
        <v>1299</v>
      </c>
      <c r="I45" s="2">
        <v>10</v>
      </c>
      <c r="J45" s="2" t="s">
        <v>43</v>
      </c>
      <c r="K45" s="2" t="s">
        <v>44</v>
      </c>
      <c r="L45" s="2" t="s">
        <v>83</v>
      </c>
      <c r="M45">
        <f t="shared" si="0"/>
        <v>1169.1000000000001</v>
      </c>
      <c r="N45" t="str">
        <f t="shared" si="1"/>
        <v>November</v>
      </c>
      <c r="O45" t="str">
        <f t="shared" si="2"/>
        <v>Low</v>
      </c>
      <c r="P45" s="4">
        <f t="shared" ca="1" si="3"/>
        <v>250</v>
      </c>
    </row>
    <row r="46" spans="1:16" x14ac:dyDescent="0.3">
      <c r="A46" s="2">
        <v>1045</v>
      </c>
      <c r="B46" s="2" t="s">
        <v>137</v>
      </c>
      <c r="C46" s="2" t="s">
        <v>46</v>
      </c>
      <c r="D46" s="2" t="s">
        <v>33</v>
      </c>
      <c r="E46" s="2" t="s">
        <v>48</v>
      </c>
      <c r="F46" s="2" t="s">
        <v>23</v>
      </c>
      <c r="G46" s="2">
        <v>8</v>
      </c>
      <c r="H46" s="2">
        <v>2499</v>
      </c>
      <c r="I46" s="2">
        <v>15</v>
      </c>
      <c r="J46" s="2" t="s">
        <v>29</v>
      </c>
      <c r="K46" s="2" t="s">
        <v>36</v>
      </c>
      <c r="L46" s="2" t="s">
        <v>138</v>
      </c>
      <c r="M46">
        <f t="shared" si="0"/>
        <v>16993.2</v>
      </c>
      <c r="N46" t="str">
        <f t="shared" si="1"/>
        <v>June</v>
      </c>
      <c r="O46" t="str">
        <f t="shared" si="2"/>
        <v>High</v>
      </c>
      <c r="P46" s="4">
        <f t="shared" ca="1" si="3"/>
        <v>392</v>
      </c>
    </row>
    <row r="47" spans="1:16" x14ac:dyDescent="0.3">
      <c r="A47" s="2">
        <v>1046</v>
      </c>
      <c r="B47" s="2" t="s">
        <v>139</v>
      </c>
      <c r="C47" s="2" t="s">
        <v>140</v>
      </c>
      <c r="D47" s="2" t="s">
        <v>93</v>
      </c>
      <c r="E47" s="2" t="s">
        <v>15</v>
      </c>
      <c r="F47" s="2" t="s">
        <v>28</v>
      </c>
      <c r="G47" s="2">
        <v>5</v>
      </c>
      <c r="H47" s="2">
        <v>1499</v>
      </c>
      <c r="I47" s="2">
        <v>15</v>
      </c>
      <c r="J47" s="2" t="s">
        <v>29</v>
      </c>
      <c r="K47" s="2" t="s">
        <v>18</v>
      </c>
      <c r="L47" s="2" t="s">
        <v>83</v>
      </c>
      <c r="M47">
        <f t="shared" si="0"/>
        <v>6370.75</v>
      </c>
      <c r="N47" t="str">
        <f t="shared" si="1"/>
        <v>February</v>
      </c>
      <c r="O47" t="str">
        <f t="shared" si="2"/>
        <v>High</v>
      </c>
      <c r="P47" s="4">
        <f t="shared" ca="1" si="3"/>
        <v>505</v>
      </c>
    </row>
    <row r="48" spans="1:16" x14ac:dyDescent="0.3">
      <c r="A48" s="2">
        <v>1047</v>
      </c>
      <c r="B48" s="2" t="s">
        <v>141</v>
      </c>
      <c r="C48" s="2" t="s">
        <v>59</v>
      </c>
      <c r="D48" s="2" t="s">
        <v>14</v>
      </c>
      <c r="E48" s="2" t="s">
        <v>131</v>
      </c>
      <c r="F48" s="2" t="s">
        <v>134</v>
      </c>
      <c r="G48" s="2">
        <v>2</v>
      </c>
      <c r="H48" s="2">
        <v>3499</v>
      </c>
      <c r="I48" s="2">
        <v>0</v>
      </c>
      <c r="J48" s="2" t="s">
        <v>29</v>
      </c>
      <c r="K48" s="2" t="s">
        <v>30</v>
      </c>
      <c r="L48" s="2" t="s">
        <v>19</v>
      </c>
      <c r="M48">
        <f t="shared" si="0"/>
        <v>6998</v>
      </c>
      <c r="N48" t="str">
        <f t="shared" si="1"/>
        <v>October</v>
      </c>
      <c r="O48" t="str">
        <f t="shared" si="2"/>
        <v>High</v>
      </c>
      <c r="P48" s="4">
        <f t="shared" ca="1" si="3"/>
        <v>279</v>
      </c>
    </row>
    <row r="49" spans="1:16" x14ac:dyDescent="0.3">
      <c r="A49" s="2">
        <v>1231</v>
      </c>
      <c r="B49" s="2" t="s">
        <v>142</v>
      </c>
      <c r="C49" s="2" t="s">
        <v>143</v>
      </c>
      <c r="D49" s="2" t="s">
        <v>93</v>
      </c>
      <c r="E49" s="2" t="s">
        <v>71</v>
      </c>
      <c r="F49" s="2" t="s">
        <v>72</v>
      </c>
      <c r="G49" s="2">
        <v>5</v>
      </c>
      <c r="H49" s="2">
        <v>4999</v>
      </c>
      <c r="I49" s="2">
        <v>0</v>
      </c>
      <c r="J49" s="2" t="s">
        <v>26</v>
      </c>
      <c r="K49" s="2" t="s">
        <v>406</v>
      </c>
      <c r="L49" s="2" t="s">
        <v>19</v>
      </c>
      <c r="M49">
        <f t="shared" si="0"/>
        <v>24995</v>
      </c>
      <c r="N49" t="str">
        <f t="shared" si="1"/>
        <v>October</v>
      </c>
      <c r="O49" t="str">
        <f t="shared" si="2"/>
        <v>High</v>
      </c>
      <c r="P49" s="4">
        <f t="shared" ca="1" si="3"/>
        <v>267</v>
      </c>
    </row>
    <row r="50" spans="1:16" x14ac:dyDescent="0.3">
      <c r="A50" s="2">
        <v>1049</v>
      </c>
      <c r="B50" s="2" t="s">
        <v>144</v>
      </c>
      <c r="C50" s="2" t="s">
        <v>145</v>
      </c>
      <c r="D50" s="2" t="s">
        <v>14</v>
      </c>
      <c r="E50" s="2" t="s">
        <v>48</v>
      </c>
      <c r="F50" s="2" t="s">
        <v>23</v>
      </c>
      <c r="G50" s="2">
        <v>8</v>
      </c>
      <c r="H50" s="2">
        <v>1299</v>
      </c>
      <c r="I50" s="2">
        <v>5</v>
      </c>
      <c r="J50" s="2" t="s">
        <v>61</v>
      </c>
      <c r="K50" s="2" t="s">
        <v>406</v>
      </c>
      <c r="L50" s="2" t="s">
        <v>19</v>
      </c>
      <c r="M50">
        <f t="shared" si="0"/>
        <v>9872.4</v>
      </c>
      <c r="N50" t="str">
        <f t="shared" si="1"/>
        <v>March</v>
      </c>
      <c r="O50" t="str">
        <f t="shared" si="2"/>
        <v>High</v>
      </c>
      <c r="P50" s="4">
        <f t="shared" ca="1" si="3"/>
        <v>476</v>
      </c>
    </row>
    <row r="51" spans="1:16" x14ac:dyDescent="0.3">
      <c r="A51" s="2">
        <v>1050</v>
      </c>
      <c r="B51" s="2" t="s">
        <v>146</v>
      </c>
      <c r="C51" s="2" t="s">
        <v>21</v>
      </c>
      <c r="D51" s="2" t="s">
        <v>121</v>
      </c>
      <c r="E51" s="2" t="s">
        <v>86</v>
      </c>
      <c r="F51" s="2" t="s">
        <v>87</v>
      </c>
      <c r="G51" s="2">
        <v>6</v>
      </c>
      <c r="H51" s="2">
        <v>899</v>
      </c>
      <c r="I51" s="2">
        <v>5</v>
      </c>
      <c r="J51" s="2" t="s">
        <v>43</v>
      </c>
      <c r="K51" s="2" t="s">
        <v>30</v>
      </c>
      <c r="L51" s="2" t="s">
        <v>19</v>
      </c>
      <c r="M51">
        <f t="shared" si="0"/>
        <v>5124.3</v>
      </c>
      <c r="N51" t="str">
        <f t="shared" si="1"/>
        <v>December</v>
      </c>
      <c r="O51" t="str">
        <f t="shared" si="2"/>
        <v>High</v>
      </c>
      <c r="P51" s="4">
        <f t="shared" ca="1" si="3"/>
        <v>219</v>
      </c>
    </row>
    <row r="52" spans="1:16" x14ac:dyDescent="0.3">
      <c r="A52" s="2">
        <v>1051</v>
      </c>
      <c r="B52" s="2" t="s">
        <v>147</v>
      </c>
      <c r="C52" s="2" t="s">
        <v>148</v>
      </c>
      <c r="D52" s="2" t="s">
        <v>33</v>
      </c>
      <c r="E52" s="2" t="s">
        <v>15</v>
      </c>
      <c r="F52" s="2" t="s">
        <v>64</v>
      </c>
      <c r="G52" s="2">
        <v>6</v>
      </c>
      <c r="H52" s="2">
        <v>999</v>
      </c>
      <c r="I52" s="2">
        <v>0</v>
      </c>
      <c r="J52" s="2" t="s">
        <v>35</v>
      </c>
      <c r="K52" s="2" t="s">
        <v>406</v>
      </c>
      <c r="L52" s="2" t="s">
        <v>19</v>
      </c>
      <c r="M52">
        <f t="shared" si="0"/>
        <v>5994</v>
      </c>
      <c r="N52" t="str">
        <f t="shared" si="1"/>
        <v>March</v>
      </c>
      <c r="O52" t="str">
        <f t="shared" si="2"/>
        <v>High</v>
      </c>
      <c r="P52" s="4">
        <f t="shared" ca="1" si="3"/>
        <v>489</v>
      </c>
    </row>
    <row r="53" spans="1:16" x14ac:dyDescent="0.3">
      <c r="A53" s="2">
        <v>1052</v>
      </c>
      <c r="B53" s="2" t="s">
        <v>149</v>
      </c>
      <c r="C53" s="2" t="s">
        <v>150</v>
      </c>
      <c r="D53" s="2" t="s">
        <v>14</v>
      </c>
      <c r="E53" s="2" t="s">
        <v>48</v>
      </c>
      <c r="F53" s="2" t="s">
        <v>23</v>
      </c>
      <c r="G53" s="2">
        <v>2</v>
      </c>
      <c r="H53" s="2">
        <v>3499</v>
      </c>
      <c r="I53" s="2">
        <v>0</v>
      </c>
      <c r="J53" s="2" t="s">
        <v>29</v>
      </c>
      <c r="K53" s="2" t="s">
        <v>30</v>
      </c>
      <c r="L53" s="2" t="s">
        <v>83</v>
      </c>
      <c r="M53">
        <f t="shared" si="0"/>
        <v>6998</v>
      </c>
      <c r="N53" t="str">
        <f t="shared" si="1"/>
        <v>December</v>
      </c>
      <c r="O53" t="str">
        <f t="shared" si="2"/>
        <v>High</v>
      </c>
      <c r="P53" s="4">
        <f t="shared" ca="1" si="3"/>
        <v>210</v>
      </c>
    </row>
    <row r="54" spans="1:16" x14ac:dyDescent="0.3">
      <c r="A54" s="2">
        <v>1053</v>
      </c>
      <c r="B54" s="2" t="s">
        <v>151</v>
      </c>
      <c r="C54" s="2" t="s">
        <v>152</v>
      </c>
      <c r="D54" s="2" t="s">
        <v>121</v>
      </c>
      <c r="E54" s="2" t="s">
        <v>86</v>
      </c>
      <c r="F54" s="2" t="s">
        <v>153</v>
      </c>
      <c r="G54" s="2">
        <v>2</v>
      </c>
      <c r="H54" s="2">
        <v>499</v>
      </c>
      <c r="I54" s="2">
        <v>0</v>
      </c>
      <c r="J54" s="2" t="s">
        <v>17</v>
      </c>
      <c r="K54" s="2" t="s">
        <v>30</v>
      </c>
      <c r="L54" s="2" t="s">
        <v>19</v>
      </c>
      <c r="M54">
        <f t="shared" si="0"/>
        <v>998</v>
      </c>
      <c r="N54" t="str">
        <f t="shared" si="1"/>
        <v>October</v>
      </c>
      <c r="O54" t="str">
        <f t="shared" si="2"/>
        <v>Low</v>
      </c>
      <c r="P54" s="4">
        <f t="shared" ca="1" si="3"/>
        <v>269</v>
      </c>
    </row>
    <row r="55" spans="1:16" x14ac:dyDescent="0.3">
      <c r="A55" s="2">
        <v>1054</v>
      </c>
      <c r="B55" s="2" t="s">
        <v>154</v>
      </c>
      <c r="C55" s="2" t="s">
        <v>155</v>
      </c>
      <c r="D55" s="2" t="s">
        <v>93</v>
      </c>
      <c r="E55" s="2" t="s">
        <v>131</v>
      </c>
      <c r="F55" s="2" t="s">
        <v>97</v>
      </c>
      <c r="G55" s="2">
        <v>7</v>
      </c>
      <c r="H55" s="2">
        <v>999</v>
      </c>
      <c r="I55" s="2">
        <v>0</v>
      </c>
      <c r="J55" s="2" t="s">
        <v>29</v>
      </c>
      <c r="K55" s="2" t="s">
        <v>30</v>
      </c>
      <c r="L55" s="2" t="s">
        <v>19</v>
      </c>
      <c r="M55">
        <f t="shared" si="0"/>
        <v>6993</v>
      </c>
      <c r="N55" t="str">
        <f t="shared" si="1"/>
        <v>December</v>
      </c>
      <c r="O55" t="str">
        <f t="shared" si="2"/>
        <v>High</v>
      </c>
      <c r="P55" s="4">
        <f t="shared" ca="1" si="3"/>
        <v>200</v>
      </c>
    </row>
    <row r="56" spans="1:16" x14ac:dyDescent="0.3">
      <c r="A56" s="2">
        <v>1055</v>
      </c>
      <c r="B56" s="2" t="s">
        <v>156</v>
      </c>
      <c r="C56" s="2" t="s">
        <v>56</v>
      </c>
      <c r="D56" s="2" t="s">
        <v>14</v>
      </c>
      <c r="E56" s="2" t="s">
        <v>131</v>
      </c>
      <c r="F56" s="2" t="s">
        <v>134</v>
      </c>
      <c r="G56" s="2">
        <v>4</v>
      </c>
      <c r="H56" s="2">
        <v>199</v>
      </c>
      <c r="I56" s="2">
        <v>0</v>
      </c>
      <c r="J56" s="2" t="s">
        <v>35</v>
      </c>
      <c r="K56" s="2" t="s">
        <v>36</v>
      </c>
      <c r="L56" s="2" t="s">
        <v>83</v>
      </c>
      <c r="M56">
        <f t="shared" si="0"/>
        <v>796</v>
      </c>
      <c r="N56" t="str">
        <f t="shared" si="1"/>
        <v>November</v>
      </c>
      <c r="O56" t="str">
        <f t="shared" si="2"/>
        <v>Low</v>
      </c>
      <c r="P56" s="4">
        <f t="shared" ca="1" si="3"/>
        <v>226</v>
      </c>
    </row>
    <row r="57" spans="1:16" x14ac:dyDescent="0.3">
      <c r="A57" s="2">
        <v>1056</v>
      </c>
      <c r="B57" s="2" t="s">
        <v>157</v>
      </c>
      <c r="C57" s="2" t="s">
        <v>158</v>
      </c>
      <c r="D57" s="2" t="s">
        <v>47</v>
      </c>
      <c r="E57" s="2" t="s">
        <v>15</v>
      </c>
      <c r="F57" s="2" t="s">
        <v>64</v>
      </c>
      <c r="G57" s="2">
        <v>5</v>
      </c>
      <c r="H57" s="2">
        <v>599</v>
      </c>
      <c r="I57" s="2">
        <v>0</v>
      </c>
      <c r="J57" s="2" t="s">
        <v>29</v>
      </c>
      <c r="K57" s="2" t="s">
        <v>18</v>
      </c>
      <c r="L57" s="2" t="s">
        <v>19</v>
      </c>
      <c r="M57">
        <f t="shared" si="0"/>
        <v>2995</v>
      </c>
      <c r="N57" t="str">
        <f t="shared" si="1"/>
        <v>April</v>
      </c>
      <c r="O57" t="str">
        <f t="shared" si="2"/>
        <v>Medium</v>
      </c>
      <c r="P57" s="4">
        <f t="shared" ca="1" si="3"/>
        <v>437</v>
      </c>
    </row>
    <row r="58" spans="1:16" x14ac:dyDescent="0.3">
      <c r="A58" s="2">
        <v>1057</v>
      </c>
      <c r="B58" s="2" t="s">
        <v>159</v>
      </c>
      <c r="C58" s="2" t="s">
        <v>160</v>
      </c>
      <c r="D58" s="2" t="s">
        <v>121</v>
      </c>
      <c r="E58" s="2" t="s">
        <v>48</v>
      </c>
      <c r="F58" s="2" t="s">
        <v>49</v>
      </c>
      <c r="G58" s="2">
        <v>2</v>
      </c>
      <c r="H58" s="2">
        <v>3499</v>
      </c>
      <c r="I58" s="2">
        <v>5</v>
      </c>
      <c r="J58" s="2" t="s">
        <v>43</v>
      </c>
      <c r="K58" s="2" t="s">
        <v>18</v>
      </c>
      <c r="L58" s="2" t="s">
        <v>19</v>
      </c>
      <c r="M58">
        <f t="shared" si="0"/>
        <v>6648.0999999999995</v>
      </c>
      <c r="N58" t="str">
        <f t="shared" si="1"/>
        <v>August</v>
      </c>
      <c r="O58" t="str">
        <f t="shared" si="2"/>
        <v>High</v>
      </c>
      <c r="P58" s="4">
        <f t="shared" ca="1" si="3"/>
        <v>341</v>
      </c>
    </row>
    <row r="59" spans="1:16" x14ac:dyDescent="0.3">
      <c r="A59" s="2">
        <v>1058</v>
      </c>
      <c r="B59" s="2" t="s">
        <v>161</v>
      </c>
      <c r="C59" s="2" t="s">
        <v>162</v>
      </c>
      <c r="D59" s="2" t="s">
        <v>47</v>
      </c>
      <c r="E59" s="2" t="s">
        <v>71</v>
      </c>
      <c r="F59" s="2" t="s">
        <v>67</v>
      </c>
      <c r="G59" s="2">
        <v>3</v>
      </c>
      <c r="H59" s="2">
        <v>999</v>
      </c>
      <c r="I59" s="2">
        <v>10</v>
      </c>
      <c r="J59" s="2" t="s">
        <v>61</v>
      </c>
      <c r="K59" s="2" t="s">
        <v>44</v>
      </c>
      <c r="L59" s="2" t="s">
        <v>19</v>
      </c>
      <c r="M59">
        <f t="shared" si="0"/>
        <v>2697.3</v>
      </c>
      <c r="N59" t="str">
        <f t="shared" si="1"/>
        <v>September</v>
      </c>
      <c r="O59" t="str">
        <f t="shared" si="2"/>
        <v>Medium</v>
      </c>
      <c r="P59" s="4">
        <f t="shared" ca="1" si="3"/>
        <v>305</v>
      </c>
    </row>
    <row r="60" spans="1:16" x14ac:dyDescent="0.3">
      <c r="A60" s="2">
        <v>1059</v>
      </c>
      <c r="B60" s="2" t="s">
        <v>163</v>
      </c>
      <c r="C60" s="2" t="s">
        <v>125</v>
      </c>
      <c r="D60" s="2" t="s">
        <v>33</v>
      </c>
      <c r="E60" s="2" t="s">
        <v>48</v>
      </c>
      <c r="F60" s="2" t="s">
        <v>94</v>
      </c>
      <c r="G60" s="2">
        <v>7</v>
      </c>
      <c r="H60" s="2">
        <v>2999</v>
      </c>
      <c r="I60" s="2">
        <v>0</v>
      </c>
      <c r="J60" s="2" t="s">
        <v>35</v>
      </c>
      <c r="K60" s="2" t="s">
        <v>406</v>
      </c>
      <c r="L60" s="2" t="s">
        <v>19</v>
      </c>
      <c r="M60">
        <f t="shared" si="0"/>
        <v>20993</v>
      </c>
      <c r="N60" t="str">
        <f t="shared" si="1"/>
        <v>October</v>
      </c>
      <c r="O60" t="str">
        <f t="shared" si="2"/>
        <v>High</v>
      </c>
      <c r="P60" s="4">
        <f t="shared" ca="1" si="3"/>
        <v>274</v>
      </c>
    </row>
    <row r="61" spans="1:16" x14ac:dyDescent="0.3">
      <c r="A61" s="2">
        <v>1060</v>
      </c>
      <c r="B61" s="2" t="s">
        <v>164</v>
      </c>
      <c r="C61" s="2" t="s">
        <v>160</v>
      </c>
      <c r="D61" s="2" t="s">
        <v>14</v>
      </c>
      <c r="E61" s="2" t="s">
        <v>71</v>
      </c>
      <c r="F61" s="2" t="s">
        <v>72</v>
      </c>
      <c r="G61" s="2">
        <v>6</v>
      </c>
      <c r="H61" s="2">
        <v>349</v>
      </c>
      <c r="I61" s="2">
        <v>15</v>
      </c>
      <c r="J61" s="2" t="s">
        <v>35</v>
      </c>
      <c r="K61" s="2" t="s">
        <v>406</v>
      </c>
      <c r="L61" s="2" t="s">
        <v>19</v>
      </c>
      <c r="M61">
        <f t="shared" si="0"/>
        <v>1779.8999999999999</v>
      </c>
      <c r="N61" t="str">
        <f t="shared" si="1"/>
        <v>February</v>
      </c>
      <c r="O61" t="str">
        <f t="shared" si="2"/>
        <v>Medium</v>
      </c>
      <c r="P61" s="4">
        <f t="shared" ca="1" si="3"/>
        <v>509</v>
      </c>
    </row>
    <row r="62" spans="1:16" x14ac:dyDescent="0.3">
      <c r="A62" s="2">
        <v>1061</v>
      </c>
      <c r="B62" s="2" t="s">
        <v>165</v>
      </c>
      <c r="C62" s="2" t="s">
        <v>166</v>
      </c>
      <c r="D62" s="2" t="s">
        <v>14</v>
      </c>
      <c r="E62" s="2" t="s">
        <v>86</v>
      </c>
      <c r="F62" s="2" t="s">
        <v>34</v>
      </c>
      <c r="G62" s="2">
        <v>7</v>
      </c>
      <c r="H62" s="2">
        <v>1488</v>
      </c>
      <c r="I62" s="2">
        <v>10</v>
      </c>
      <c r="J62" s="2" t="s">
        <v>17</v>
      </c>
      <c r="K62" s="2" t="s">
        <v>36</v>
      </c>
      <c r="L62" s="2" t="s">
        <v>19</v>
      </c>
      <c r="M62">
        <f t="shared" si="0"/>
        <v>9374.4</v>
      </c>
      <c r="N62" t="str">
        <f t="shared" si="1"/>
        <v>September</v>
      </c>
      <c r="O62" t="str">
        <f t="shared" si="2"/>
        <v>High</v>
      </c>
      <c r="P62" s="4">
        <f t="shared" ca="1" si="3"/>
        <v>310</v>
      </c>
    </row>
    <row r="63" spans="1:16" x14ac:dyDescent="0.3">
      <c r="A63" s="2">
        <v>1062</v>
      </c>
      <c r="B63" s="2" t="s">
        <v>167</v>
      </c>
      <c r="C63" s="2" t="s">
        <v>168</v>
      </c>
      <c r="D63" s="2" t="s">
        <v>47</v>
      </c>
      <c r="E63" s="2" t="s">
        <v>71</v>
      </c>
      <c r="F63" s="2" t="s">
        <v>54</v>
      </c>
      <c r="G63" s="2">
        <v>7</v>
      </c>
      <c r="H63" s="2">
        <v>3499</v>
      </c>
      <c r="I63" s="2">
        <v>10</v>
      </c>
      <c r="J63" s="2" t="s">
        <v>26</v>
      </c>
      <c r="K63" s="2" t="s">
        <v>30</v>
      </c>
      <c r="L63" s="2" t="s">
        <v>19</v>
      </c>
      <c r="M63">
        <f t="shared" si="0"/>
        <v>22043.7</v>
      </c>
      <c r="N63" t="str">
        <f t="shared" si="1"/>
        <v>July</v>
      </c>
      <c r="O63" t="str">
        <f t="shared" si="2"/>
        <v>High</v>
      </c>
      <c r="P63" s="4">
        <f t="shared" ca="1" si="3"/>
        <v>351</v>
      </c>
    </row>
    <row r="64" spans="1:16" x14ac:dyDescent="0.3">
      <c r="A64" s="2">
        <v>1063</v>
      </c>
      <c r="B64" s="2" t="s">
        <v>169</v>
      </c>
      <c r="C64" s="2" t="s">
        <v>170</v>
      </c>
      <c r="D64" s="2" t="s">
        <v>39</v>
      </c>
      <c r="E64" s="2" t="s">
        <v>48</v>
      </c>
      <c r="F64" s="2" t="s">
        <v>49</v>
      </c>
      <c r="G64" s="2">
        <v>8</v>
      </c>
      <c r="H64" s="2">
        <v>2999</v>
      </c>
      <c r="I64" s="2">
        <v>10</v>
      </c>
      <c r="J64" s="2" t="s">
        <v>26</v>
      </c>
      <c r="K64" s="2" t="s">
        <v>44</v>
      </c>
      <c r="L64" s="2" t="s">
        <v>19</v>
      </c>
      <c r="M64">
        <f t="shared" si="0"/>
        <v>21592.799999999999</v>
      </c>
      <c r="N64" t="str">
        <f t="shared" si="1"/>
        <v>November</v>
      </c>
      <c r="O64" t="str">
        <f t="shared" si="2"/>
        <v>High</v>
      </c>
      <c r="P64" s="4">
        <f t="shared" ca="1" si="3"/>
        <v>240</v>
      </c>
    </row>
    <row r="65" spans="1:16" x14ac:dyDescent="0.3">
      <c r="A65" s="2">
        <v>1064</v>
      </c>
      <c r="B65" s="2" t="s">
        <v>171</v>
      </c>
      <c r="C65" s="2" t="s">
        <v>172</v>
      </c>
      <c r="D65" s="2" t="s">
        <v>93</v>
      </c>
      <c r="E65" s="2" t="s">
        <v>15</v>
      </c>
      <c r="F65" s="2" t="s">
        <v>173</v>
      </c>
      <c r="G65" s="2">
        <v>5</v>
      </c>
      <c r="H65" s="2">
        <v>1499</v>
      </c>
      <c r="I65" s="2">
        <v>0</v>
      </c>
      <c r="J65" s="2" t="s">
        <v>17</v>
      </c>
      <c r="K65" s="2" t="s">
        <v>406</v>
      </c>
      <c r="L65" s="2" t="s">
        <v>19</v>
      </c>
      <c r="M65">
        <f t="shared" si="0"/>
        <v>7495</v>
      </c>
      <c r="N65" t="str">
        <f t="shared" si="1"/>
        <v>April</v>
      </c>
      <c r="O65" t="str">
        <f t="shared" si="2"/>
        <v>High</v>
      </c>
      <c r="P65" s="4">
        <f t="shared" ca="1" si="3"/>
        <v>444</v>
      </c>
    </row>
    <row r="66" spans="1:16" x14ac:dyDescent="0.3">
      <c r="A66" s="2">
        <v>1065</v>
      </c>
      <c r="B66" s="2" t="s">
        <v>174</v>
      </c>
      <c r="C66" s="2" t="s">
        <v>407</v>
      </c>
      <c r="D66" s="2" t="s">
        <v>121</v>
      </c>
      <c r="E66" s="2" t="s">
        <v>131</v>
      </c>
      <c r="F66" s="2" t="s">
        <v>134</v>
      </c>
      <c r="G66" s="2">
        <v>6</v>
      </c>
      <c r="H66" s="2">
        <v>2999</v>
      </c>
      <c r="I66" s="2">
        <v>15</v>
      </c>
      <c r="J66" s="2" t="s">
        <v>29</v>
      </c>
      <c r="K66" s="2" t="s">
        <v>406</v>
      </c>
      <c r="L66" s="2" t="s">
        <v>19</v>
      </c>
      <c r="M66">
        <f t="shared" si="0"/>
        <v>15294.9</v>
      </c>
      <c r="N66" t="str">
        <f t="shared" si="1"/>
        <v>July</v>
      </c>
      <c r="O66" t="str">
        <f t="shared" si="2"/>
        <v>High</v>
      </c>
      <c r="P66" s="4">
        <f t="shared" ca="1" si="3"/>
        <v>375</v>
      </c>
    </row>
    <row r="67" spans="1:16" x14ac:dyDescent="0.3">
      <c r="A67" s="2">
        <v>1066</v>
      </c>
      <c r="B67" s="2" t="s">
        <v>175</v>
      </c>
      <c r="C67" s="2" t="s">
        <v>176</v>
      </c>
      <c r="D67" s="2" t="s">
        <v>93</v>
      </c>
      <c r="E67" s="2" t="s">
        <v>71</v>
      </c>
      <c r="F67" s="2" t="s">
        <v>72</v>
      </c>
      <c r="G67" s="2">
        <v>2</v>
      </c>
      <c r="H67" s="2">
        <v>2499</v>
      </c>
      <c r="I67" s="2">
        <v>10</v>
      </c>
      <c r="J67" s="2" t="s">
        <v>29</v>
      </c>
      <c r="K67" s="2" t="s">
        <v>30</v>
      </c>
      <c r="L67" s="2" t="s">
        <v>19</v>
      </c>
      <c r="M67">
        <f t="shared" ref="M67:M130" si="4">G67*H67*(1-I67/100)</f>
        <v>4498.2</v>
      </c>
      <c r="N67" t="str">
        <f t="shared" ref="N67:N130" si="5">TEXT(B67,"mmmm")</f>
        <v>July</v>
      </c>
      <c r="O67" t="str">
        <f t="shared" ref="O67:O130" si="6">IF(M67&gt;5000,"High", IF(M67&gt;1500,"Medium","Low") )</f>
        <v>Medium</v>
      </c>
      <c r="P67" s="4">
        <f t="shared" ref="P67:P130" ca="1" si="7">TODAY()-B67</f>
        <v>371</v>
      </c>
    </row>
    <row r="68" spans="1:16" x14ac:dyDescent="0.3">
      <c r="A68" s="2">
        <v>1067</v>
      </c>
      <c r="B68" s="2" t="s">
        <v>177</v>
      </c>
      <c r="C68" s="2" t="s">
        <v>178</v>
      </c>
      <c r="D68" s="2" t="s">
        <v>47</v>
      </c>
      <c r="E68" s="2" t="s">
        <v>86</v>
      </c>
      <c r="F68" s="2" t="s">
        <v>34</v>
      </c>
      <c r="G68" s="2">
        <v>3</v>
      </c>
      <c r="H68" s="2">
        <v>299</v>
      </c>
      <c r="I68" s="2">
        <v>0</v>
      </c>
      <c r="J68" s="2" t="s">
        <v>29</v>
      </c>
      <c r="K68" s="2" t="s">
        <v>406</v>
      </c>
      <c r="L68" s="2" t="s">
        <v>83</v>
      </c>
      <c r="M68">
        <f t="shared" si="4"/>
        <v>897</v>
      </c>
      <c r="N68" t="str">
        <f t="shared" si="5"/>
        <v>June</v>
      </c>
      <c r="O68" t="str">
        <f t="shared" si="6"/>
        <v>Low</v>
      </c>
      <c r="P68" s="4">
        <f t="shared" ca="1" si="7"/>
        <v>378</v>
      </c>
    </row>
    <row r="69" spans="1:16" x14ac:dyDescent="0.3">
      <c r="A69" s="2">
        <v>1068</v>
      </c>
      <c r="B69" s="2" t="s">
        <v>179</v>
      </c>
      <c r="C69" s="2" t="s">
        <v>407</v>
      </c>
      <c r="D69" s="2" t="s">
        <v>33</v>
      </c>
      <c r="E69" s="2" t="s">
        <v>48</v>
      </c>
      <c r="F69" s="2" t="s">
        <v>23</v>
      </c>
      <c r="G69" s="2">
        <v>5</v>
      </c>
      <c r="H69" s="2">
        <v>249</v>
      </c>
      <c r="I69" s="2">
        <v>10</v>
      </c>
      <c r="J69" s="2" t="s">
        <v>43</v>
      </c>
      <c r="K69" s="2" t="s">
        <v>18</v>
      </c>
      <c r="L69" s="2" t="s">
        <v>19</v>
      </c>
      <c r="M69">
        <f t="shared" si="4"/>
        <v>1120.5</v>
      </c>
      <c r="N69" t="str">
        <f t="shared" si="5"/>
        <v>November</v>
      </c>
      <c r="O69" t="str">
        <f t="shared" si="6"/>
        <v>Low</v>
      </c>
      <c r="P69" s="4">
        <f t="shared" ca="1" si="7"/>
        <v>237</v>
      </c>
    </row>
    <row r="70" spans="1:16" x14ac:dyDescent="0.3">
      <c r="A70" s="2">
        <v>1069</v>
      </c>
      <c r="B70" s="2" t="s">
        <v>180</v>
      </c>
      <c r="C70" s="2" t="s">
        <v>181</v>
      </c>
      <c r="D70" s="2" t="s">
        <v>121</v>
      </c>
      <c r="E70" s="2" t="s">
        <v>71</v>
      </c>
      <c r="F70" s="2" t="s">
        <v>42</v>
      </c>
      <c r="G70" s="2">
        <v>6</v>
      </c>
      <c r="H70" s="2">
        <v>4999</v>
      </c>
      <c r="I70" s="2">
        <v>0</v>
      </c>
      <c r="J70" s="2" t="s">
        <v>17</v>
      </c>
      <c r="K70" s="2" t="s">
        <v>406</v>
      </c>
      <c r="L70" s="2" t="s">
        <v>83</v>
      </c>
      <c r="M70">
        <f t="shared" si="4"/>
        <v>29994</v>
      </c>
      <c r="N70" t="str">
        <f t="shared" si="5"/>
        <v>February</v>
      </c>
      <c r="O70" t="str">
        <f t="shared" si="6"/>
        <v>High</v>
      </c>
      <c r="P70" s="4">
        <f t="shared" ca="1" si="7"/>
        <v>510</v>
      </c>
    </row>
    <row r="71" spans="1:16" x14ac:dyDescent="0.3">
      <c r="A71" s="2">
        <v>1070</v>
      </c>
      <c r="B71" s="2" t="s">
        <v>182</v>
      </c>
      <c r="C71" s="2" t="s">
        <v>183</v>
      </c>
      <c r="D71" s="2" t="s">
        <v>93</v>
      </c>
      <c r="E71" s="2" t="s">
        <v>86</v>
      </c>
      <c r="F71" s="2" t="s">
        <v>153</v>
      </c>
      <c r="G71" s="2">
        <v>7</v>
      </c>
      <c r="H71" s="2">
        <v>1499</v>
      </c>
      <c r="I71" s="2">
        <v>0</v>
      </c>
      <c r="J71" s="2" t="s">
        <v>29</v>
      </c>
      <c r="K71" s="2" t="s">
        <v>30</v>
      </c>
      <c r="L71" s="2" t="s">
        <v>19</v>
      </c>
      <c r="M71">
        <f t="shared" si="4"/>
        <v>10493</v>
      </c>
      <c r="N71" t="str">
        <f t="shared" si="5"/>
        <v>December</v>
      </c>
      <c r="O71" t="str">
        <f t="shared" si="6"/>
        <v>High</v>
      </c>
      <c r="P71" s="4">
        <f t="shared" ca="1" si="7"/>
        <v>194</v>
      </c>
    </row>
    <row r="72" spans="1:16" x14ac:dyDescent="0.3">
      <c r="A72" s="2">
        <v>1071</v>
      </c>
      <c r="B72" s="2" t="s">
        <v>184</v>
      </c>
      <c r="C72" s="2" t="s">
        <v>185</v>
      </c>
      <c r="D72" s="2" t="s">
        <v>93</v>
      </c>
      <c r="E72" s="2" t="s">
        <v>86</v>
      </c>
      <c r="F72" s="2" t="s">
        <v>153</v>
      </c>
      <c r="G72" s="2">
        <v>3</v>
      </c>
      <c r="H72" s="2">
        <v>299</v>
      </c>
      <c r="I72" s="2">
        <v>10</v>
      </c>
      <c r="J72" s="2" t="s">
        <v>43</v>
      </c>
      <c r="K72" s="2" t="s">
        <v>406</v>
      </c>
      <c r="L72" s="2" t="s">
        <v>83</v>
      </c>
      <c r="M72">
        <f t="shared" si="4"/>
        <v>807.30000000000007</v>
      </c>
      <c r="N72" t="str">
        <f t="shared" si="5"/>
        <v>November</v>
      </c>
      <c r="O72" t="str">
        <f t="shared" si="6"/>
        <v>Low</v>
      </c>
      <c r="P72" s="4">
        <f t="shared" ca="1" si="7"/>
        <v>248</v>
      </c>
    </row>
    <row r="73" spans="1:16" x14ac:dyDescent="0.3">
      <c r="A73" s="2">
        <v>1072</v>
      </c>
      <c r="B73" s="2" t="s">
        <v>186</v>
      </c>
      <c r="C73" s="2" t="s">
        <v>187</v>
      </c>
      <c r="D73" s="2" t="s">
        <v>14</v>
      </c>
      <c r="E73" s="2" t="s">
        <v>86</v>
      </c>
      <c r="F73" s="2" t="s">
        <v>34</v>
      </c>
      <c r="G73" s="2">
        <v>4</v>
      </c>
      <c r="H73" s="2">
        <v>1499</v>
      </c>
      <c r="I73" s="2">
        <v>20</v>
      </c>
      <c r="J73" s="2" t="s">
        <v>26</v>
      </c>
      <c r="K73" s="2" t="s">
        <v>36</v>
      </c>
      <c r="L73" s="2" t="s">
        <v>19</v>
      </c>
      <c r="M73">
        <f t="shared" si="4"/>
        <v>4796.8</v>
      </c>
      <c r="N73" t="str">
        <f t="shared" si="5"/>
        <v>September</v>
      </c>
      <c r="O73" t="str">
        <f t="shared" si="6"/>
        <v>Medium</v>
      </c>
      <c r="P73" s="4">
        <f t="shared" ca="1" si="7"/>
        <v>287</v>
      </c>
    </row>
    <row r="74" spans="1:16" x14ac:dyDescent="0.3">
      <c r="A74" s="2">
        <v>1073</v>
      </c>
      <c r="B74" s="2" t="s">
        <v>186</v>
      </c>
      <c r="C74" s="2" t="s">
        <v>188</v>
      </c>
      <c r="D74" s="2" t="s">
        <v>22</v>
      </c>
      <c r="E74" s="2" t="s">
        <v>48</v>
      </c>
      <c r="F74" s="2" t="s">
        <v>60</v>
      </c>
      <c r="G74" s="2">
        <v>3</v>
      </c>
      <c r="H74" s="2">
        <v>599</v>
      </c>
      <c r="I74" s="2">
        <v>20</v>
      </c>
      <c r="J74" s="2" t="s">
        <v>17</v>
      </c>
      <c r="K74" s="2" t="s">
        <v>406</v>
      </c>
      <c r="L74" s="2" t="s">
        <v>19</v>
      </c>
      <c r="M74">
        <f t="shared" si="4"/>
        <v>1437.6000000000001</v>
      </c>
      <c r="N74" t="str">
        <f t="shared" si="5"/>
        <v>September</v>
      </c>
      <c r="O74" t="str">
        <f t="shared" si="6"/>
        <v>Low</v>
      </c>
      <c r="P74" s="4">
        <f t="shared" ca="1" si="7"/>
        <v>287</v>
      </c>
    </row>
    <row r="75" spans="1:16" x14ac:dyDescent="0.3">
      <c r="A75" s="2">
        <v>1074</v>
      </c>
      <c r="B75" s="2" t="s">
        <v>189</v>
      </c>
      <c r="C75" s="2" t="s">
        <v>190</v>
      </c>
      <c r="D75" s="2" t="s">
        <v>93</v>
      </c>
      <c r="E75" s="2" t="s">
        <v>71</v>
      </c>
      <c r="F75" s="2" t="s">
        <v>54</v>
      </c>
      <c r="G75" s="2">
        <v>5</v>
      </c>
      <c r="H75" s="2">
        <v>2499</v>
      </c>
      <c r="I75" s="2">
        <v>15</v>
      </c>
      <c r="J75" s="2" t="s">
        <v>26</v>
      </c>
      <c r="K75" s="2" t="s">
        <v>68</v>
      </c>
      <c r="L75" s="2" t="s">
        <v>19</v>
      </c>
      <c r="M75">
        <f t="shared" si="4"/>
        <v>10620.75</v>
      </c>
      <c r="N75" t="str">
        <f t="shared" si="5"/>
        <v>October</v>
      </c>
      <c r="O75" t="str">
        <f t="shared" si="6"/>
        <v>High</v>
      </c>
      <c r="P75" s="4">
        <f t="shared" ca="1" si="7"/>
        <v>283</v>
      </c>
    </row>
    <row r="76" spans="1:16" x14ac:dyDescent="0.3">
      <c r="A76" s="2">
        <v>1075</v>
      </c>
      <c r="B76" s="2" t="s">
        <v>191</v>
      </c>
      <c r="C76" s="2" t="s">
        <v>192</v>
      </c>
      <c r="D76" s="2" t="s">
        <v>93</v>
      </c>
      <c r="E76" s="2" t="s">
        <v>48</v>
      </c>
      <c r="F76" s="2" t="s">
        <v>60</v>
      </c>
      <c r="G76" s="2">
        <v>7</v>
      </c>
      <c r="H76" s="2">
        <v>299</v>
      </c>
      <c r="I76" s="2">
        <v>5</v>
      </c>
      <c r="J76" s="2" t="s">
        <v>61</v>
      </c>
      <c r="K76" s="2" t="s">
        <v>30</v>
      </c>
      <c r="L76" s="2" t="s">
        <v>19</v>
      </c>
      <c r="M76">
        <f t="shared" si="4"/>
        <v>1988.35</v>
      </c>
      <c r="N76" t="str">
        <f t="shared" si="5"/>
        <v>September</v>
      </c>
      <c r="O76" t="str">
        <f t="shared" si="6"/>
        <v>Medium</v>
      </c>
      <c r="P76" s="4">
        <f t="shared" ca="1" si="7"/>
        <v>292</v>
      </c>
    </row>
    <row r="77" spans="1:16" x14ac:dyDescent="0.3">
      <c r="A77" s="2">
        <v>1076</v>
      </c>
      <c r="B77" s="2" t="s">
        <v>193</v>
      </c>
      <c r="C77" s="2" t="s">
        <v>194</v>
      </c>
      <c r="D77" s="2" t="s">
        <v>93</v>
      </c>
      <c r="E77" s="2" t="s">
        <v>86</v>
      </c>
      <c r="F77" s="2" t="s">
        <v>34</v>
      </c>
      <c r="G77" s="2">
        <v>8</v>
      </c>
      <c r="H77" s="2">
        <v>3499</v>
      </c>
      <c r="I77" s="2">
        <v>0</v>
      </c>
      <c r="J77" s="2" t="s">
        <v>17</v>
      </c>
      <c r="K77" s="2" t="s">
        <v>18</v>
      </c>
      <c r="L77" s="2" t="s">
        <v>19</v>
      </c>
      <c r="M77">
        <f t="shared" si="4"/>
        <v>27992</v>
      </c>
      <c r="N77" t="str">
        <f t="shared" si="5"/>
        <v>June</v>
      </c>
      <c r="O77" t="str">
        <f t="shared" si="6"/>
        <v>High</v>
      </c>
      <c r="P77" s="4">
        <f t="shared" ca="1" si="7"/>
        <v>393</v>
      </c>
    </row>
    <row r="78" spans="1:16" x14ac:dyDescent="0.3">
      <c r="A78" s="2">
        <v>1077</v>
      </c>
      <c r="B78" s="2" t="s">
        <v>52</v>
      </c>
      <c r="C78" s="2" t="s">
        <v>195</v>
      </c>
      <c r="D78" s="2" t="s">
        <v>93</v>
      </c>
      <c r="E78" s="2" t="s">
        <v>71</v>
      </c>
      <c r="F78" s="2" t="s">
        <v>67</v>
      </c>
      <c r="G78" s="2">
        <v>5</v>
      </c>
      <c r="H78" s="2">
        <v>4999</v>
      </c>
      <c r="I78" s="2">
        <v>0</v>
      </c>
      <c r="J78" s="2" t="s">
        <v>29</v>
      </c>
      <c r="K78" s="2" t="s">
        <v>44</v>
      </c>
      <c r="L78" s="2" t="s">
        <v>19</v>
      </c>
      <c r="M78">
        <f t="shared" si="4"/>
        <v>24995</v>
      </c>
      <c r="N78" t="str">
        <f t="shared" si="5"/>
        <v>May</v>
      </c>
      <c r="O78" t="str">
        <f t="shared" si="6"/>
        <v>High</v>
      </c>
      <c r="P78" s="4">
        <f t="shared" ca="1" si="7"/>
        <v>435</v>
      </c>
    </row>
    <row r="79" spans="1:16" x14ac:dyDescent="0.3">
      <c r="A79" s="2">
        <v>1078</v>
      </c>
      <c r="B79" s="2" t="s">
        <v>196</v>
      </c>
      <c r="C79" s="2" t="s">
        <v>197</v>
      </c>
      <c r="D79" s="2" t="s">
        <v>121</v>
      </c>
      <c r="E79" s="2" t="s">
        <v>48</v>
      </c>
      <c r="F79" s="2" t="s">
        <v>94</v>
      </c>
      <c r="G79" s="2">
        <v>6</v>
      </c>
      <c r="H79" s="2">
        <v>999</v>
      </c>
      <c r="I79" s="2">
        <v>0</v>
      </c>
      <c r="J79" s="2" t="s">
        <v>35</v>
      </c>
      <c r="K79" s="2" t="s">
        <v>18</v>
      </c>
      <c r="L79" s="2" t="s">
        <v>19</v>
      </c>
      <c r="M79">
        <f t="shared" si="4"/>
        <v>5994</v>
      </c>
      <c r="N79" t="str">
        <f t="shared" si="5"/>
        <v>December</v>
      </c>
      <c r="O79" t="str">
        <f t="shared" si="6"/>
        <v>High</v>
      </c>
      <c r="P79" s="4">
        <f t="shared" ca="1" si="7"/>
        <v>214</v>
      </c>
    </row>
    <row r="80" spans="1:16" x14ac:dyDescent="0.3">
      <c r="A80" s="2">
        <v>1079</v>
      </c>
      <c r="B80" s="2" t="s">
        <v>198</v>
      </c>
      <c r="C80" s="2" t="s">
        <v>199</v>
      </c>
      <c r="D80" s="2" t="s">
        <v>22</v>
      </c>
      <c r="E80" s="2" t="s">
        <v>48</v>
      </c>
      <c r="F80" s="2" t="s">
        <v>94</v>
      </c>
      <c r="G80" s="2">
        <v>3</v>
      </c>
      <c r="H80" s="2">
        <v>499</v>
      </c>
      <c r="I80" s="2">
        <v>0</v>
      </c>
      <c r="J80" s="2" t="s">
        <v>29</v>
      </c>
      <c r="K80" s="2" t="s">
        <v>406</v>
      </c>
      <c r="L80" s="2" t="s">
        <v>19</v>
      </c>
      <c r="M80">
        <f t="shared" si="4"/>
        <v>1497</v>
      </c>
      <c r="N80" t="str">
        <f t="shared" si="5"/>
        <v>June</v>
      </c>
      <c r="O80" t="str">
        <f t="shared" si="6"/>
        <v>Low</v>
      </c>
      <c r="P80" s="4">
        <f t="shared" ca="1" si="7"/>
        <v>376</v>
      </c>
    </row>
    <row r="81" spans="1:16" x14ac:dyDescent="0.3">
      <c r="A81" s="2">
        <v>1080</v>
      </c>
      <c r="B81" s="2" t="s">
        <v>200</v>
      </c>
      <c r="C81" s="2" t="s">
        <v>21</v>
      </c>
      <c r="D81" s="2" t="s">
        <v>93</v>
      </c>
      <c r="E81" s="2" t="s">
        <v>86</v>
      </c>
      <c r="F81" s="2" t="s">
        <v>77</v>
      </c>
      <c r="G81" s="2">
        <v>5</v>
      </c>
      <c r="H81" s="2">
        <v>349</v>
      </c>
      <c r="I81" s="2">
        <v>10</v>
      </c>
      <c r="J81" s="2" t="s">
        <v>61</v>
      </c>
      <c r="K81" s="2" t="s">
        <v>406</v>
      </c>
      <c r="L81" s="2" t="s">
        <v>19</v>
      </c>
      <c r="M81">
        <f t="shared" si="4"/>
        <v>1570.5</v>
      </c>
      <c r="N81" t="str">
        <f t="shared" si="5"/>
        <v>October</v>
      </c>
      <c r="O81" t="str">
        <f t="shared" si="6"/>
        <v>Medium</v>
      </c>
      <c r="P81" s="4">
        <f t="shared" ca="1" si="7"/>
        <v>278</v>
      </c>
    </row>
    <row r="82" spans="1:16" x14ac:dyDescent="0.3">
      <c r="A82" s="2">
        <v>1081</v>
      </c>
      <c r="B82" s="2" t="s">
        <v>201</v>
      </c>
      <c r="C82" s="2" t="s">
        <v>202</v>
      </c>
      <c r="D82" s="2" t="s">
        <v>33</v>
      </c>
      <c r="E82" s="2" t="s">
        <v>48</v>
      </c>
      <c r="F82" s="2" t="s">
        <v>60</v>
      </c>
      <c r="G82" s="2">
        <v>5</v>
      </c>
      <c r="H82" s="2">
        <v>1499</v>
      </c>
      <c r="I82" s="2">
        <v>0</v>
      </c>
      <c r="J82" s="2" t="s">
        <v>17</v>
      </c>
      <c r="K82" s="2" t="s">
        <v>30</v>
      </c>
      <c r="L82" s="2" t="s">
        <v>19</v>
      </c>
      <c r="M82">
        <f t="shared" si="4"/>
        <v>7495</v>
      </c>
      <c r="N82" t="str">
        <f t="shared" si="5"/>
        <v>September</v>
      </c>
      <c r="O82" t="str">
        <f t="shared" si="6"/>
        <v>High</v>
      </c>
      <c r="P82" s="4">
        <f t="shared" ca="1" si="7"/>
        <v>291</v>
      </c>
    </row>
    <row r="83" spans="1:16" x14ac:dyDescent="0.3">
      <c r="A83" s="2">
        <v>1082</v>
      </c>
      <c r="B83" s="2" t="s">
        <v>198</v>
      </c>
      <c r="C83" s="2" t="s">
        <v>76</v>
      </c>
      <c r="D83" s="2" t="s">
        <v>47</v>
      </c>
      <c r="E83" s="2" t="s">
        <v>48</v>
      </c>
      <c r="F83" s="2" t="s">
        <v>49</v>
      </c>
      <c r="G83" s="2">
        <v>3</v>
      </c>
      <c r="H83" s="2">
        <v>199</v>
      </c>
      <c r="I83" s="2">
        <v>0</v>
      </c>
      <c r="J83" s="2" t="s">
        <v>43</v>
      </c>
      <c r="K83" s="2" t="s">
        <v>406</v>
      </c>
      <c r="L83" s="2" t="s">
        <v>19</v>
      </c>
      <c r="M83">
        <f t="shared" si="4"/>
        <v>597</v>
      </c>
      <c r="N83" t="str">
        <f t="shared" si="5"/>
        <v>June</v>
      </c>
      <c r="O83" t="str">
        <f t="shared" si="6"/>
        <v>Low</v>
      </c>
      <c r="P83" s="4">
        <f t="shared" ca="1" si="7"/>
        <v>376</v>
      </c>
    </row>
    <row r="84" spans="1:16" x14ac:dyDescent="0.3">
      <c r="A84" s="2">
        <v>1083</v>
      </c>
      <c r="B84" s="2" t="s">
        <v>203</v>
      </c>
      <c r="C84" s="2" t="s">
        <v>407</v>
      </c>
      <c r="D84" s="2" t="s">
        <v>14</v>
      </c>
      <c r="E84" s="2" t="s">
        <v>131</v>
      </c>
      <c r="F84" s="2" t="s">
        <v>80</v>
      </c>
      <c r="G84" s="2">
        <v>6</v>
      </c>
      <c r="H84" s="2">
        <v>2499</v>
      </c>
      <c r="I84" s="2">
        <v>10</v>
      </c>
      <c r="J84" s="2" t="s">
        <v>29</v>
      </c>
      <c r="K84" s="2" t="s">
        <v>30</v>
      </c>
      <c r="L84" s="2" t="s">
        <v>138</v>
      </c>
      <c r="M84">
        <f t="shared" si="4"/>
        <v>13494.6</v>
      </c>
      <c r="N84" t="str">
        <f t="shared" si="5"/>
        <v>March</v>
      </c>
      <c r="O84" t="str">
        <f t="shared" si="6"/>
        <v>High</v>
      </c>
      <c r="P84" s="4">
        <f t="shared" ca="1" si="7"/>
        <v>478</v>
      </c>
    </row>
    <row r="85" spans="1:16" x14ac:dyDescent="0.3">
      <c r="A85" s="2">
        <v>1084</v>
      </c>
      <c r="B85" s="2" t="s">
        <v>204</v>
      </c>
      <c r="C85" s="2" t="s">
        <v>205</v>
      </c>
      <c r="D85" s="2" t="s">
        <v>14</v>
      </c>
      <c r="E85" s="2" t="s">
        <v>48</v>
      </c>
      <c r="F85" s="2" t="s">
        <v>206</v>
      </c>
      <c r="G85" s="2">
        <v>3</v>
      </c>
      <c r="H85" s="2">
        <v>299</v>
      </c>
      <c r="I85" s="2">
        <v>20</v>
      </c>
      <c r="J85" s="2" t="s">
        <v>26</v>
      </c>
      <c r="K85" s="2" t="s">
        <v>406</v>
      </c>
      <c r="L85" s="2" t="s">
        <v>83</v>
      </c>
      <c r="M85">
        <f t="shared" si="4"/>
        <v>717.6</v>
      </c>
      <c r="N85" t="str">
        <f t="shared" si="5"/>
        <v>May</v>
      </c>
      <c r="O85" t="str">
        <f t="shared" si="6"/>
        <v>Low</v>
      </c>
      <c r="P85" s="4">
        <f t="shared" ca="1" si="7"/>
        <v>423</v>
      </c>
    </row>
    <row r="86" spans="1:16" x14ac:dyDescent="0.3">
      <c r="A86" s="2">
        <v>1085</v>
      </c>
      <c r="B86" s="2" t="s">
        <v>207</v>
      </c>
      <c r="C86" s="2" t="s">
        <v>82</v>
      </c>
      <c r="D86" s="2" t="s">
        <v>93</v>
      </c>
      <c r="E86" s="2" t="s">
        <v>71</v>
      </c>
      <c r="F86" s="2" t="s">
        <v>67</v>
      </c>
      <c r="G86" s="2">
        <v>4</v>
      </c>
      <c r="H86" s="2">
        <v>499</v>
      </c>
      <c r="I86" s="2">
        <v>5</v>
      </c>
      <c r="J86" s="2" t="s">
        <v>61</v>
      </c>
      <c r="K86" s="2" t="s">
        <v>18</v>
      </c>
      <c r="L86" s="2" t="s">
        <v>19</v>
      </c>
      <c r="M86">
        <f t="shared" si="4"/>
        <v>1896.1999999999998</v>
      </c>
      <c r="N86" t="str">
        <f t="shared" si="5"/>
        <v>May</v>
      </c>
      <c r="O86" t="str">
        <f t="shared" si="6"/>
        <v>Medium</v>
      </c>
      <c r="P86" s="4">
        <f t="shared" ca="1" si="7"/>
        <v>408</v>
      </c>
    </row>
    <row r="87" spans="1:16" x14ac:dyDescent="0.3">
      <c r="A87" s="2">
        <v>1086</v>
      </c>
      <c r="B87" s="2" t="s">
        <v>208</v>
      </c>
      <c r="C87" s="2" t="s">
        <v>209</v>
      </c>
      <c r="D87" s="2" t="s">
        <v>33</v>
      </c>
      <c r="E87" s="2" t="s">
        <v>71</v>
      </c>
      <c r="F87" s="2" t="s">
        <v>42</v>
      </c>
      <c r="G87" s="2">
        <v>6</v>
      </c>
      <c r="H87" s="2">
        <v>299</v>
      </c>
      <c r="I87" s="2">
        <v>20</v>
      </c>
      <c r="J87" s="2" t="s">
        <v>61</v>
      </c>
      <c r="K87" s="2" t="s">
        <v>44</v>
      </c>
      <c r="L87" s="2" t="s">
        <v>19</v>
      </c>
      <c r="M87">
        <f t="shared" si="4"/>
        <v>1435.2</v>
      </c>
      <c r="N87" t="str">
        <f t="shared" si="5"/>
        <v>June</v>
      </c>
      <c r="O87" t="str">
        <f t="shared" si="6"/>
        <v>Low</v>
      </c>
      <c r="P87" s="4">
        <f t="shared" ca="1" si="7"/>
        <v>398</v>
      </c>
    </row>
    <row r="88" spans="1:16" x14ac:dyDescent="0.3">
      <c r="A88" s="2">
        <v>1087</v>
      </c>
      <c r="B88" s="2" t="s">
        <v>210</v>
      </c>
      <c r="C88" s="2" t="s">
        <v>211</v>
      </c>
      <c r="D88" s="2" t="s">
        <v>93</v>
      </c>
      <c r="E88" s="2" t="s">
        <v>15</v>
      </c>
      <c r="F88" s="2" t="s">
        <v>173</v>
      </c>
      <c r="G88" s="2">
        <v>4</v>
      </c>
      <c r="H88" s="2">
        <v>1999</v>
      </c>
      <c r="I88" s="2">
        <v>10</v>
      </c>
      <c r="J88" s="2" t="s">
        <v>17</v>
      </c>
      <c r="K88" s="2" t="s">
        <v>30</v>
      </c>
      <c r="L88" s="2" t="s">
        <v>19</v>
      </c>
      <c r="M88">
        <f t="shared" si="4"/>
        <v>7196.4000000000005</v>
      </c>
      <c r="N88" t="str">
        <f t="shared" si="5"/>
        <v>September</v>
      </c>
      <c r="O88" t="str">
        <f t="shared" si="6"/>
        <v>High</v>
      </c>
      <c r="P88" s="4">
        <f t="shared" ca="1" si="7"/>
        <v>299</v>
      </c>
    </row>
    <row r="89" spans="1:16" x14ac:dyDescent="0.3">
      <c r="A89" s="2">
        <v>1088</v>
      </c>
      <c r="B89" s="2" t="s">
        <v>212</v>
      </c>
      <c r="C89" s="2" t="s">
        <v>102</v>
      </c>
      <c r="D89" s="2" t="s">
        <v>14</v>
      </c>
      <c r="E89" s="2" t="s">
        <v>131</v>
      </c>
      <c r="F89" s="2" t="s">
        <v>134</v>
      </c>
      <c r="G89" s="2">
        <v>1</v>
      </c>
      <c r="H89" s="2">
        <v>999</v>
      </c>
      <c r="I89" s="2">
        <v>5</v>
      </c>
      <c r="J89" s="2" t="s">
        <v>43</v>
      </c>
      <c r="K89" s="2" t="s">
        <v>406</v>
      </c>
      <c r="L89" s="2" t="s">
        <v>19</v>
      </c>
      <c r="M89">
        <f t="shared" si="4"/>
        <v>949.05</v>
      </c>
      <c r="N89" t="str">
        <f t="shared" si="5"/>
        <v>March</v>
      </c>
      <c r="O89" t="str">
        <f t="shared" si="6"/>
        <v>Low</v>
      </c>
      <c r="P89" s="4">
        <f t="shared" ca="1" si="7"/>
        <v>470</v>
      </c>
    </row>
    <row r="90" spans="1:16" x14ac:dyDescent="0.3">
      <c r="A90" s="2">
        <v>1089</v>
      </c>
      <c r="B90" s="2" t="s">
        <v>213</v>
      </c>
      <c r="C90" s="2" t="s">
        <v>190</v>
      </c>
      <c r="D90" s="2" t="s">
        <v>47</v>
      </c>
      <c r="E90" s="2" t="s">
        <v>15</v>
      </c>
      <c r="F90" s="2" t="s">
        <v>28</v>
      </c>
      <c r="G90" s="2">
        <v>8</v>
      </c>
      <c r="H90" s="2">
        <v>3499</v>
      </c>
      <c r="I90" s="2">
        <v>5</v>
      </c>
      <c r="J90" s="2" t="s">
        <v>35</v>
      </c>
      <c r="K90" s="2" t="s">
        <v>44</v>
      </c>
      <c r="L90" s="2" t="s">
        <v>19</v>
      </c>
      <c r="M90">
        <f t="shared" si="4"/>
        <v>26592.399999999998</v>
      </c>
      <c r="N90" t="str">
        <f t="shared" si="5"/>
        <v>December</v>
      </c>
      <c r="O90" t="str">
        <f t="shared" si="6"/>
        <v>High</v>
      </c>
      <c r="P90" s="4">
        <f t="shared" ca="1" si="7"/>
        <v>206</v>
      </c>
    </row>
    <row r="91" spans="1:16" x14ac:dyDescent="0.3">
      <c r="A91" s="2">
        <v>1090</v>
      </c>
      <c r="B91" s="2" t="s">
        <v>214</v>
      </c>
      <c r="C91" s="2" t="s">
        <v>166</v>
      </c>
      <c r="D91" s="2" t="s">
        <v>93</v>
      </c>
      <c r="E91" s="2" t="s">
        <v>131</v>
      </c>
      <c r="F91" s="2" t="s">
        <v>90</v>
      </c>
      <c r="G91" s="2">
        <v>4</v>
      </c>
      <c r="H91" s="2">
        <v>499</v>
      </c>
      <c r="I91" s="2">
        <v>0</v>
      </c>
      <c r="J91" s="2" t="s">
        <v>17</v>
      </c>
      <c r="K91" s="2" t="s">
        <v>30</v>
      </c>
      <c r="L91" s="2" t="s">
        <v>83</v>
      </c>
      <c r="M91">
        <f t="shared" si="4"/>
        <v>1996</v>
      </c>
      <c r="N91" t="str">
        <f t="shared" si="5"/>
        <v>July</v>
      </c>
      <c r="O91" t="str">
        <f t="shared" si="6"/>
        <v>Medium</v>
      </c>
      <c r="P91" s="4">
        <f t="shared" ca="1" si="7"/>
        <v>367</v>
      </c>
    </row>
    <row r="92" spans="1:16" x14ac:dyDescent="0.3">
      <c r="A92" s="2">
        <v>1091</v>
      </c>
      <c r="B92" s="2" t="s">
        <v>215</v>
      </c>
      <c r="C92" s="2" t="s">
        <v>216</v>
      </c>
      <c r="D92" s="2" t="s">
        <v>33</v>
      </c>
      <c r="E92" s="2" t="s">
        <v>86</v>
      </c>
      <c r="F92" s="2" t="s">
        <v>74</v>
      </c>
      <c r="G92" s="2">
        <v>2</v>
      </c>
      <c r="H92" s="2">
        <v>2499</v>
      </c>
      <c r="I92" s="2">
        <v>20</v>
      </c>
      <c r="J92" s="2" t="s">
        <v>26</v>
      </c>
      <c r="K92" s="2" t="s">
        <v>68</v>
      </c>
      <c r="L92" s="2" t="s">
        <v>19</v>
      </c>
      <c r="M92">
        <f t="shared" si="4"/>
        <v>3998.4</v>
      </c>
      <c r="N92" t="str">
        <f t="shared" si="5"/>
        <v>June</v>
      </c>
      <c r="O92" t="str">
        <f t="shared" si="6"/>
        <v>Medium</v>
      </c>
      <c r="P92" s="4">
        <f t="shared" ca="1" si="7"/>
        <v>396</v>
      </c>
    </row>
    <row r="93" spans="1:16" x14ac:dyDescent="0.3">
      <c r="A93" s="2">
        <v>1092</v>
      </c>
      <c r="B93" s="2" t="s">
        <v>217</v>
      </c>
      <c r="C93" s="2" t="s">
        <v>89</v>
      </c>
      <c r="D93" s="2" t="s">
        <v>93</v>
      </c>
      <c r="E93" s="2" t="s">
        <v>86</v>
      </c>
      <c r="F93" s="2" t="s">
        <v>77</v>
      </c>
      <c r="G93" s="2">
        <v>1</v>
      </c>
      <c r="H93" s="2">
        <v>2499</v>
      </c>
      <c r="I93" s="2">
        <v>0</v>
      </c>
      <c r="J93" s="2" t="s">
        <v>43</v>
      </c>
      <c r="K93" s="2" t="s">
        <v>44</v>
      </c>
      <c r="L93" s="2" t="s">
        <v>19</v>
      </c>
      <c r="M93">
        <f t="shared" si="4"/>
        <v>2499</v>
      </c>
      <c r="N93" t="str">
        <f t="shared" si="5"/>
        <v>October</v>
      </c>
      <c r="O93" t="str">
        <f t="shared" si="6"/>
        <v>Medium</v>
      </c>
      <c r="P93" s="4">
        <f t="shared" ca="1" si="7"/>
        <v>282</v>
      </c>
    </row>
    <row r="94" spans="1:16" x14ac:dyDescent="0.3">
      <c r="A94" s="2">
        <v>1093</v>
      </c>
      <c r="B94" s="2" t="s">
        <v>218</v>
      </c>
      <c r="C94" s="2" t="s">
        <v>109</v>
      </c>
      <c r="D94" s="2" t="s">
        <v>121</v>
      </c>
      <c r="E94" s="2" t="s">
        <v>86</v>
      </c>
      <c r="F94" s="2" t="s">
        <v>87</v>
      </c>
      <c r="G94" s="2">
        <v>6</v>
      </c>
      <c r="H94" s="2">
        <v>499</v>
      </c>
      <c r="I94" s="2">
        <v>5</v>
      </c>
      <c r="J94" s="2" t="s">
        <v>43</v>
      </c>
      <c r="K94" s="2" t="s">
        <v>44</v>
      </c>
      <c r="L94" s="2" t="s">
        <v>19</v>
      </c>
      <c r="M94">
        <f t="shared" si="4"/>
        <v>2844.2999999999997</v>
      </c>
      <c r="N94" t="str">
        <f t="shared" si="5"/>
        <v>November</v>
      </c>
      <c r="O94" t="str">
        <f t="shared" si="6"/>
        <v>Medium</v>
      </c>
      <c r="P94" s="4">
        <f t="shared" ca="1" si="7"/>
        <v>237</v>
      </c>
    </row>
    <row r="95" spans="1:16" x14ac:dyDescent="0.3">
      <c r="A95" s="2">
        <v>1094</v>
      </c>
      <c r="B95" s="2" t="s">
        <v>219</v>
      </c>
      <c r="C95" s="2" t="s">
        <v>220</v>
      </c>
      <c r="D95" s="2" t="s">
        <v>14</v>
      </c>
      <c r="E95" s="2" t="s">
        <v>48</v>
      </c>
      <c r="F95" s="2" t="s">
        <v>23</v>
      </c>
      <c r="G95" s="2">
        <v>6</v>
      </c>
      <c r="H95" s="2">
        <v>4999</v>
      </c>
      <c r="I95" s="2">
        <v>10</v>
      </c>
      <c r="J95" s="2" t="s">
        <v>61</v>
      </c>
      <c r="K95" s="2" t="s">
        <v>18</v>
      </c>
      <c r="L95" s="2" t="s">
        <v>19</v>
      </c>
      <c r="M95">
        <f t="shared" si="4"/>
        <v>26994.600000000002</v>
      </c>
      <c r="N95" t="str">
        <f t="shared" si="5"/>
        <v>November</v>
      </c>
      <c r="O95" t="str">
        <f t="shared" si="6"/>
        <v>High</v>
      </c>
      <c r="P95" s="4">
        <f t="shared" ca="1" si="7"/>
        <v>246</v>
      </c>
    </row>
    <row r="96" spans="1:16" x14ac:dyDescent="0.3">
      <c r="A96" s="2">
        <v>1095</v>
      </c>
      <c r="B96" s="2" t="s">
        <v>221</v>
      </c>
      <c r="C96" s="2" t="s">
        <v>222</v>
      </c>
      <c r="D96" s="2" t="s">
        <v>22</v>
      </c>
      <c r="E96" s="2" t="s">
        <v>131</v>
      </c>
      <c r="F96" s="2" t="s">
        <v>90</v>
      </c>
      <c r="G96" s="2">
        <v>3</v>
      </c>
      <c r="H96" s="2">
        <v>2499</v>
      </c>
      <c r="I96" s="2">
        <v>0</v>
      </c>
      <c r="J96" s="2" t="s">
        <v>29</v>
      </c>
      <c r="K96" s="2" t="s">
        <v>36</v>
      </c>
      <c r="L96" s="2" t="s">
        <v>19</v>
      </c>
      <c r="M96">
        <f t="shared" si="4"/>
        <v>7497</v>
      </c>
      <c r="N96" t="str">
        <f t="shared" si="5"/>
        <v>November</v>
      </c>
      <c r="O96" t="str">
        <f t="shared" si="6"/>
        <v>High</v>
      </c>
      <c r="P96" s="4">
        <f t="shared" ca="1" si="7"/>
        <v>234</v>
      </c>
    </row>
    <row r="97" spans="1:16" x14ac:dyDescent="0.3">
      <c r="A97" s="2">
        <v>1096</v>
      </c>
      <c r="B97" s="2" t="s">
        <v>223</v>
      </c>
      <c r="C97" s="2" t="s">
        <v>96</v>
      </c>
      <c r="D97" s="2" t="s">
        <v>47</v>
      </c>
      <c r="E97" s="2" t="s">
        <v>71</v>
      </c>
      <c r="F97" s="2" t="s">
        <v>72</v>
      </c>
      <c r="G97" s="2">
        <v>6</v>
      </c>
      <c r="H97" s="2">
        <v>4999</v>
      </c>
      <c r="I97" s="2">
        <v>15</v>
      </c>
      <c r="J97" s="2" t="s">
        <v>35</v>
      </c>
      <c r="K97" s="2" t="s">
        <v>36</v>
      </c>
      <c r="L97" s="2" t="s">
        <v>224</v>
      </c>
      <c r="M97">
        <f t="shared" si="4"/>
        <v>25494.899999999998</v>
      </c>
      <c r="N97" t="str">
        <f t="shared" si="5"/>
        <v>April</v>
      </c>
      <c r="O97" t="str">
        <f t="shared" si="6"/>
        <v>High</v>
      </c>
      <c r="P97" s="4">
        <f t="shared" ca="1" si="7"/>
        <v>452</v>
      </c>
    </row>
    <row r="98" spans="1:16" x14ac:dyDescent="0.3">
      <c r="A98" s="2">
        <v>1097</v>
      </c>
      <c r="B98" s="2" t="s">
        <v>225</v>
      </c>
      <c r="C98" s="2" t="s">
        <v>53</v>
      </c>
      <c r="D98" s="2" t="s">
        <v>93</v>
      </c>
      <c r="E98" s="2" t="s">
        <v>71</v>
      </c>
      <c r="F98" s="2" t="s">
        <v>42</v>
      </c>
      <c r="G98" s="2">
        <v>5</v>
      </c>
      <c r="H98" s="2">
        <v>1299</v>
      </c>
      <c r="I98" s="2">
        <v>5</v>
      </c>
      <c r="J98" s="2" t="s">
        <v>29</v>
      </c>
      <c r="K98" s="2" t="s">
        <v>406</v>
      </c>
      <c r="L98" s="2" t="s">
        <v>19</v>
      </c>
      <c r="M98">
        <f t="shared" si="4"/>
        <v>6170.25</v>
      </c>
      <c r="N98" t="str">
        <f t="shared" si="5"/>
        <v>December</v>
      </c>
      <c r="O98" t="str">
        <f t="shared" si="6"/>
        <v>High</v>
      </c>
      <c r="P98" s="4">
        <f t="shared" ca="1" si="7"/>
        <v>202</v>
      </c>
    </row>
    <row r="99" spans="1:16" x14ac:dyDescent="0.3">
      <c r="A99" s="2">
        <v>1098</v>
      </c>
      <c r="B99" s="2" t="s">
        <v>200</v>
      </c>
      <c r="C99" s="2" t="s">
        <v>226</v>
      </c>
      <c r="D99" s="2" t="s">
        <v>93</v>
      </c>
      <c r="E99" s="2" t="s">
        <v>131</v>
      </c>
      <c r="F99" s="2" t="s">
        <v>134</v>
      </c>
      <c r="G99" s="2">
        <v>6</v>
      </c>
      <c r="H99" s="2">
        <v>3499</v>
      </c>
      <c r="I99" s="2">
        <v>10</v>
      </c>
      <c r="J99" s="2" t="s">
        <v>29</v>
      </c>
      <c r="K99" s="2" t="s">
        <v>406</v>
      </c>
      <c r="L99" s="2" t="s">
        <v>19</v>
      </c>
      <c r="M99">
        <f t="shared" si="4"/>
        <v>18894.600000000002</v>
      </c>
      <c r="N99" t="str">
        <f t="shared" si="5"/>
        <v>October</v>
      </c>
      <c r="O99" t="str">
        <f t="shared" si="6"/>
        <v>High</v>
      </c>
      <c r="P99" s="4">
        <f t="shared" ca="1" si="7"/>
        <v>278</v>
      </c>
    </row>
    <row r="100" spans="1:16" x14ac:dyDescent="0.3">
      <c r="A100" s="2">
        <v>1099</v>
      </c>
      <c r="B100" s="2" t="s">
        <v>227</v>
      </c>
      <c r="C100" s="2" t="s">
        <v>228</v>
      </c>
      <c r="D100" s="2" t="s">
        <v>22</v>
      </c>
      <c r="E100" s="2" t="s">
        <v>15</v>
      </c>
      <c r="F100" s="2" t="s">
        <v>16</v>
      </c>
      <c r="G100" s="2">
        <v>7</v>
      </c>
      <c r="H100" s="2">
        <v>1499</v>
      </c>
      <c r="I100" s="2">
        <v>20</v>
      </c>
      <c r="J100" s="2" t="s">
        <v>17</v>
      </c>
      <c r="K100" s="2" t="s">
        <v>36</v>
      </c>
      <c r="L100" s="2" t="s">
        <v>138</v>
      </c>
      <c r="M100">
        <f t="shared" si="4"/>
        <v>8394.4</v>
      </c>
      <c r="N100" t="str">
        <f t="shared" si="5"/>
        <v>October</v>
      </c>
      <c r="O100" t="str">
        <f t="shared" si="6"/>
        <v>High</v>
      </c>
      <c r="P100" s="4">
        <f t="shared" ca="1" si="7"/>
        <v>256</v>
      </c>
    </row>
    <row r="101" spans="1:16" x14ac:dyDescent="0.3">
      <c r="A101" s="2">
        <v>1100</v>
      </c>
      <c r="B101" s="2" t="s">
        <v>229</v>
      </c>
      <c r="C101" s="2" t="s">
        <v>148</v>
      </c>
      <c r="D101" s="2" t="s">
        <v>14</v>
      </c>
      <c r="E101" s="2" t="s">
        <v>131</v>
      </c>
      <c r="F101" s="2" t="s">
        <v>97</v>
      </c>
      <c r="G101" s="2">
        <v>4</v>
      </c>
      <c r="H101" s="2">
        <v>249</v>
      </c>
      <c r="I101" s="2">
        <v>0</v>
      </c>
      <c r="J101" s="2" t="s">
        <v>61</v>
      </c>
      <c r="K101" s="2" t="s">
        <v>36</v>
      </c>
      <c r="L101" s="2" t="s">
        <v>138</v>
      </c>
      <c r="M101">
        <f t="shared" si="4"/>
        <v>996</v>
      </c>
      <c r="N101" t="str">
        <f t="shared" si="5"/>
        <v>November</v>
      </c>
      <c r="O101" t="str">
        <f t="shared" si="6"/>
        <v>Low</v>
      </c>
      <c r="P101" s="4">
        <f t="shared" ca="1" si="7"/>
        <v>223</v>
      </c>
    </row>
    <row r="102" spans="1:16" x14ac:dyDescent="0.3">
      <c r="A102" s="2">
        <v>1101</v>
      </c>
      <c r="B102" s="2" t="s">
        <v>230</v>
      </c>
      <c r="C102" s="2" t="s">
        <v>231</v>
      </c>
      <c r="D102" s="2" t="s">
        <v>47</v>
      </c>
      <c r="E102" s="2" t="s">
        <v>86</v>
      </c>
      <c r="F102" s="2" t="s">
        <v>87</v>
      </c>
      <c r="G102" s="2">
        <v>8</v>
      </c>
      <c r="H102" s="2">
        <v>499</v>
      </c>
      <c r="I102" s="2">
        <v>0</v>
      </c>
      <c r="J102" s="2" t="s">
        <v>35</v>
      </c>
      <c r="K102" s="2" t="s">
        <v>36</v>
      </c>
      <c r="L102" s="2" t="s">
        <v>19</v>
      </c>
      <c r="M102">
        <f t="shared" si="4"/>
        <v>3992</v>
      </c>
      <c r="N102" t="str">
        <f t="shared" si="5"/>
        <v>January</v>
      </c>
      <c r="O102" t="str">
        <f t="shared" si="6"/>
        <v>Medium</v>
      </c>
      <c r="P102" s="4">
        <f t="shared" ca="1" si="7"/>
        <v>537</v>
      </c>
    </row>
    <row r="103" spans="1:16" x14ac:dyDescent="0.3">
      <c r="A103" s="2">
        <v>1102</v>
      </c>
      <c r="B103" s="2" t="s">
        <v>232</v>
      </c>
      <c r="C103" s="2" t="s">
        <v>407</v>
      </c>
      <c r="D103" s="2" t="s">
        <v>33</v>
      </c>
      <c r="E103" s="2" t="s">
        <v>71</v>
      </c>
      <c r="F103" s="2" t="s">
        <v>67</v>
      </c>
      <c r="G103" s="2">
        <v>7</v>
      </c>
      <c r="H103" s="2">
        <v>349</v>
      </c>
      <c r="I103" s="2">
        <v>0</v>
      </c>
      <c r="J103" s="2" t="s">
        <v>26</v>
      </c>
      <c r="K103" s="2" t="s">
        <v>406</v>
      </c>
      <c r="L103" s="2" t="s">
        <v>224</v>
      </c>
      <c r="M103">
        <f t="shared" si="4"/>
        <v>2443</v>
      </c>
      <c r="N103" t="str">
        <f t="shared" si="5"/>
        <v>June</v>
      </c>
      <c r="O103" t="str">
        <f t="shared" si="6"/>
        <v>Medium</v>
      </c>
      <c r="P103" s="4">
        <f t="shared" ca="1" si="7"/>
        <v>405</v>
      </c>
    </row>
    <row r="104" spans="1:16" x14ac:dyDescent="0.3">
      <c r="A104" s="2">
        <v>1103</v>
      </c>
      <c r="B104" s="2" t="s">
        <v>233</v>
      </c>
      <c r="C104" s="2" t="s">
        <v>234</v>
      </c>
      <c r="D104" s="2" t="s">
        <v>14</v>
      </c>
      <c r="E104" s="2" t="s">
        <v>15</v>
      </c>
      <c r="F104" s="2" t="s">
        <v>16</v>
      </c>
      <c r="G104" s="2">
        <v>8</v>
      </c>
      <c r="H104" s="2">
        <v>1299</v>
      </c>
      <c r="I104" s="2">
        <v>0</v>
      </c>
      <c r="J104" s="2" t="s">
        <v>61</v>
      </c>
      <c r="K104" s="2" t="s">
        <v>44</v>
      </c>
      <c r="L104" s="2" t="s">
        <v>19</v>
      </c>
      <c r="M104">
        <f t="shared" si="4"/>
        <v>10392</v>
      </c>
      <c r="N104" t="str">
        <f t="shared" si="5"/>
        <v>October</v>
      </c>
      <c r="O104" t="str">
        <f t="shared" si="6"/>
        <v>High</v>
      </c>
      <c r="P104" s="4">
        <f t="shared" ca="1" si="7"/>
        <v>258</v>
      </c>
    </row>
    <row r="105" spans="1:16" x14ac:dyDescent="0.3">
      <c r="A105" s="2">
        <v>1104</v>
      </c>
      <c r="B105" s="2" t="s">
        <v>235</v>
      </c>
      <c r="C105" s="2" t="s">
        <v>236</v>
      </c>
      <c r="D105" s="2" t="s">
        <v>14</v>
      </c>
      <c r="E105" s="2" t="s">
        <v>71</v>
      </c>
      <c r="F105" s="2" t="s">
        <v>72</v>
      </c>
      <c r="G105" s="2">
        <v>4</v>
      </c>
      <c r="H105" s="2">
        <v>899</v>
      </c>
      <c r="I105" s="2">
        <v>0</v>
      </c>
      <c r="J105" s="2" t="s">
        <v>43</v>
      </c>
      <c r="K105" s="2" t="s">
        <v>406</v>
      </c>
      <c r="L105" s="2" t="s">
        <v>19</v>
      </c>
      <c r="M105">
        <f t="shared" si="4"/>
        <v>3596</v>
      </c>
      <c r="N105" t="str">
        <f t="shared" si="5"/>
        <v>September</v>
      </c>
      <c r="O105" t="str">
        <f t="shared" si="6"/>
        <v>Medium</v>
      </c>
      <c r="P105" s="4">
        <f t="shared" ca="1" si="7"/>
        <v>312</v>
      </c>
    </row>
    <row r="106" spans="1:16" x14ac:dyDescent="0.3">
      <c r="A106" s="2">
        <v>1105</v>
      </c>
      <c r="B106" s="2" t="s">
        <v>237</v>
      </c>
      <c r="C106" s="2" t="s">
        <v>102</v>
      </c>
      <c r="D106" s="2" t="s">
        <v>14</v>
      </c>
      <c r="E106" s="2" t="s">
        <v>48</v>
      </c>
      <c r="F106" s="2" t="s">
        <v>60</v>
      </c>
      <c r="G106" s="2">
        <v>8</v>
      </c>
      <c r="H106" s="2">
        <v>299</v>
      </c>
      <c r="I106" s="2">
        <v>20</v>
      </c>
      <c r="J106" s="2" t="s">
        <v>17</v>
      </c>
      <c r="K106" s="2" t="s">
        <v>406</v>
      </c>
      <c r="L106" s="2" t="s">
        <v>19</v>
      </c>
      <c r="M106">
        <f t="shared" si="4"/>
        <v>1913.6000000000001</v>
      </c>
      <c r="N106" t="str">
        <f t="shared" si="5"/>
        <v>October</v>
      </c>
      <c r="O106" t="str">
        <f t="shared" si="6"/>
        <v>Medium</v>
      </c>
      <c r="P106" s="4">
        <f t="shared" ca="1" si="7"/>
        <v>263</v>
      </c>
    </row>
    <row r="107" spans="1:16" x14ac:dyDescent="0.3">
      <c r="A107" s="2">
        <v>1106</v>
      </c>
      <c r="B107" s="2" t="s">
        <v>238</v>
      </c>
      <c r="C107" s="2" t="s">
        <v>13</v>
      </c>
      <c r="D107" s="2" t="s">
        <v>22</v>
      </c>
      <c r="E107" s="2" t="s">
        <v>131</v>
      </c>
      <c r="F107" s="2" t="s">
        <v>90</v>
      </c>
      <c r="G107" s="2">
        <v>6</v>
      </c>
      <c r="H107" s="2">
        <v>299</v>
      </c>
      <c r="I107" s="2">
        <v>0</v>
      </c>
      <c r="J107" s="2" t="s">
        <v>17</v>
      </c>
      <c r="K107" s="2" t="s">
        <v>406</v>
      </c>
      <c r="L107" s="2" t="s">
        <v>19</v>
      </c>
      <c r="M107">
        <f t="shared" si="4"/>
        <v>1794</v>
      </c>
      <c r="N107" t="str">
        <f t="shared" si="5"/>
        <v>July</v>
      </c>
      <c r="O107" t="str">
        <f t="shared" si="6"/>
        <v>Medium</v>
      </c>
      <c r="P107" s="4">
        <f t="shared" ca="1" si="7"/>
        <v>354</v>
      </c>
    </row>
    <row r="108" spans="1:16" x14ac:dyDescent="0.3">
      <c r="A108" s="2">
        <v>1107</v>
      </c>
      <c r="B108" s="2" t="s">
        <v>239</v>
      </c>
      <c r="C108" s="2" t="s">
        <v>240</v>
      </c>
      <c r="D108" s="2" t="s">
        <v>33</v>
      </c>
      <c r="E108" s="2" t="s">
        <v>71</v>
      </c>
      <c r="F108" s="2" t="s">
        <v>110</v>
      </c>
      <c r="G108" s="2">
        <v>2</v>
      </c>
      <c r="H108" s="2">
        <v>599</v>
      </c>
      <c r="I108" s="2">
        <v>15</v>
      </c>
      <c r="J108" s="2" t="s">
        <v>43</v>
      </c>
      <c r="K108" s="2" t="s">
        <v>68</v>
      </c>
      <c r="L108" s="2" t="s">
        <v>138</v>
      </c>
      <c r="M108">
        <f t="shared" si="4"/>
        <v>1018.3</v>
      </c>
      <c r="N108" t="str">
        <f t="shared" si="5"/>
        <v>July</v>
      </c>
      <c r="O108" t="str">
        <f t="shared" si="6"/>
        <v>Low</v>
      </c>
      <c r="P108" s="4">
        <f t="shared" ca="1" si="7"/>
        <v>365</v>
      </c>
    </row>
    <row r="109" spans="1:16" x14ac:dyDescent="0.3">
      <c r="A109" s="2">
        <v>1108</v>
      </c>
      <c r="B109" s="2" t="s">
        <v>241</v>
      </c>
      <c r="C109" s="2" t="s">
        <v>242</v>
      </c>
      <c r="D109" s="2" t="s">
        <v>93</v>
      </c>
      <c r="E109" s="2" t="s">
        <v>86</v>
      </c>
      <c r="F109" s="2" t="s">
        <v>77</v>
      </c>
      <c r="G109" s="2">
        <v>5</v>
      </c>
      <c r="H109" s="2">
        <v>349</v>
      </c>
      <c r="I109" s="2">
        <v>0</v>
      </c>
      <c r="J109" s="2" t="s">
        <v>29</v>
      </c>
      <c r="K109" s="2" t="s">
        <v>406</v>
      </c>
      <c r="L109" s="2" t="s">
        <v>83</v>
      </c>
      <c r="M109">
        <f t="shared" si="4"/>
        <v>1745</v>
      </c>
      <c r="N109" t="str">
        <f t="shared" si="5"/>
        <v>August</v>
      </c>
      <c r="O109" t="str">
        <f t="shared" si="6"/>
        <v>Medium</v>
      </c>
      <c r="P109" s="4">
        <f t="shared" ca="1" si="7"/>
        <v>339</v>
      </c>
    </row>
    <row r="110" spans="1:16" x14ac:dyDescent="0.3">
      <c r="A110" s="2">
        <v>1109</v>
      </c>
      <c r="B110" s="2" t="s">
        <v>135</v>
      </c>
      <c r="C110" s="2" t="s">
        <v>243</v>
      </c>
      <c r="D110" s="2" t="s">
        <v>121</v>
      </c>
      <c r="E110" s="2" t="s">
        <v>48</v>
      </c>
      <c r="F110" s="2" t="s">
        <v>49</v>
      </c>
      <c r="G110" s="2">
        <v>4</v>
      </c>
      <c r="H110" s="2">
        <v>249</v>
      </c>
      <c r="I110" s="2">
        <v>0</v>
      </c>
      <c r="J110" s="2" t="s">
        <v>43</v>
      </c>
      <c r="K110" s="2" t="s">
        <v>30</v>
      </c>
      <c r="L110" s="2" t="s">
        <v>83</v>
      </c>
      <c r="M110">
        <f t="shared" si="4"/>
        <v>996</v>
      </c>
      <c r="N110" t="str">
        <f t="shared" si="5"/>
        <v>November</v>
      </c>
      <c r="O110" t="str">
        <f t="shared" si="6"/>
        <v>Low</v>
      </c>
      <c r="P110" s="4">
        <f t="shared" ca="1" si="7"/>
        <v>250</v>
      </c>
    </row>
    <row r="111" spans="1:16" x14ac:dyDescent="0.3">
      <c r="A111" s="2">
        <v>1110</v>
      </c>
      <c r="B111" s="2" t="s">
        <v>244</v>
      </c>
      <c r="C111" s="2" t="s">
        <v>66</v>
      </c>
      <c r="D111" s="2" t="s">
        <v>14</v>
      </c>
      <c r="E111" s="2" t="s">
        <v>131</v>
      </c>
      <c r="F111" s="2" t="s">
        <v>97</v>
      </c>
      <c r="G111" s="2">
        <v>3</v>
      </c>
      <c r="H111" s="2">
        <v>2999</v>
      </c>
      <c r="I111" s="2">
        <v>20</v>
      </c>
      <c r="J111" s="2" t="s">
        <v>17</v>
      </c>
      <c r="K111" s="2" t="s">
        <v>30</v>
      </c>
      <c r="L111" s="2" t="s">
        <v>83</v>
      </c>
      <c r="M111">
        <f t="shared" si="4"/>
        <v>7197.6</v>
      </c>
      <c r="N111" t="str">
        <f t="shared" si="5"/>
        <v>June</v>
      </c>
      <c r="O111" t="str">
        <f t="shared" si="6"/>
        <v>High</v>
      </c>
      <c r="P111" s="4">
        <f t="shared" ca="1" si="7"/>
        <v>402</v>
      </c>
    </row>
    <row r="112" spans="1:16" x14ac:dyDescent="0.3">
      <c r="A112" s="2">
        <v>1111</v>
      </c>
      <c r="B112" s="2" t="s">
        <v>245</v>
      </c>
      <c r="C112" s="2" t="s">
        <v>246</v>
      </c>
      <c r="D112" s="2" t="s">
        <v>93</v>
      </c>
      <c r="E112" s="2" t="s">
        <v>131</v>
      </c>
      <c r="F112" s="2" t="s">
        <v>90</v>
      </c>
      <c r="G112" s="2">
        <v>7</v>
      </c>
      <c r="H112" s="2">
        <v>499</v>
      </c>
      <c r="I112" s="2">
        <v>15</v>
      </c>
      <c r="J112" s="2" t="s">
        <v>26</v>
      </c>
      <c r="K112" s="2" t="s">
        <v>30</v>
      </c>
      <c r="L112" s="2" t="s">
        <v>19</v>
      </c>
      <c r="M112">
        <f t="shared" si="4"/>
        <v>2969.0499999999997</v>
      </c>
      <c r="N112" t="str">
        <f t="shared" si="5"/>
        <v>August</v>
      </c>
      <c r="O112" t="str">
        <f t="shared" si="6"/>
        <v>Medium</v>
      </c>
      <c r="P112" s="4">
        <f t="shared" ca="1" si="7"/>
        <v>314</v>
      </c>
    </row>
    <row r="113" spans="1:16" x14ac:dyDescent="0.3">
      <c r="A113" s="2">
        <v>1112</v>
      </c>
      <c r="B113" s="2" t="s">
        <v>247</v>
      </c>
      <c r="C113" s="2" t="s">
        <v>248</v>
      </c>
      <c r="D113" s="2" t="s">
        <v>47</v>
      </c>
      <c r="E113" s="2" t="s">
        <v>15</v>
      </c>
      <c r="F113" s="2" t="s">
        <v>28</v>
      </c>
      <c r="G113" s="2">
        <v>4</v>
      </c>
      <c r="H113" s="2">
        <v>1499</v>
      </c>
      <c r="I113" s="2">
        <v>10</v>
      </c>
      <c r="J113" s="2" t="s">
        <v>17</v>
      </c>
      <c r="K113" s="2" t="s">
        <v>36</v>
      </c>
      <c r="L113" s="2" t="s">
        <v>138</v>
      </c>
      <c r="M113">
        <f t="shared" si="4"/>
        <v>5396.4000000000005</v>
      </c>
      <c r="N113" t="str">
        <f t="shared" si="5"/>
        <v>January</v>
      </c>
      <c r="O113" t="str">
        <f t="shared" si="6"/>
        <v>High</v>
      </c>
      <c r="P113" s="4">
        <f t="shared" ca="1" si="7"/>
        <v>530</v>
      </c>
    </row>
    <row r="114" spans="1:16" x14ac:dyDescent="0.3">
      <c r="A114" s="2">
        <v>1232</v>
      </c>
      <c r="B114" s="2" t="s">
        <v>223</v>
      </c>
      <c r="C114" s="2" t="s">
        <v>249</v>
      </c>
      <c r="D114" s="2" t="s">
        <v>14</v>
      </c>
      <c r="E114" s="2" t="s">
        <v>48</v>
      </c>
      <c r="F114" s="2" t="s">
        <v>49</v>
      </c>
      <c r="G114" s="2">
        <v>6</v>
      </c>
      <c r="H114" s="2">
        <v>1299</v>
      </c>
      <c r="I114" s="2">
        <v>10</v>
      </c>
      <c r="J114" s="2" t="s">
        <v>35</v>
      </c>
      <c r="K114" s="2" t="s">
        <v>44</v>
      </c>
      <c r="L114" s="2" t="s">
        <v>19</v>
      </c>
      <c r="M114">
        <f t="shared" si="4"/>
        <v>7014.6</v>
      </c>
      <c r="N114" t="str">
        <f t="shared" si="5"/>
        <v>April</v>
      </c>
      <c r="O114" t="str">
        <f t="shared" si="6"/>
        <v>High</v>
      </c>
      <c r="P114" s="4">
        <f t="shared" ca="1" si="7"/>
        <v>452</v>
      </c>
    </row>
    <row r="115" spans="1:16" x14ac:dyDescent="0.3">
      <c r="A115" s="2">
        <v>1114</v>
      </c>
      <c r="B115" s="2" t="s">
        <v>250</v>
      </c>
      <c r="C115" s="2" t="s">
        <v>251</v>
      </c>
      <c r="D115" s="2" t="s">
        <v>22</v>
      </c>
      <c r="E115" s="2" t="s">
        <v>15</v>
      </c>
      <c r="F115" s="2" t="s">
        <v>173</v>
      </c>
      <c r="G115" s="2">
        <v>7</v>
      </c>
      <c r="H115" s="2">
        <v>1299</v>
      </c>
      <c r="I115" s="2">
        <v>0</v>
      </c>
      <c r="J115" s="2" t="s">
        <v>26</v>
      </c>
      <c r="K115" s="2" t="s">
        <v>30</v>
      </c>
      <c r="L115" s="2" t="s">
        <v>19</v>
      </c>
      <c r="M115">
        <f t="shared" si="4"/>
        <v>9093</v>
      </c>
      <c r="N115" t="str">
        <f t="shared" si="5"/>
        <v>June</v>
      </c>
      <c r="O115" t="str">
        <f t="shared" si="6"/>
        <v>High</v>
      </c>
      <c r="P115" s="4">
        <f t="shared" ca="1" si="7"/>
        <v>396</v>
      </c>
    </row>
    <row r="116" spans="1:16" x14ac:dyDescent="0.3">
      <c r="A116" s="2">
        <v>1115</v>
      </c>
      <c r="B116" s="2" t="s">
        <v>252</v>
      </c>
      <c r="C116" s="2" t="s">
        <v>114</v>
      </c>
      <c r="D116" s="2" t="s">
        <v>22</v>
      </c>
      <c r="E116" s="2" t="s">
        <v>86</v>
      </c>
      <c r="F116" s="2" t="s">
        <v>34</v>
      </c>
      <c r="G116" s="2">
        <v>8</v>
      </c>
      <c r="H116" s="2">
        <v>599</v>
      </c>
      <c r="I116" s="2">
        <v>0</v>
      </c>
      <c r="J116" s="2" t="s">
        <v>43</v>
      </c>
      <c r="K116" s="2" t="s">
        <v>18</v>
      </c>
      <c r="L116" s="2" t="s">
        <v>224</v>
      </c>
      <c r="M116">
        <f t="shared" si="4"/>
        <v>4792</v>
      </c>
      <c r="N116" t="str">
        <f t="shared" si="5"/>
        <v>September</v>
      </c>
      <c r="O116" t="str">
        <f t="shared" si="6"/>
        <v>Medium</v>
      </c>
      <c r="P116" s="4">
        <f t="shared" ca="1" si="7"/>
        <v>306</v>
      </c>
    </row>
    <row r="117" spans="1:16" x14ac:dyDescent="0.3">
      <c r="A117" s="2">
        <v>1116</v>
      </c>
      <c r="B117" s="2" t="s">
        <v>253</v>
      </c>
      <c r="C117" s="2" t="s">
        <v>254</v>
      </c>
      <c r="D117" s="2" t="s">
        <v>33</v>
      </c>
      <c r="E117" s="2" t="s">
        <v>131</v>
      </c>
      <c r="F117" s="2" t="s">
        <v>97</v>
      </c>
      <c r="G117" s="2">
        <v>8</v>
      </c>
      <c r="H117" s="2">
        <v>4999</v>
      </c>
      <c r="I117" s="2">
        <v>0</v>
      </c>
      <c r="J117" s="2" t="s">
        <v>17</v>
      </c>
      <c r="K117" s="2" t="s">
        <v>44</v>
      </c>
      <c r="L117" s="2" t="s">
        <v>19</v>
      </c>
      <c r="M117">
        <f t="shared" si="4"/>
        <v>39992</v>
      </c>
      <c r="N117" t="str">
        <f t="shared" si="5"/>
        <v>December</v>
      </c>
      <c r="O117" t="str">
        <f t="shared" si="6"/>
        <v>High</v>
      </c>
      <c r="P117" s="4">
        <f t="shared" ca="1" si="7"/>
        <v>194</v>
      </c>
    </row>
    <row r="118" spans="1:16" x14ac:dyDescent="0.3">
      <c r="A118" s="2">
        <v>1117</v>
      </c>
      <c r="B118" s="2" t="s">
        <v>255</v>
      </c>
      <c r="C118" s="2" t="s">
        <v>256</v>
      </c>
      <c r="D118" s="2" t="s">
        <v>47</v>
      </c>
      <c r="E118" s="2" t="s">
        <v>15</v>
      </c>
      <c r="F118" s="2" t="s">
        <v>64</v>
      </c>
      <c r="G118" s="2">
        <v>5</v>
      </c>
      <c r="H118" s="2">
        <v>1999</v>
      </c>
      <c r="I118" s="2">
        <v>10</v>
      </c>
      <c r="J118" s="2" t="s">
        <v>61</v>
      </c>
      <c r="K118" s="2" t="s">
        <v>18</v>
      </c>
      <c r="L118" s="2" t="s">
        <v>138</v>
      </c>
      <c r="M118">
        <f t="shared" si="4"/>
        <v>8995.5</v>
      </c>
      <c r="N118" t="str">
        <f t="shared" si="5"/>
        <v>December</v>
      </c>
      <c r="O118" t="str">
        <f t="shared" si="6"/>
        <v>High</v>
      </c>
      <c r="P118" s="4">
        <f t="shared" ca="1" si="7"/>
        <v>211</v>
      </c>
    </row>
    <row r="119" spans="1:16" x14ac:dyDescent="0.3">
      <c r="A119" s="2">
        <v>1118</v>
      </c>
      <c r="B119" s="2" t="s">
        <v>257</v>
      </c>
      <c r="C119" s="2" t="s">
        <v>258</v>
      </c>
      <c r="D119" s="2" t="s">
        <v>33</v>
      </c>
      <c r="E119" s="2" t="s">
        <v>48</v>
      </c>
      <c r="F119" s="2" t="s">
        <v>94</v>
      </c>
      <c r="G119" s="2">
        <v>1</v>
      </c>
      <c r="H119" s="2">
        <v>199</v>
      </c>
      <c r="I119" s="2">
        <v>0</v>
      </c>
      <c r="J119" s="2" t="s">
        <v>17</v>
      </c>
      <c r="K119" s="2" t="s">
        <v>406</v>
      </c>
      <c r="L119" s="2" t="s">
        <v>19</v>
      </c>
      <c r="M119">
        <f t="shared" si="4"/>
        <v>199</v>
      </c>
      <c r="N119" t="str">
        <f t="shared" si="5"/>
        <v>February</v>
      </c>
      <c r="O119" t="str">
        <f t="shared" si="6"/>
        <v>Low</v>
      </c>
      <c r="P119" s="4">
        <f t="shared" ca="1" si="7"/>
        <v>515</v>
      </c>
    </row>
    <row r="120" spans="1:16" x14ac:dyDescent="0.3">
      <c r="A120" s="2">
        <v>1119</v>
      </c>
      <c r="B120" s="2" t="s">
        <v>259</v>
      </c>
      <c r="C120" s="2" t="s">
        <v>222</v>
      </c>
      <c r="D120" s="2" t="s">
        <v>47</v>
      </c>
      <c r="E120" s="2" t="s">
        <v>86</v>
      </c>
      <c r="F120" s="2" t="s">
        <v>87</v>
      </c>
      <c r="G120" s="2">
        <v>1</v>
      </c>
      <c r="H120" s="2">
        <v>599</v>
      </c>
      <c r="I120" s="2">
        <v>10</v>
      </c>
      <c r="J120" s="2" t="s">
        <v>17</v>
      </c>
      <c r="K120" s="2" t="s">
        <v>68</v>
      </c>
      <c r="L120" s="2" t="s">
        <v>19</v>
      </c>
      <c r="M120">
        <f t="shared" si="4"/>
        <v>539.1</v>
      </c>
      <c r="N120" t="str">
        <f t="shared" si="5"/>
        <v>April</v>
      </c>
      <c r="O120" t="str">
        <f t="shared" si="6"/>
        <v>Low</v>
      </c>
      <c r="P120" s="4">
        <f t="shared" ca="1" si="7"/>
        <v>439</v>
      </c>
    </row>
    <row r="121" spans="1:16" x14ac:dyDescent="0.3">
      <c r="A121" s="2">
        <v>1120</v>
      </c>
      <c r="B121" s="2" t="s">
        <v>260</v>
      </c>
      <c r="C121" s="2" t="s">
        <v>261</v>
      </c>
      <c r="D121" s="2" t="s">
        <v>22</v>
      </c>
      <c r="E121" s="2" t="s">
        <v>131</v>
      </c>
      <c r="F121" s="2" t="s">
        <v>262</v>
      </c>
      <c r="G121" s="2">
        <v>1</v>
      </c>
      <c r="H121" s="2">
        <v>349</v>
      </c>
      <c r="I121" s="2">
        <v>15</v>
      </c>
      <c r="J121" s="2" t="s">
        <v>26</v>
      </c>
      <c r="K121" s="2" t="s">
        <v>18</v>
      </c>
      <c r="L121" s="2" t="s">
        <v>19</v>
      </c>
      <c r="M121">
        <f t="shared" si="4"/>
        <v>296.64999999999998</v>
      </c>
      <c r="N121" t="str">
        <f t="shared" si="5"/>
        <v>October</v>
      </c>
      <c r="O121" t="str">
        <f t="shared" si="6"/>
        <v>Low</v>
      </c>
      <c r="P121" s="4">
        <f t="shared" ca="1" si="7"/>
        <v>266</v>
      </c>
    </row>
    <row r="122" spans="1:16" x14ac:dyDescent="0.3">
      <c r="A122" s="2">
        <v>1121</v>
      </c>
      <c r="B122" s="2" t="s">
        <v>263</v>
      </c>
      <c r="C122" s="2" t="s">
        <v>264</v>
      </c>
      <c r="D122" s="2" t="s">
        <v>33</v>
      </c>
      <c r="E122" s="2" t="s">
        <v>15</v>
      </c>
      <c r="F122" s="2" t="s">
        <v>16</v>
      </c>
      <c r="G122" s="2">
        <v>5</v>
      </c>
      <c r="H122" s="2">
        <v>899</v>
      </c>
      <c r="I122" s="2">
        <v>0</v>
      </c>
      <c r="J122" s="2" t="s">
        <v>17</v>
      </c>
      <c r="K122" s="2" t="s">
        <v>30</v>
      </c>
      <c r="L122" s="2" t="s">
        <v>19</v>
      </c>
      <c r="M122">
        <f t="shared" si="4"/>
        <v>4495</v>
      </c>
      <c r="N122" t="str">
        <f t="shared" si="5"/>
        <v>August</v>
      </c>
      <c r="O122" t="str">
        <f t="shared" si="6"/>
        <v>Medium</v>
      </c>
      <c r="P122" s="4">
        <f t="shared" ca="1" si="7"/>
        <v>326</v>
      </c>
    </row>
    <row r="123" spans="1:16" x14ac:dyDescent="0.3">
      <c r="A123" s="2">
        <v>1122</v>
      </c>
      <c r="B123" s="2" t="s">
        <v>265</v>
      </c>
      <c r="C123" s="2" t="s">
        <v>266</v>
      </c>
      <c r="D123" s="2" t="s">
        <v>47</v>
      </c>
      <c r="E123" s="2" t="s">
        <v>131</v>
      </c>
      <c r="F123" s="2" t="s">
        <v>90</v>
      </c>
      <c r="G123" s="2">
        <v>8</v>
      </c>
      <c r="H123" s="2">
        <v>2999</v>
      </c>
      <c r="I123" s="2">
        <v>0</v>
      </c>
      <c r="J123" s="2" t="s">
        <v>17</v>
      </c>
      <c r="K123" s="2" t="s">
        <v>18</v>
      </c>
      <c r="L123" s="2" t="s">
        <v>19</v>
      </c>
      <c r="M123">
        <f t="shared" si="4"/>
        <v>23992</v>
      </c>
      <c r="N123" t="str">
        <f t="shared" si="5"/>
        <v>June</v>
      </c>
      <c r="O123" t="str">
        <f t="shared" si="6"/>
        <v>High</v>
      </c>
      <c r="P123" s="4">
        <f t="shared" ca="1" si="7"/>
        <v>399</v>
      </c>
    </row>
    <row r="124" spans="1:16" x14ac:dyDescent="0.3">
      <c r="A124" s="2">
        <v>1123</v>
      </c>
      <c r="B124" s="2" t="s">
        <v>267</v>
      </c>
      <c r="C124" s="2" t="s">
        <v>46</v>
      </c>
      <c r="D124" s="2" t="s">
        <v>22</v>
      </c>
      <c r="E124" s="2" t="s">
        <v>48</v>
      </c>
      <c r="F124" s="2" t="s">
        <v>60</v>
      </c>
      <c r="G124" s="2">
        <v>5</v>
      </c>
      <c r="H124" s="2">
        <v>1299</v>
      </c>
      <c r="I124" s="2">
        <v>10</v>
      </c>
      <c r="J124" s="2" t="s">
        <v>61</v>
      </c>
      <c r="K124" s="2" t="s">
        <v>36</v>
      </c>
      <c r="L124" s="2" t="s">
        <v>19</v>
      </c>
      <c r="M124">
        <f t="shared" si="4"/>
        <v>5845.5</v>
      </c>
      <c r="N124" t="str">
        <f t="shared" si="5"/>
        <v>February</v>
      </c>
      <c r="O124" t="str">
        <f t="shared" si="6"/>
        <v>High</v>
      </c>
      <c r="P124" s="4">
        <f t="shared" ca="1" si="7"/>
        <v>513</v>
      </c>
    </row>
    <row r="125" spans="1:16" x14ac:dyDescent="0.3">
      <c r="A125" s="2">
        <v>1124</v>
      </c>
      <c r="B125" s="2" t="s">
        <v>268</v>
      </c>
      <c r="C125" s="2" t="s">
        <v>269</v>
      </c>
      <c r="D125" s="2" t="s">
        <v>47</v>
      </c>
      <c r="E125" s="2" t="s">
        <v>86</v>
      </c>
      <c r="F125" s="2" t="s">
        <v>153</v>
      </c>
      <c r="G125" s="2">
        <v>6</v>
      </c>
      <c r="H125" s="2">
        <v>2499</v>
      </c>
      <c r="I125" s="2">
        <v>10</v>
      </c>
      <c r="J125" s="2" t="s">
        <v>61</v>
      </c>
      <c r="K125" s="2" t="s">
        <v>30</v>
      </c>
      <c r="L125" s="2" t="s">
        <v>83</v>
      </c>
      <c r="M125">
        <f t="shared" si="4"/>
        <v>13494.6</v>
      </c>
      <c r="N125" t="str">
        <f t="shared" si="5"/>
        <v>November</v>
      </c>
      <c r="O125" t="str">
        <f t="shared" si="6"/>
        <v>High</v>
      </c>
      <c r="P125" s="4">
        <f t="shared" ca="1" si="7"/>
        <v>236</v>
      </c>
    </row>
    <row r="126" spans="1:16" x14ac:dyDescent="0.3">
      <c r="A126" s="2">
        <v>1125</v>
      </c>
      <c r="B126" s="2" t="s">
        <v>270</v>
      </c>
      <c r="C126" s="2" t="s">
        <v>194</v>
      </c>
      <c r="D126" s="2" t="s">
        <v>33</v>
      </c>
      <c r="E126" s="2" t="s">
        <v>86</v>
      </c>
      <c r="F126" s="2" t="s">
        <v>153</v>
      </c>
      <c r="G126" s="2">
        <v>4</v>
      </c>
      <c r="H126" s="2">
        <v>1499</v>
      </c>
      <c r="I126" s="2">
        <v>15</v>
      </c>
      <c r="J126" s="2" t="s">
        <v>35</v>
      </c>
      <c r="K126" s="2" t="s">
        <v>406</v>
      </c>
      <c r="L126" s="2" t="s">
        <v>19</v>
      </c>
      <c r="M126">
        <f t="shared" si="4"/>
        <v>5096.5999999999995</v>
      </c>
      <c r="N126" t="str">
        <f t="shared" si="5"/>
        <v>April</v>
      </c>
      <c r="O126" t="str">
        <f t="shared" si="6"/>
        <v>High</v>
      </c>
      <c r="P126" s="4">
        <f t="shared" ca="1" si="7"/>
        <v>454</v>
      </c>
    </row>
    <row r="127" spans="1:16" x14ac:dyDescent="0.3">
      <c r="A127" s="2">
        <v>1126</v>
      </c>
      <c r="B127" s="2" t="s">
        <v>271</v>
      </c>
      <c r="C127" s="2" t="s">
        <v>269</v>
      </c>
      <c r="D127" s="2" t="s">
        <v>14</v>
      </c>
      <c r="E127" s="2" t="s">
        <v>131</v>
      </c>
      <c r="F127" s="2" t="s">
        <v>90</v>
      </c>
      <c r="G127" s="2">
        <v>3</v>
      </c>
      <c r="H127" s="2">
        <v>1299</v>
      </c>
      <c r="I127" s="2">
        <v>5</v>
      </c>
      <c r="J127" s="2" t="s">
        <v>35</v>
      </c>
      <c r="K127" s="2" t="s">
        <v>68</v>
      </c>
      <c r="L127" s="2" t="s">
        <v>19</v>
      </c>
      <c r="M127">
        <f t="shared" si="4"/>
        <v>3702.1499999999996</v>
      </c>
      <c r="N127" t="str">
        <f t="shared" si="5"/>
        <v>August</v>
      </c>
      <c r="O127" t="str">
        <f t="shared" si="6"/>
        <v>Medium</v>
      </c>
      <c r="P127" s="4">
        <f t="shared" ca="1" si="7"/>
        <v>320</v>
      </c>
    </row>
    <row r="128" spans="1:16" x14ac:dyDescent="0.3">
      <c r="A128" s="2">
        <v>1127</v>
      </c>
      <c r="B128" s="2" t="s">
        <v>225</v>
      </c>
      <c r="C128" s="2" t="s">
        <v>272</v>
      </c>
      <c r="D128" s="2" t="s">
        <v>47</v>
      </c>
      <c r="E128" s="2" t="s">
        <v>15</v>
      </c>
      <c r="F128" s="2" t="s">
        <v>57</v>
      </c>
      <c r="G128" s="2">
        <v>1</v>
      </c>
      <c r="H128" s="2">
        <v>2499</v>
      </c>
      <c r="I128" s="2">
        <v>10</v>
      </c>
      <c r="J128" s="2" t="s">
        <v>61</v>
      </c>
      <c r="K128" s="2" t="s">
        <v>18</v>
      </c>
      <c r="L128" s="2" t="s">
        <v>19</v>
      </c>
      <c r="M128">
        <f t="shared" si="4"/>
        <v>2249.1</v>
      </c>
      <c r="N128" t="str">
        <f t="shared" si="5"/>
        <v>December</v>
      </c>
      <c r="O128" t="str">
        <f t="shared" si="6"/>
        <v>Medium</v>
      </c>
      <c r="P128" s="4">
        <f t="shared" ca="1" si="7"/>
        <v>202</v>
      </c>
    </row>
    <row r="129" spans="1:16" x14ac:dyDescent="0.3">
      <c r="A129" s="2">
        <v>1128</v>
      </c>
      <c r="B129" s="2" t="s">
        <v>239</v>
      </c>
      <c r="C129" s="2" t="s">
        <v>273</v>
      </c>
      <c r="D129" s="2" t="s">
        <v>93</v>
      </c>
      <c r="E129" s="2" t="s">
        <v>131</v>
      </c>
      <c r="F129" s="2" t="s">
        <v>134</v>
      </c>
      <c r="G129" s="2">
        <v>5</v>
      </c>
      <c r="H129" s="2">
        <v>2999</v>
      </c>
      <c r="I129" s="2">
        <v>0</v>
      </c>
      <c r="J129" s="2" t="s">
        <v>17</v>
      </c>
      <c r="K129" s="2" t="s">
        <v>36</v>
      </c>
      <c r="L129" s="2" t="s">
        <v>19</v>
      </c>
      <c r="M129">
        <f t="shared" si="4"/>
        <v>14995</v>
      </c>
      <c r="N129" t="str">
        <f t="shared" si="5"/>
        <v>July</v>
      </c>
      <c r="O129" t="str">
        <f t="shared" si="6"/>
        <v>High</v>
      </c>
      <c r="P129" s="4">
        <f t="shared" ca="1" si="7"/>
        <v>365</v>
      </c>
    </row>
    <row r="130" spans="1:16" x14ac:dyDescent="0.3">
      <c r="A130" s="2">
        <v>1129</v>
      </c>
      <c r="B130" s="2" t="s">
        <v>274</v>
      </c>
      <c r="C130" s="2" t="s">
        <v>185</v>
      </c>
      <c r="D130" s="2" t="s">
        <v>14</v>
      </c>
      <c r="E130" s="2" t="s">
        <v>131</v>
      </c>
      <c r="F130" s="2" t="s">
        <v>262</v>
      </c>
      <c r="G130" s="2">
        <v>2</v>
      </c>
      <c r="H130" s="2">
        <v>599</v>
      </c>
      <c r="I130" s="2">
        <v>5</v>
      </c>
      <c r="J130" s="2" t="s">
        <v>43</v>
      </c>
      <c r="K130" s="2" t="s">
        <v>68</v>
      </c>
      <c r="L130" s="2" t="s">
        <v>19</v>
      </c>
      <c r="M130">
        <f t="shared" si="4"/>
        <v>1138.0999999999999</v>
      </c>
      <c r="N130" t="str">
        <f t="shared" si="5"/>
        <v>December</v>
      </c>
      <c r="O130" t="str">
        <f t="shared" si="6"/>
        <v>Low</v>
      </c>
      <c r="P130" s="4">
        <f t="shared" ca="1" si="7"/>
        <v>200</v>
      </c>
    </row>
    <row r="131" spans="1:16" x14ac:dyDescent="0.3">
      <c r="A131" s="2">
        <v>1130</v>
      </c>
      <c r="B131" s="2" t="s">
        <v>275</v>
      </c>
      <c r="C131" s="2" t="s">
        <v>276</v>
      </c>
      <c r="D131" s="2" t="s">
        <v>47</v>
      </c>
      <c r="E131" s="2" t="s">
        <v>48</v>
      </c>
      <c r="F131" s="2" t="s">
        <v>94</v>
      </c>
      <c r="G131" s="2">
        <v>7</v>
      </c>
      <c r="H131" s="2">
        <v>199</v>
      </c>
      <c r="I131" s="2">
        <v>5</v>
      </c>
      <c r="J131" s="2" t="s">
        <v>26</v>
      </c>
      <c r="K131" s="2" t="s">
        <v>30</v>
      </c>
      <c r="L131" s="2" t="s">
        <v>19</v>
      </c>
      <c r="M131">
        <f t="shared" ref="M131:M194" si="8">G131*H131*(1-I131/100)</f>
        <v>1323.35</v>
      </c>
      <c r="N131" t="str">
        <f t="shared" ref="N131:N194" si="9">TEXT(B131,"mmmm")</f>
        <v>November</v>
      </c>
      <c r="O131" t="str">
        <f t="shared" ref="O131:O194" si="10">IF(M131&gt;5000,"High", IF(M131&gt;1500,"Medium","Low") )</f>
        <v>Low</v>
      </c>
      <c r="P131" s="4">
        <f t="shared" ref="P131:P194" ca="1" si="11">TODAY()-B131</f>
        <v>229</v>
      </c>
    </row>
    <row r="132" spans="1:16" x14ac:dyDescent="0.3">
      <c r="A132" s="2">
        <v>1131</v>
      </c>
      <c r="B132" s="2" t="s">
        <v>277</v>
      </c>
      <c r="C132" s="2" t="s">
        <v>188</v>
      </c>
      <c r="D132" s="2" t="s">
        <v>39</v>
      </c>
      <c r="E132" s="2" t="s">
        <v>48</v>
      </c>
      <c r="F132" s="2" t="s">
        <v>206</v>
      </c>
      <c r="G132" s="2">
        <v>6</v>
      </c>
      <c r="H132" s="2">
        <v>1999</v>
      </c>
      <c r="I132" s="2">
        <v>20</v>
      </c>
      <c r="J132" s="2" t="s">
        <v>43</v>
      </c>
      <c r="K132" s="2" t="s">
        <v>68</v>
      </c>
      <c r="L132" s="2" t="s">
        <v>19</v>
      </c>
      <c r="M132">
        <f t="shared" si="8"/>
        <v>9595.2000000000007</v>
      </c>
      <c r="N132" t="str">
        <f t="shared" si="9"/>
        <v>December</v>
      </c>
      <c r="O132" t="str">
        <f t="shared" si="10"/>
        <v>High</v>
      </c>
      <c r="P132" s="4">
        <f t="shared" ca="1" si="11"/>
        <v>213</v>
      </c>
    </row>
    <row r="133" spans="1:16" x14ac:dyDescent="0.3">
      <c r="A133" s="2">
        <v>1132</v>
      </c>
      <c r="B133" s="2" t="s">
        <v>278</v>
      </c>
      <c r="C133" s="2" t="s">
        <v>279</v>
      </c>
      <c r="D133" s="2" t="s">
        <v>22</v>
      </c>
      <c r="E133" s="2" t="s">
        <v>48</v>
      </c>
      <c r="F133" s="2" t="s">
        <v>49</v>
      </c>
      <c r="G133" s="2">
        <v>3</v>
      </c>
      <c r="H133" s="2">
        <v>2499</v>
      </c>
      <c r="I133" s="2">
        <v>15</v>
      </c>
      <c r="J133" s="2" t="s">
        <v>26</v>
      </c>
      <c r="K133" s="2" t="s">
        <v>406</v>
      </c>
      <c r="L133" s="2" t="s">
        <v>19</v>
      </c>
      <c r="M133">
        <f t="shared" si="8"/>
        <v>6372.45</v>
      </c>
      <c r="N133" t="str">
        <f t="shared" si="9"/>
        <v>June</v>
      </c>
      <c r="O133" t="str">
        <f t="shared" si="10"/>
        <v>High</v>
      </c>
      <c r="P133" s="4">
        <f t="shared" ca="1" si="11"/>
        <v>400</v>
      </c>
    </row>
    <row r="134" spans="1:16" x14ac:dyDescent="0.3">
      <c r="A134" s="2">
        <v>1133</v>
      </c>
      <c r="B134" s="2" t="s">
        <v>280</v>
      </c>
      <c r="C134" s="2" t="s">
        <v>70</v>
      </c>
      <c r="D134" s="2" t="s">
        <v>47</v>
      </c>
      <c r="E134" s="2" t="s">
        <v>131</v>
      </c>
      <c r="F134" s="2" t="s">
        <v>80</v>
      </c>
      <c r="G134" s="2">
        <v>4</v>
      </c>
      <c r="H134" s="2">
        <v>2499</v>
      </c>
      <c r="I134" s="2">
        <v>20</v>
      </c>
      <c r="J134" s="2" t="s">
        <v>61</v>
      </c>
      <c r="K134" s="2" t="s">
        <v>406</v>
      </c>
      <c r="L134" s="2" t="s">
        <v>19</v>
      </c>
      <c r="M134">
        <f t="shared" si="8"/>
        <v>7996.8</v>
      </c>
      <c r="N134" t="str">
        <f t="shared" si="9"/>
        <v>April</v>
      </c>
      <c r="O134" t="str">
        <f t="shared" si="10"/>
        <v>High</v>
      </c>
      <c r="P134" s="4">
        <f t="shared" ca="1" si="11"/>
        <v>461</v>
      </c>
    </row>
    <row r="135" spans="1:16" x14ac:dyDescent="0.3">
      <c r="A135" s="2">
        <v>1134</v>
      </c>
      <c r="B135" s="2" t="s">
        <v>281</v>
      </c>
      <c r="C135" s="2" t="s">
        <v>249</v>
      </c>
      <c r="D135" s="2" t="s">
        <v>14</v>
      </c>
      <c r="E135" s="2" t="s">
        <v>48</v>
      </c>
      <c r="F135" s="2" t="s">
        <v>94</v>
      </c>
      <c r="G135" s="2">
        <v>2</v>
      </c>
      <c r="H135" s="2">
        <v>349</v>
      </c>
      <c r="I135" s="2">
        <v>10</v>
      </c>
      <c r="J135" s="2" t="s">
        <v>43</v>
      </c>
      <c r="K135" s="2" t="s">
        <v>30</v>
      </c>
      <c r="L135" s="2" t="s">
        <v>83</v>
      </c>
      <c r="M135">
        <f t="shared" si="8"/>
        <v>628.20000000000005</v>
      </c>
      <c r="N135" t="str">
        <f t="shared" si="9"/>
        <v>January</v>
      </c>
      <c r="O135" t="str">
        <f t="shared" si="10"/>
        <v>Low</v>
      </c>
      <c r="P135" s="4">
        <f t="shared" ca="1" si="11"/>
        <v>540</v>
      </c>
    </row>
    <row r="136" spans="1:16" x14ac:dyDescent="0.3">
      <c r="A136" s="2">
        <v>1135</v>
      </c>
      <c r="B136" s="2" t="s">
        <v>282</v>
      </c>
      <c r="C136" s="2" t="s">
        <v>283</v>
      </c>
      <c r="D136" s="2" t="s">
        <v>14</v>
      </c>
      <c r="E136" s="2" t="s">
        <v>131</v>
      </c>
      <c r="F136" s="2" t="s">
        <v>134</v>
      </c>
      <c r="G136" s="2">
        <v>4</v>
      </c>
      <c r="H136" s="2">
        <v>699</v>
      </c>
      <c r="I136" s="2">
        <v>10</v>
      </c>
      <c r="J136" s="2" t="s">
        <v>29</v>
      </c>
      <c r="K136" s="2" t="s">
        <v>44</v>
      </c>
      <c r="L136" s="2" t="s">
        <v>19</v>
      </c>
      <c r="M136">
        <f t="shared" si="8"/>
        <v>2516.4</v>
      </c>
      <c r="N136" t="str">
        <f t="shared" si="9"/>
        <v>May</v>
      </c>
      <c r="O136" t="str">
        <f t="shared" si="10"/>
        <v>Medium</v>
      </c>
      <c r="P136" s="4">
        <f t="shared" ca="1" si="11"/>
        <v>430</v>
      </c>
    </row>
    <row r="137" spans="1:16" x14ac:dyDescent="0.3">
      <c r="A137" s="2">
        <v>1136</v>
      </c>
      <c r="B137" s="2" t="s">
        <v>284</v>
      </c>
      <c r="C137" s="2" t="s">
        <v>279</v>
      </c>
      <c r="D137" s="2" t="s">
        <v>14</v>
      </c>
      <c r="E137" s="2" t="s">
        <v>71</v>
      </c>
      <c r="F137" s="2" t="s">
        <v>72</v>
      </c>
      <c r="G137" s="2">
        <v>2</v>
      </c>
      <c r="H137" s="2">
        <v>499</v>
      </c>
      <c r="I137" s="2">
        <v>15</v>
      </c>
      <c r="J137" s="2" t="s">
        <v>17</v>
      </c>
      <c r="K137" s="2" t="s">
        <v>30</v>
      </c>
      <c r="L137" s="2" t="s">
        <v>19</v>
      </c>
      <c r="M137">
        <f t="shared" si="8"/>
        <v>848.3</v>
      </c>
      <c r="N137" t="str">
        <f t="shared" si="9"/>
        <v>May</v>
      </c>
      <c r="O137" t="str">
        <f t="shared" si="10"/>
        <v>Low</v>
      </c>
      <c r="P137" s="4">
        <f t="shared" ca="1" si="11"/>
        <v>413</v>
      </c>
    </row>
    <row r="138" spans="1:16" x14ac:dyDescent="0.3">
      <c r="A138" s="2">
        <v>1137</v>
      </c>
      <c r="B138" s="2" t="s">
        <v>285</v>
      </c>
      <c r="C138" s="2" t="s">
        <v>158</v>
      </c>
      <c r="D138" s="2" t="s">
        <v>14</v>
      </c>
      <c r="E138" s="2" t="s">
        <v>48</v>
      </c>
      <c r="F138" s="2" t="s">
        <v>94</v>
      </c>
      <c r="G138" s="2">
        <v>2</v>
      </c>
      <c r="H138" s="2">
        <v>299</v>
      </c>
      <c r="I138" s="2">
        <v>15</v>
      </c>
      <c r="J138" s="2" t="s">
        <v>43</v>
      </c>
      <c r="K138" s="2" t="s">
        <v>30</v>
      </c>
      <c r="L138" s="2" t="s">
        <v>19</v>
      </c>
      <c r="M138">
        <f t="shared" si="8"/>
        <v>508.3</v>
      </c>
      <c r="N138" t="str">
        <f t="shared" si="9"/>
        <v>July</v>
      </c>
      <c r="O138" t="str">
        <f t="shared" si="10"/>
        <v>Low</v>
      </c>
      <c r="P138" s="4">
        <f t="shared" ca="1" si="11"/>
        <v>355</v>
      </c>
    </row>
    <row r="139" spans="1:16" x14ac:dyDescent="0.3">
      <c r="A139" s="2">
        <v>1138</v>
      </c>
      <c r="B139" s="2" t="s">
        <v>286</v>
      </c>
      <c r="C139" s="2" t="s">
        <v>197</v>
      </c>
      <c r="D139" s="2" t="s">
        <v>33</v>
      </c>
      <c r="E139" s="2" t="s">
        <v>48</v>
      </c>
      <c r="F139" s="2" t="s">
        <v>94</v>
      </c>
      <c r="G139" s="2">
        <v>5</v>
      </c>
      <c r="H139" s="2">
        <v>1499</v>
      </c>
      <c r="I139" s="2">
        <v>0</v>
      </c>
      <c r="J139" s="2" t="s">
        <v>35</v>
      </c>
      <c r="K139" s="2" t="s">
        <v>44</v>
      </c>
      <c r="L139" s="2" t="s">
        <v>19</v>
      </c>
      <c r="M139">
        <f t="shared" si="8"/>
        <v>7495</v>
      </c>
      <c r="N139" t="str">
        <f t="shared" si="9"/>
        <v>August</v>
      </c>
      <c r="O139" t="str">
        <f t="shared" si="10"/>
        <v>High</v>
      </c>
      <c r="P139" s="4">
        <f t="shared" ca="1" si="11"/>
        <v>322</v>
      </c>
    </row>
    <row r="140" spans="1:16" x14ac:dyDescent="0.3">
      <c r="A140" s="2">
        <v>1139</v>
      </c>
      <c r="B140" s="2" t="s">
        <v>287</v>
      </c>
      <c r="C140" s="2" t="s">
        <v>109</v>
      </c>
      <c r="D140" s="2" t="s">
        <v>33</v>
      </c>
      <c r="E140" s="2" t="s">
        <v>131</v>
      </c>
      <c r="F140" s="2" t="s">
        <v>80</v>
      </c>
      <c r="G140" s="2">
        <v>3</v>
      </c>
      <c r="H140" s="2">
        <v>1299</v>
      </c>
      <c r="I140" s="2">
        <v>0</v>
      </c>
      <c r="J140" s="2" t="s">
        <v>35</v>
      </c>
      <c r="K140" s="2" t="s">
        <v>18</v>
      </c>
      <c r="L140" s="2" t="s">
        <v>19</v>
      </c>
      <c r="M140">
        <f t="shared" si="8"/>
        <v>3897</v>
      </c>
      <c r="N140" t="str">
        <f t="shared" si="9"/>
        <v>August</v>
      </c>
      <c r="O140" t="str">
        <f t="shared" si="10"/>
        <v>Medium</v>
      </c>
      <c r="P140" s="4">
        <f t="shared" ca="1" si="11"/>
        <v>321</v>
      </c>
    </row>
    <row r="141" spans="1:16" x14ac:dyDescent="0.3">
      <c r="A141" s="2">
        <v>1140</v>
      </c>
      <c r="B141" s="2" t="s">
        <v>288</v>
      </c>
      <c r="C141" s="2" t="s">
        <v>112</v>
      </c>
      <c r="D141" s="2" t="s">
        <v>47</v>
      </c>
      <c r="E141" s="2" t="s">
        <v>131</v>
      </c>
      <c r="F141" s="2" t="s">
        <v>90</v>
      </c>
      <c r="G141" s="2">
        <v>2</v>
      </c>
      <c r="H141" s="2">
        <v>499</v>
      </c>
      <c r="I141" s="2">
        <v>5</v>
      </c>
      <c r="J141" s="2" t="s">
        <v>43</v>
      </c>
      <c r="K141" s="2" t="s">
        <v>406</v>
      </c>
      <c r="L141" s="2" t="s">
        <v>19</v>
      </c>
      <c r="M141">
        <f t="shared" si="8"/>
        <v>948.09999999999991</v>
      </c>
      <c r="N141" t="str">
        <f t="shared" si="9"/>
        <v>December</v>
      </c>
      <c r="O141" t="str">
        <f t="shared" si="10"/>
        <v>Low</v>
      </c>
      <c r="P141" s="4">
        <f t="shared" ca="1" si="11"/>
        <v>198</v>
      </c>
    </row>
    <row r="142" spans="1:16" x14ac:dyDescent="0.3">
      <c r="A142" s="2">
        <v>1141</v>
      </c>
      <c r="B142" s="2" t="s">
        <v>289</v>
      </c>
      <c r="C142" s="2" t="s">
        <v>407</v>
      </c>
      <c r="D142" s="2" t="s">
        <v>47</v>
      </c>
      <c r="E142" s="2" t="s">
        <v>86</v>
      </c>
      <c r="F142" s="2" t="s">
        <v>77</v>
      </c>
      <c r="G142" s="2">
        <v>3</v>
      </c>
      <c r="H142" s="2">
        <v>2499</v>
      </c>
      <c r="I142" s="2">
        <v>0</v>
      </c>
      <c r="J142" s="2" t="s">
        <v>29</v>
      </c>
      <c r="K142" s="2" t="s">
        <v>36</v>
      </c>
      <c r="L142" s="2" t="s">
        <v>19</v>
      </c>
      <c r="M142">
        <f t="shared" si="8"/>
        <v>7497</v>
      </c>
      <c r="N142" t="str">
        <f t="shared" si="9"/>
        <v>April</v>
      </c>
      <c r="O142" t="str">
        <f t="shared" si="10"/>
        <v>High</v>
      </c>
      <c r="P142" s="4">
        <f t="shared" ca="1" si="11"/>
        <v>439</v>
      </c>
    </row>
    <row r="143" spans="1:16" x14ac:dyDescent="0.3">
      <c r="A143" s="2">
        <v>1142</v>
      </c>
      <c r="B143" s="2" t="s">
        <v>290</v>
      </c>
      <c r="C143" s="2" t="s">
        <v>205</v>
      </c>
      <c r="D143" s="2" t="s">
        <v>47</v>
      </c>
      <c r="E143" s="2" t="s">
        <v>15</v>
      </c>
      <c r="F143" s="2" t="s">
        <v>64</v>
      </c>
      <c r="G143" s="2">
        <v>7</v>
      </c>
      <c r="H143" s="2">
        <v>1999</v>
      </c>
      <c r="I143" s="2">
        <v>15</v>
      </c>
      <c r="J143" s="2" t="s">
        <v>35</v>
      </c>
      <c r="K143" s="2" t="s">
        <v>36</v>
      </c>
      <c r="L143" s="2" t="s">
        <v>19</v>
      </c>
      <c r="M143">
        <f t="shared" si="8"/>
        <v>11894.05</v>
      </c>
      <c r="N143" t="str">
        <f t="shared" si="9"/>
        <v>March</v>
      </c>
      <c r="O143" t="str">
        <f t="shared" si="10"/>
        <v>High</v>
      </c>
      <c r="P143" s="4">
        <f t="shared" ca="1" si="11"/>
        <v>479</v>
      </c>
    </row>
    <row r="144" spans="1:16" x14ac:dyDescent="0.3">
      <c r="A144" s="2">
        <v>1143</v>
      </c>
      <c r="B144" s="2" t="s">
        <v>117</v>
      </c>
      <c r="C144" s="2" t="s">
        <v>291</v>
      </c>
      <c r="D144" s="2" t="s">
        <v>22</v>
      </c>
      <c r="E144" s="2" t="s">
        <v>48</v>
      </c>
      <c r="F144" s="2" t="s">
        <v>206</v>
      </c>
      <c r="G144" s="2">
        <v>4</v>
      </c>
      <c r="H144" s="2">
        <v>1488</v>
      </c>
      <c r="I144" s="2">
        <v>15</v>
      </c>
      <c r="J144" s="2" t="s">
        <v>17</v>
      </c>
      <c r="K144" s="2" t="s">
        <v>36</v>
      </c>
      <c r="L144" s="2" t="s">
        <v>19</v>
      </c>
      <c r="M144">
        <f t="shared" si="8"/>
        <v>5059.2</v>
      </c>
      <c r="N144" t="str">
        <f t="shared" si="9"/>
        <v>December</v>
      </c>
      <c r="O144" t="str">
        <f t="shared" si="10"/>
        <v>High</v>
      </c>
      <c r="P144" s="4">
        <f t="shared" ca="1" si="11"/>
        <v>203</v>
      </c>
    </row>
    <row r="145" spans="1:16" x14ac:dyDescent="0.3">
      <c r="A145" s="2">
        <v>1144</v>
      </c>
      <c r="B145" s="2" t="s">
        <v>292</v>
      </c>
      <c r="C145" s="2" t="s">
        <v>293</v>
      </c>
      <c r="D145" s="2" t="s">
        <v>93</v>
      </c>
      <c r="E145" s="2" t="s">
        <v>131</v>
      </c>
      <c r="F145" s="2" t="s">
        <v>97</v>
      </c>
      <c r="G145" s="2">
        <v>2</v>
      </c>
      <c r="H145" s="2">
        <v>199</v>
      </c>
      <c r="I145" s="2">
        <v>10</v>
      </c>
      <c r="J145" s="2" t="s">
        <v>26</v>
      </c>
      <c r="K145" s="2" t="s">
        <v>18</v>
      </c>
      <c r="L145" s="2" t="s">
        <v>224</v>
      </c>
      <c r="M145">
        <f t="shared" si="8"/>
        <v>358.2</v>
      </c>
      <c r="N145" t="str">
        <f t="shared" si="9"/>
        <v>July</v>
      </c>
      <c r="O145" t="str">
        <f t="shared" si="10"/>
        <v>Low</v>
      </c>
      <c r="P145" s="4">
        <f t="shared" ca="1" si="11"/>
        <v>358</v>
      </c>
    </row>
    <row r="146" spans="1:16" x14ac:dyDescent="0.3">
      <c r="A146" s="2">
        <v>1145</v>
      </c>
      <c r="B146" s="2" t="s">
        <v>167</v>
      </c>
      <c r="C146" s="2" t="s">
        <v>294</v>
      </c>
      <c r="D146" s="2" t="s">
        <v>47</v>
      </c>
      <c r="E146" s="2" t="s">
        <v>131</v>
      </c>
      <c r="F146" s="2" t="s">
        <v>80</v>
      </c>
      <c r="G146" s="2">
        <v>3</v>
      </c>
      <c r="H146" s="2">
        <v>1499</v>
      </c>
      <c r="I146" s="2">
        <v>15</v>
      </c>
      <c r="J146" s="2" t="s">
        <v>43</v>
      </c>
      <c r="K146" s="2" t="s">
        <v>18</v>
      </c>
      <c r="L146" s="2" t="s">
        <v>19</v>
      </c>
      <c r="M146">
        <f t="shared" si="8"/>
        <v>3822.45</v>
      </c>
      <c r="N146" t="str">
        <f t="shared" si="9"/>
        <v>July</v>
      </c>
      <c r="O146" t="str">
        <f t="shared" si="10"/>
        <v>Medium</v>
      </c>
      <c r="P146" s="4">
        <f t="shared" ca="1" si="11"/>
        <v>351</v>
      </c>
    </row>
    <row r="147" spans="1:16" x14ac:dyDescent="0.3">
      <c r="A147" s="2">
        <v>1146</v>
      </c>
      <c r="B147" s="2" t="s">
        <v>295</v>
      </c>
      <c r="C147" s="2" t="s">
        <v>296</v>
      </c>
      <c r="D147" s="2" t="s">
        <v>93</v>
      </c>
      <c r="E147" s="2" t="s">
        <v>131</v>
      </c>
      <c r="F147" s="2" t="s">
        <v>80</v>
      </c>
      <c r="G147" s="2">
        <v>1</v>
      </c>
      <c r="H147" s="2">
        <v>599</v>
      </c>
      <c r="I147" s="2">
        <v>20</v>
      </c>
      <c r="J147" s="2" t="s">
        <v>35</v>
      </c>
      <c r="K147" s="2" t="s">
        <v>44</v>
      </c>
      <c r="L147" s="2" t="s">
        <v>19</v>
      </c>
      <c r="M147">
        <f t="shared" si="8"/>
        <v>479.20000000000005</v>
      </c>
      <c r="N147" t="str">
        <f t="shared" si="9"/>
        <v>August</v>
      </c>
      <c r="O147" t="str">
        <f t="shared" si="10"/>
        <v>Low</v>
      </c>
      <c r="P147" s="4">
        <f t="shared" ca="1" si="11"/>
        <v>324</v>
      </c>
    </row>
    <row r="148" spans="1:16" x14ac:dyDescent="0.3">
      <c r="A148" s="2">
        <v>1147</v>
      </c>
      <c r="B148" s="2" t="s">
        <v>297</v>
      </c>
      <c r="C148" s="2" t="s">
        <v>76</v>
      </c>
      <c r="D148" s="2" t="s">
        <v>47</v>
      </c>
      <c r="E148" s="2" t="s">
        <v>71</v>
      </c>
      <c r="F148" s="2" t="s">
        <v>67</v>
      </c>
      <c r="G148" s="2">
        <v>8</v>
      </c>
      <c r="H148" s="2">
        <v>3499</v>
      </c>
      <c r="I148" s="2">
        <v>10</v>
      </c>
      <c r="J148" s="2" t="s">
        <v>17</v>
      </c>
      <c r="K148" s="2" t="s">
        <v>406</v>
      </c>
      <c r="L148" s="2" t="s">
        <v>19</v>
      </c>
      <c r="M148">
        <f t="shared" si="8"/>
        <v>25192.799999999999</v>
      </c>
      <c r="N148" t="str">
        <f t="shared" si="9"/>
        <v>January</v>
      </c>
      <c r="O148" t="str">
        <f t="shared" si="10"/>
        <v>High</v>
      </c>
      <c r="P148" s="4">
        <f t="shared" ca="1" si="11"/>
        <v>541</v>
      </c>
    </row>
    <row r="149" spans="1:16" x14ac:dyDescent="0.3">
      <c r="A149" s="2">
        <v>1148</v>
      </c>
      <c r="B149" s="2" t="s">
        <v>298</v>
      </c>
      <c r="C149" s="2" t="s">
        <v>172</v>
      </c>
      <c r="D149" s="2" t="s">
        <v>93</v>
      </c>
      <c r="E149" s="2" t="s">
        <v>48</v>
      </c>
      <c r="F149" s="2" t="s">
        <v>94</v>
      </c>
      <c r="G149" s="2">
        <v>3</v>
      </c>
      <c r="H149" s="2">
        <v>599</v>
      </c>
      <c r="I149" s="2">
        <v>0</v>
      </c>
      <c r="J149" s="2" t="s">
        <v>43</v>
      </c>
      <c r="K149" s="2" t="s">
        <v>406</v>
      </c>
      <c r="L149" s="2" t="s">
        <v>19</v>
      </c>
      <c r="M149">
        <f t="shared" si="8"/>
        <v>1797</v>
      </c>
      <c r="N149" t="str">
        <f t="shared" si="9"/>
        <v>September</v>
      </c>
      <c r="O149" t="str">
        <f t="shared" si="10"/>
        <v>Medium</v>
      </c>
      <c r="P149" s="4">
        <f t="shared" ca="1" si="11"/>
        <v>296</v>
      </c>
    </row>
    <row r="150" spans="1:16" x14ac:dyDescent="0.3">
      <c r="A150" s="2">
        <v>1149</v>
      </c>
      <c r="B150" s="2" t="s">
        <v>299</v>
      </c>
      <c r="C150" s="2" t="s">
        <v>300</v>
      </c>
      <c r="D150" s="2" t="s">
        <v>22</v>
      </c>
      <c r="E150" s="2" t="s">
        <v>131</v>
      </c>
      <c r="F150" s="2" t="s">
        <v>134</v>
      </c>
      <c r="G150" s="2">
        <v>8</v>
      </c>
      <c r="H150" s="2">
        <v>1299</v>
      </c>
      <c r="I150" s="2">
        <v>10</v>
      </c>
      <c r="J150" s="2" t="s">
        <v>35</v>
      </c>
      <c r="K150" s="2" t="s">
        <v>18</v>
      </c>
      <c r="L150" s="2" t="s">
        <v>19</v>
      </c>
      <c r="M150">
        <f t="shared" si="8"/>
        <v>9352.8000000000011</v>
      </c>
      <c r="N150" t="str">
        <f t="shared" si="9"/>
        <v>September</v>
      </c>
      <c r="O150" t="str">
        <f t="shared" si="10"/>
        <v>High</v>
      </c>
      <c r="P150" s="4">
        <f t="shared" ca="1" si="11"/>
        <v>299</v>
      </c>
    </row>
    <row r="151" spans="1:16" x14ac:dyDescent="0.3">
      <c r="A151" s="2">
        <v>1150</v>
      </c>
      <c r="B151" s="2" t="s">
        <v>301</v>
      </c>
      <c r="C151" s="2" t="s">
        <v>99</v>
      </c>
      <c r="D151" s="2" t="s">
        <v>93</v>
      </c>
      <c r="E151" s="2" t="s">
        <v>131</v>
      </c>
      <c r="F151" s="2" t="s">
        <v>134</v>
      </c>
      <c r="G151" s="2">
        <v>4</v>
      </c>
      <c r="H151" s="2">
        <v>1999</v>
      </c>
      <c r="I151" s="2">
        <v>0</v>
      </c>
      <c r="J151" s="2" t="s">
        <v>35</v>
      </c>
      <c r="K151" s="2" t="s">
        <v>18</v>
      </c>
      <c r="L151" s="2" t="s">
        <v>83</v>
      </c>
      <c r="M151">
        <f t="shared" si="8"/>
        <v>7996</v>
      </c>
      <c r="N151" t="str">
        <f t="shared" si="9"/>
        <v>October</v>
      </c>
      <c r="O151" t="str">
        <f t="shared" si="10"/>
        <v>High</v>
      </c>
      <c r="P151" s="4">
        <f t="shared" ca="1" si="11"/>
        <v>254</v>
      </c>
    </row>
    <row r="152" spans="1:16" x14ac:dyDescent="0.3">
      <c r="A152" s="2">
        <v>1151</v>
      </c>
      <c r="B152" s="2" t="s">
        <v>302</v>
      </c>
      <c r="C152" s="2" t="s">
        <v>303</v>
      </c>
      <c r="D152" s="2" t="s">
        <v>47</v>
      </c>
      <c r="E152" s="2" t="s">
        <v>71</v>
      </c>
      <c r="F152" s="2" t="s">
        <v>110</v>
      </c>
      <c r="G152" s="2">
        <v>8</v>
      </c>
      <c r="H152" s="2">
        <v>299</v>
      </c>
      <c r="I152" s="2">
        <v>0</v>
      </c>
      <c r="J152" s="2" t="s">
        <v>43</v>
      </c>
      <c r="K152" s="2" t="s">
        <v>68</v>
      </c>
      <c r="L152" s="2" t="s">
        <v>83</v>
      </c>
      <c r="M152">
        <f t="shared" si="8"/>
        <v>2392</v>
      </c>
      <c r="N152" t="str">
        <f t="shared" si="9"/>
        <v>January</v>
      </c>
      <c r="O152" t="str">
        <f t="shared" si="10"/>
        <v>Medium</v>
      </c>
      <c r="P152" s="4">
        <f t="shared" ca="1" si="11"/>
        <v>526</v>
      </c>
    </row>
    <row r="153" spans="1:16" x14ac:dyDescent="0.3">
      <c r="A153" s="2">
        <v>1152</v>
      </c>
      <c r="B153" s="2" t="s">
        <v>304</v>
      </c>
      <c r="C153" s="2" t="s">
        <v>305</v>
      </c>
      <c r="D153" s="2" t="s">
        <v>14</v>
      </c>
      <c r="E153" s="2" t="s">
        <v>48</v>
      </c>
      <c r="F153" s="2" t="s">
        <v>60</v>
      </c>
      <c r="G153" s="2">
        <v>2</v>
      </c>
      <c r="H153" s="2">
        <v>699</v>
      </c>
      <c r="I153" s="2">
        <v>0</v>
      </c>
      <c r="J153" s="2" t="s">
        <v>43</v>
      </c>
      <c r="K153" s="2" t="s">
        <v>18</v>
      </c>
      <c r="L153" s="2" t="s">
        <v>19</v>
      </c>
      <c r="M153">
        <f t="shared" si="8"/>
        <v>1398</v>
      </c>
      <c r="N153" t="str">
        <f t="shared" si="9"/>
        <v>May</v>
      </c>
      <c r="O153" t="str">
        <f t="shared" si="10"/>
        <v>Low</v>
      </c>
      <c r="P153" s="4">
        <f t="shared" ca="1" si="11"/>
        <v>423</v>
      </c>
    </row>
    <row r="154" spans="1:16" x14ac:dyDescent="0.3">
      <c r="A154" s="2">
        <v>1153</v>
      </c>
      <c r="B154" s="2" t="s">
        <v>306</v>
      </c>
      <c r="C154" s="2" t="s">
        <v>307</v>
      </c>
      <c r="D154" s="2" t="s">
        <v>47</v>
      </c>
      <c r="E154" s="2" t="s">
        <v>15</v>
      </c>
      <c r="F154" s="2" t="s">
        <v>64</v>
      </c>
      <c r="G154" s="2">
        <v>1</v>
      </c>
      <c r="H154" s="2">
        <v>699</v>
      </c>
      <c r="I154" s="2">
        <v>10</v>
      </c>
      <c r="J154" s="2" t="s">
        <v>26</v>
      </c>
      <c r="K154" s="2" t="s">
        <v>18</v>
      </c>
      <c r="L154" s="2" t="s">
        <v>138</v>
      </c>
      <c r="M154">
        <f t="shared" si="8"/>
        <v>629.1</v>
      </c>
      <c r="N154" t="str">
        <f t="shared" si="9"/>
        <v>August</v>
      </c>
      <c r="O154" t="str">
        <f t="shared" si="10"/>
        <v>Low</v>
      </c>
      <c r="P154" s="4">
        <f t="shared" ca="1" si="11"/>
        <v>325</v>
      </c>
    </row>
    <row r="155" spans="1:16" x14ac:dyDescent="0.3">
      <c r="A155" s="2">
        <v>1154</v>
      </c>
      <c r="B155" s="2" t="s">
        <v>308</v>
      </c>
      <c r="C155" s="2" t="s">
        <v>309</v>
      </c>
      <c r="D155" s="2" t="s">
        <v>33</v>
      </c>
      <c r="E155" s="2" t="s">
        <v>15</v>
      </c>
      <c r="F155" s="2" t="s">
        <v>16</v>
      </c>
      <c r="G155" s="2">
        <v>1</v>
      </c>
      <c r="H155" s="2">
        <v>899</v>
      </c>
      <c r="I155" s="2">
        <v>0</v>
      </c>
      <c r="J155" s="2" t="s">
        <v>26</v>
      </c>
      <c r="K155" s="2" t="s">
        <v>406</v>
      </c>
      <c r="L155" s="2" t="s">
        <v>19</v>
      </c>
      <c r="M155">
        <f t="shared" si="8"/>
        <v>899</v>
      </c>
      <c r="N155" t="str">
        <f t="shared" si="9"/>
        <v>July</v>
      </c>
      <c r="O155" t="str">
        <f t="shared" si="10"/>
        <v>Low</v>
      </c>
      <c r="P155" s="4">
        <f t="shared" ca="1" si="11"/>
        <v>349</v>
      </c>
    </row>
    <row r="156" spans="1:16" x14ac:dyDescent="0.3">
      <c r="A156" s="2">
        <v>1155</v>
      </c>
      <c r="B156" s="2" t="s">
        <v>310</v>
      </c>
      <c r="C156" s="2" t="s">
        <v>311</v>
      </c>
      <c r="D156" s="2" t="s">
        <v>47</v>
      </c>
      <c r="E156" s="2" t="s">
        <v>131</v>
      </c>
      <c r="F156" s="2" t="s">
        <v>90</v>
      </c>
      <c r="G156" s="2">
        <v>1</v>
      </c>
      <c r="H156" s="2">
        <v>599</v>
      </c>
      <c r="I156" s="2">
        <v>15</v>
      </c>
      <c r="J156" s="2" t="s">
        <v>29</v>
      </c>
      <c r="K156" s="2" t="s">
        <v>406</v>
      </c>
      <c r="L156" s="2" t="s">
        <v>19</v>
      </c>
      <c r="M156">
        <f t="shared" si="8"/>
        <v>509.15</v>
      </c>
      <c r="N156" t="str">
        <f t="shared" si="9"/>
        <v>February</v>
      </c>
      <c r="O156" t="str">
        <f t="shared" si="10"/>
        <v>Low</v>
      </c>
      <c r="P156" s="4">
        <f t="shared" ca="1" si="11"/>
        <v>523</v>
      </c>
    </row>
    <row r="157" spans="1:16" x14ac:dyDescent="0.3">
      <c r="A157" s="2">
        <v>1156</v>
      </c>
      <c r="B157" s="2" t="s">
        <v>312</v>
      </c>
      <c r="C157" s="2" t="s">
        <v>152</v>
      </c>
      <c r="D157" s="2" t="s">
        <v>14</v>
      </c>
      <c r="E157" s="2" t="s">
        <v>48</v>
      </c>
      <c r="F157" s="2" t="s">
        <v>94</v>
      </c>
      <c r="G157" s="2">
        <v>1</v>
      </c>
      <c r="H157" s="2">
        <v>299</v>
      </c>
      <c r="I157" s="2">
        <v>10</v>
      </c>
      <c r="J157" s="2" t="s">
        <v>61</v>
      </c>
      <c r="K157" s="2" t="s">
        <v>36</v>
      </c>
      <c r="L157" s="2" t="s">
        <v>19</v>
      </c>
      <c r="M157">
        <f t="shared" si="8"/>
        <v>269.10000000000002</v>
      </c>
      <c r="N157" t="str">
        <f t="shared" si="9"/>
        <v>March</v>
      </c>
      <c r="O157" t="str">
        <f t="shared" si="10"/>
        <v>Low</v>
      </c>
      <c r="P157" s="4">
        <f t="shared" ca="1" si="11"/>
        <v>480</v>
      </c>
    </row>
    <row r="158" spans="1:16" x14ac:dyDescent="0.3">
      <c r="A158" s="2">
        <v>1157</v>
      </c>
      <c r="B158" s="2" t="s">
        <v>313</v>
      </c>
      <c r="C158" s="2" t="s">
        <v>51</v>
      </c>
      <c r="D158" s="2" t="s">
        <v>33</v>
      </c>
      <c r="E158" s="2" t="s">
        <v>71</v>
      </c>
      <c r="F158" s="2" t="s">
        <v>110</v>
      </c>
      <c r="G158" s="2">
        <v>7</v>
      </c>
      <c r="H158" s="2">
        <v>999</v>
      </c>
      <c r="I158" s="2">
        <v>0</v>
      </c>
      <c r="J158" s="2" t="s">
        <v>17</v>
      </c>
      <c r="K158" s="2" t="s">
        <v>30</v>
      </c>
      <c r="L158" s="2" t="s">
        <v>19</v>
      </c>
      <c r="M158">
        <f t="shared" si="8"/>
        <v>6993</v>
      </c>
      <c r="N158" t="str">
        <f t="shared" si="9"/>
        <v>July</v>
      </c>
      <c r="O158" t="str">
        <f t="shared" si="10"/>
        <v>High</v>
      </c>
      <c r="P158" s="4">
        <f t="shared" ca="1" si="11"/>
        <v>361</v>
      </c>
    </row>
    <row r="159" spans="1:16" x14ac:dyDescent="0.3">
      <c r="A159" s="2">
        <v>1158</v>
      </c>
      <c r="B159" s="2" t="s">
        <v>314</v>
      </c>
      <c r="C159" s="2" t="s">
        <v>256</v>
      </c>
      <c r="D159" s="2" t="s">
        <v>22</v>
      </c>
      <c r="E159" s="2" t="s">
        <v>15</v>
      </c>
      <c r="F159" s="2" t="s">
        <v>64</v>
      </c>
      <c r="G159" s="2">
        <v>1</v>
      </c>
      <c r="H159" s="2">
        <v>899</v>
      </c>
      <c r="I159" s="2">
        <v>15</v>
      </c>
      <c r="J159" s="2" t="s">
        <v>35</v>
      </c>
      <c r="K159" s="2" t="s">
        <v>36</v>
      </c>
      <c r="L159" s="2" t="s">
        <v>19</v>
      </c>
      <c r="M159">
        <f t="shared" si="8"/>
        <v>764.15</v>
      </c>
      <c r="N159" t="str">
        <f t="shared" si="9"/>
        <v>October</v>
      </c>
      <c r="O159" t="str">
        <f t="shared" si="10"/>
        <v>Low</v>
      </c>
      <c r="P159" s="4">
        <f t="shared" ca="1" si="11"/>
        <v>257</v>
      </c>
    </row>
    <row r="160" spans="1:16" x14ac:dyDescent="0.3">
      <c r="A160" s="2">
        <v>1159</v>
      </c>
      <c r="B160" s="2" t="s">
        <v>198</v>
      </c>
      <c r="C160" s="2" t="s">
        <v>158</v>
      </c>
      <c r="D160" s="2" t="s">
        <v>93</v>
      </c>
      <c r="E160" s="2" t="s">
        <v>71</v>
      </c>
      <c r="F160" s="2" t="s">
        <v>42</v>
      </c>
      <c r="G160" s="2">
        <v>5</v>
      </c>
      <c r="H160" s="2">
        <v>249</v>
      </c>
      <c r="I160" s="2">
        <v>0</v>
      </c>
      <c r="J160" s="2" t="s">
        <v>17</v>
      </c>
      <c r="K160" s="2" t="s">
        <v>68</v>
      </c>
      <c r="L160" s="2" t="s">
        <v>19</v>
      </c>
      <c r="M160">
        <f t="shared" si="8"/>
        <v>1245</v>
      </c>
      <c r="N160" t="str">
        <f t="shared" si="9"/>
        <v>June</v>
      </c>
      <c r="O160" t="str">
        <f t="shared" si="10"/>
        <v>Low</v>
      </c>
      <c r="P160" s="4">
        <f t="shared" ca="1" si="11"/>
        <v>376</v>
      </c>
    </row>
    <row r="161" spans="1:16" x14ac:dyDescent="0.3">
      <c r="A161" s="2">
        <v>1160</v>
      </c>
      <c r="B161" s="2" t="s">
        <v>315</v>
      </c>
      <c r="C161" s="2" t="s">
        <v>172</v>
      </c>
      <c r="D161" s="2" t="s">
        <v>22</v>
      </c>
      <c r="E161" s="2" t="s">
        <v>15</v>
      </c>
      <c r="F161" s="2" t="s">
        <v>64</v>
      </c>
      <c r="G161" s="2">
        <v>6</v>
      </c>
      <c r="H161" s="2">
        <v>299</v>
      </c>
      <c r="I161" s="2">
        <v>10</v>
      </c>
      <c r="J161" s="2" t="s">
        <v>29</v>
      </c>
      <c r="K161" s="2" t="s">
        <v>406</v>
      </c>
      <c r="L161" s="2" t="s">
        <v>19</v>
      </c>
      <c r="M161">
        <f t="shared" si="8"/>
        <v>1614.6000000000001</v>
      </c>
      <c r="N161" t="str">
        <f t="shared" si="9"/>
        <v>April</v>
      </c>
      <c r="O161" t="str">
        <f t="shared" si="10"/>
        <v>Medium</v>
      </c>
      <c r="P161" s="4">
        <f t="shared" ca="1" si="11"/>
        <v>466</v>
      </c>
    </row>
    <row r="162" spans="1:16" x14ac:dyDescent="0.3">
      <c r="A162" s="2">
        <v>1161</v>
      </c>
      <c r="B162" s="2" t="s">
        <v>316</v>
      </c>
      <c r="C162" s="2" t="s">
        <v>194</v>
      </c>
      <c r="D162" s="2" t="s">
        <v>14</v>
      </c>
      <c r="E162" s="2" t="s">
        <v>71</v>
      </c>
      <c r="F162" s="2" t="s">
        <v>54</v>
      </c>
      <c r="G162" s="2">
        <v>5</v>
      </c>
      <c r="H162" s="2">
        <v>1299</v>
      </c>
      <c r="I162" s="2">
        <v>0</v>
      </c>
      <c r="J162" s="2" t="s">
        <v>26</v>
      </c>
      <c r="K162" s="2" t="s">
        <v>18</v>
      </c>
      <c r="L162" s="2" t="s">
        <v>83</v>
      </c>
      <c r="M162">
        <f t="shared" si="8"/>
        <v>6495</v>
      </c>
      <c r="N162" t="str">
        <f t="shared" si="9"/>
        <v>September</v>
      </c>
      <c r="O162" t="str">
        <f t="shared" si="10"/>
        <v>High</v>
      </c>
      <c r="P162" s="4">
        <f t="shared" ca="1" si="11"/>
        <v>307</v>
      </c>
    </row>
    <row r="163" spans="1:16" x14ac:dyDescent="0.3">
      <c r="A163" s="2">
        <v>1162</v>
      </c>
      <c r="B163" s="2" t="s">
        <v>317</v>
      </c>
      <c r="C163" s="2" t="s">
        <v>318</v>
      </c>
      <c r="D163" s="2" t="s">
        <v>93</v>
      </c>
      <c r="E163" s="2" t="s">
        <v>131</v>
      </c>
      <c r="F163" s="2" t="s">
        <v>262</v>
      </c>
      <c r="G163" s="2">
        <v>6</v>
      </c>
      <c r="H163" s="2">
        <v>599</v>
      </c>
      <c r="I163" s="2">
        <v>0</v>
      </c>
      <c r="J163" s="2" t="s">
        <v>29</v>
      </c>
      <c r="K163" s="2" t="s">
        <v>30</v>
      </c>
      <c r="L163" s="2" t="s">
        <v>19</v>
      </c>
      <c r="M163">
        <f t="shared" si="8"/>
        <v>3594</v>
      </c>
      <c r="N163" t="str">
        <f t="shared" si="9"/>
        <v>November</v>
      </c>
      <c r="O163" t="str">
        <f t="shared" si="10"/>
        <v>Medium</v>
      </c>
      <c r="P163" s="4">
        <f t="shared" ca="1" si="11"/>
        <v>243</v>
      </c>
    </row>
    <row r="164" spans="1:16" x14ac:dyDescent="0.3">
      <c r="A164" s="2">
        <v>1163</v>
      </c>
      <c r="B164" s="2" t="s">
        <v>319</v>
      </c>
      <c r="C164" s="2" t="s">
        <v>236</v>
      </c>
      <c r="D164" s="2" t="s">
        <v>33</v>
      </c>
      <c r="E164" s="2" t="s">
        <v>48</v>
      </c>
      <c r="F164" s="2" t="s">
        <v>94</v>
      </c>
      <c r="G164" s="2">
        <v>6</v>
      </c>
      <c r="H164" s="2">
        <v>2499</v>
      </c>
      <c r="I164" s="2">
        <v>0</v>
      </c>
      <c r="J164" s="2" t="s">
        <v>61</v>
      </c>
      <c r="K164" s="2" t="s">
        <v>44</v>
      </c>
      <c r="L164" s="2" t="s">
        <v>19</v>
      </c>
      <c r="M164">
        <f t="shared" si="8"/>
        <v>14994</v>
      </c>
      <c r="N164" t="str">
        <f t="shared" si="9"/>
        <v>January</v>
      </c>
      <c r="O164" t="str">
        <f t="shared" si="10"/>
        <v>High</v>
      </c>
      <c r="P164" s="4">
        <f t="shared" ca="1" si="11"/>
        <v>532</v>
      </c>
    </row>
    <row r="165" spans="1:16" x14ac:dyDescent="0.3">
      <c r="A165" s="2">
        <v>1164</v>
      </c>
      <c r="B165" s="2" t="s">
        <v>320</v>
      </c>
      <c r="C165" s="2" t="s">
        <v>321</v>
      </c>
      <c r="D165" s="2" t="s">
        <v>22</v>
      </c>
      <c r="E165" s="2" t="s">
        <v>131</v>
      </c>
      <c r="F165" s="2" t="s">
        <v>134</v>
      </c>
      <c r="G165" s="2">
        <v>6</v>
      </c>
      <c r="H165" s="2">
        <v>4999</v>
      </c>
      <c r="I165" s="2">
        <v>0</v>
      </c>
      <c r="J165" s="2" t="s">
        <v>61</v>
      </c>
      <c r="K165" s="2" t="s">
        <v>68</v>
      </c>
      <c r="L165" s="2" t="s">
        <v>224</v>
      </c>
      <c r="M165">
        <f t="shared" si="8"/>
        <v>29994</v>
      </c>
      <c r="N165" t="str">
        <f t="shared" si="9"/>
        <v>February</v>
      </c>
      <c r="O165" t="str">
        <f t="shared" si="10"/>
        <v>High</v>
      </c>
      <c r="P165" s="4">
        <f t="shared" ca="1" si="11"/>
        <v>519</v>
      </c>
    </row>
    <row r="166" spans="1:16" x14ac:dyDescent="0.3">
      <c r="A166" s="2">
        <v>1165</v>
      </c>
      <c r="B166" s="2" t="s">
        <v>322</v>
      </c>
      <c r="C166" s="2" t="s">
        <v>323</v>
      </c>
      <c r="D166" s="2" t="s">
        <v>93</v>
      </c>
      <c r="E166" s="2" t="s">
        <v>131</v>
      </c>
      <c r="F166" s="2" t="s">
        <v>97</v>
      </c>
      <c r="G166" s="2">
        <v>8</v>
      </c>
      <c r="H166" s="2">
        <v>499</v>
      </c>
      <c r="I166" s="2">
        <v>0</v>
      </c>
      <c r="J166" s="2" t="s">
        <v>35</v>
      </c>
      <c r="K166" s="2" t="s">
        <v>18</v>
      </c>
      <c r="L166" s="2" t="s">
        <v>19</v>
      </c>
      <c r="M166">
        <f t="shared" si="8"/>
        <v>3992</v>
      </c>
      <c r="N166" t="str">
        <f t="shared" si="9"/>
        <v>October</v>
      </c>
      <c r="O166" t="str">
        <f t="shared" si="10"/>
        <v>Medium</v>
      </c>
      <c r="P166" s="4">
        <f t="shared" ca="1" si="11"/>
        <v>280</v>
      </c>
    </row>
    <row r="167" spans="1:16" x14ac:dyDescent="0.3">
      <c r="A167" s="2">
        <v>1166</v>
      </c>
      <c r="B167" s="2" t="s">
        <v>324</v>
      </c>
      <c r="C167" s="2" t="s">
        <v>325</v>
      </c>
      <c r="D167" s="2" t="s">
        <v>47</v>
      </c>
      <c r="E167" s="2" t="s">
        <v>48</v>
      </c>
      <c r="F167" s="2" t="s">
        <v>94</v>
      </c>
      <c r="G167" s="2">
        <v>5</v>
      </c>
      <c r="H167" s="2">
        <v>299</v>
      </c>
      <c r="I167" s="2">
        <v>15</v>
      </c>
      <c r="J167" s="2" t="s">
        <v>26</v>
      </c>
      <c r="K167" s="2" t="s">
        <v>30</v>
      </c>
      <c r="L167" s="2" t="s">
        <v>19</v>
      </c>
      <c r="M167">
        <f t="shared" si="8"/>
        <v>1270.75</v>
      </c>
      <c r="N167" t="str">
        <f t="shared" si="9"/>
        <v>November</v>
      </c>
      <c r="O167" t="str">
        <f t="shared" si="10"/>
        <v>Low</v>
      </c>
      <c r="P167" s="4">
        <f t="shared" ca="1" si="11"/>
        <v>230</v>
      </c>
    </row>
    <row r="168" spans="1:16" x14ac:dyDescent="0.3">
      <c r="A168" s="2">
        <v>1167</v>
      </c>
      <c r="B168" s="2" t="s">
        <v>326</v>
      </c>
      <c r="C168" s="2" t="s">
        <v>327</v>
      </c>
      <c r="D168" s="2" t="s">
        <v>14</v>
      </c>
      <c r="E168" s="2" t="s">
        <v>48</v>
      </c>
      <c r="F168" s="2" t="s">
        <v>60</v>
      </c>
      <c r="G168" s="2">
        <v>1</v>
      </c>
      <c r="H168" s="2">
        <v>2499</v>
      </c>
      <c r="I168" s="2">
        <v>15</v>
      </c>
      <c r="J168" s="2" t="s">
        <v>43</v>
      </c>
      <c r="K168" s="2" t="s">
        <v>406</v>
      </c>
      <c r="L168" s="2" t="s">
        <v>224</v>
      </c>
      <c r="M168">
        <f t="shared" si="8"/>
        <v>2124.15</v>
      </c>
      <c r="N168" t="str">
        <f t="shared" si="9"/>
        <v>February</v>
      </c>
      <c r="O168" t="str">
        <f t="shared" si="10"/>
        <v>Medium</v>
      </c>
      <c r="P168" s="4">
        <f t="shared" ca="1" si="11"/>
        <v>525</v>
      </c>
    </row>
    <row r="169" spans="1:16" x14ac:dyDescent="0.3">
      <c r="A169" s="2">
        <v>1168</v>
      </c>
      <c r="B169" s="2" t="s">
        <v>328</v>
      </c>
      <c r="C169" s="2" t="s">
        <v>136</v>
      </c>
      <c r="D169" s="2" t="s">
        <v>33</v>
      </c>
      <c r="E169" s="2" t="s">
        <v>15</v>
      </c>
      <c r="F169" s="2" t="s">
        <v>57</v>
      </c>
      <c r="G169" s="2">
        <v>3</v>
      </c>
      <c r="H169" s="2">
        <v>249</v>
      </c>
      <c r="I169" s="2">
        <v>15</v>
      </c>
      <c r="J169" s="2" t="s">
        <v>17</v>
      </c>
      <c r="K169" s="2" t="s">
        <v>406</v>
      </c>
      <c r="L169" s="2" t="s">
        <v>138</v>
      </c>
      <c r="M169">
        <f t="shared" si="8"/>
        <v>634.94999999999993</v>
      </c>
      <c r="N169" t="str">
        <f t="shared" si="9"/>
        <v>September</v>
      </c>
      <c r="O169" t="str">
        <f t="shared" si="10"/>
        <v>Low</v>
      </c>
      <c r="P169" s="4">
        <f t="shared" ca="1" si="11"/>
        <v>292</v>
      </c>
    </row>
    <row r="170" spans="1:16" x14ac:dyDescent="0.3">
      <c r="A170" s="2">
        <v>1169</v>
      </c>
      <c r="B170" s="2" t="s">
        <v>329</v>
      </c>
      <c r="C170" s="2" t="s">
        <v>150</v>
      </c>
      <c r="D170" s="2" t="s">
        <v>39</v>
      </c>
      <c r="E170" s="2" t="s">
        <v>86</v>
      </c>
      <c r="F170" s="2" t="s">
        <v>87</v>
      </c>
      <c r="G170" s="2">
        <v>8</v>
      </c>
      <c r="H170" s="2">
        <v>199</v>
      </c>
      <c r="I170" s="2">
        <v>15</v>
      </c>
      <c r="J170" s="2" t="s">
        <v>17</v>
      </c>
      <c r="K170" s="2" t="s">
        <v>406</v>
      </c>
      <c r="L170" s="2" t="s">
        <v>19</v>
      </c>
      <c r="M170">
        <f t="shared" si="8"/>
        <v>1353.2</v>
      </c>
      <c r="N170" t="str">
        <f t="shared" si="9"/>
        <v>February</v>
      </c>
      <c r="O170" t="str">
        <f t="shared" si="10"/>
        <v>Low</v>
      </c>
      <c r="P170" s="4">
        <f t="shared" ca="1" si="11"/>
        <v>522</v>
      </c>
    </row>
    <row r="171" spans="1:16" x14ac:dyDescent="0.3">
      <c r="A171" s="2">
        <v>1170</v>
      </c>
      <c r="B171" s="2" t="s">
        <v>330</v>
      </c>
      <c r="C171" s="2" t="s">
        <v>331</v>
      </c>
      <c r="D171" s="2" t="s">
        <v>14</v>
      </c>
      <c r="E171" s="2" t="s">
        <v>48</v>
      </c>
      <c r="F171" s="2" t="s">
        <v>49</v>
      </c>
      <c r="G171" s="2">
        <v>8</v>
      </c>
      <c r="H171" s="2">
        <v>249</v>
      </c>
      <c r="I171" s="2">
        <v>0</v>
      </c>
      <c r="J171" s="2" t="s">
        <v>35</v>
      </c>
      <c r="K171" s="2" t="s">
        <v>406</v>
      </c>
      <c r="L171" s="2" t="s">
        <v>19</v>
      </c>
      <c r="M171">
        <f t="shared" si="8"/>
        <v>1992</v>
      </c>
      <c r="N171" t="str">
        <f t="shared" si="9"/>
        <v>February</v>
      </c>
      <c r="O171" t="str">
        <f t="shared" si="10"/>
        <v>Medium</v>
      </c>
      <c r="P171" s="4">
        <f t="shared" ca="1" si="11"/>
        <v>505</v>
      </c>
    </row>
    <row r="172" spans="1:16" x14ac:dyDescent="0.3">
      <c r="A172" s="2">
        <v>1171</v>
      </c>
      <c r="B172" s="2" t="s">
        <v>332</v>
      </c>
      <c r="C172" s="2" t="s">
        <v>222</v>
      </c>
      <c r="D172" s="2" t="s">
        <v>14</v>
      </c>
      <c r="E172" s="2" t="s">
        <v>86</v>
      </c>
      <c r="F172" s="2" t="s">
        <v>77</v>
      </c>
      <c r="G172" s="2">
        <v>5</v>
      </c>
      <c r="H172" s="2">
        <v>4999</v>
      </c>
      <c r="I172" s="2">
        <v>0</v>
      </c>
      <c r="J172" s="2" t="s">
        <v>26</v>
      </c>
      <c r="K172" s="2" t="s">
        <v>36</v>
      </c>
      <c r="L172" s="2" t="s">
        <v>138</v>
      </c>
      <c r="M172">
        <f t="shared" si="8"/>
        <v>24995</v>
      </c>
      <c r="N172" t="str">
        <f t="shared" si="9"/>
        <v>January</v>
      </c>
      <c r="O172" t="str">
        <f t="shared" si="10"/>
        <v>High</v>
      </c>
      <c r="P172" s="4">
        <f t="shared" ca="1" si="11"/>
        <v>531</v>
      </c>
    </row>
    <row r="173" spans="1:16" x14ac:dyDescent="0.3">
      <c r="A173" s="2">
        <v>1172</v>
      </c>
      <c r="B173" s="2" t="s">
        <v>333</v>
      </c>
      <c r="C173" s="2" t="s">
        <v>125</v>
      </c>
      <c r="D173" s="2" t="s">
        <v>39</v>
      </c>
      <c r="E173" s="2" t="s">
        <v>86</v>
      </c>
      <c r="F173" s="2" t="s">
        <v>87</v>
      </c>
      <c r="G173" s="2">
        <v>3</v>
      </c>
      <c r="H173" s="2">
        <v>1488</v>
      </c>
      <c r="I173" s="2">
        <v>10</v>
      </c>
      <c r="J173" s="2" t="s">
        <v>29</v>
      </c>
      <c r="K173" s="2" t="s">
        <v>44</v>
      </c>
      <c r="L173" s="2" t="s">
        <v>19</v>
      </c>
      <c r="M173">
        <f t="shared" si="8"/>
        <v>4017.6</v>
      </c>
      <c r="N173" t="str">
        <f t="shared" si="9"/>
        <v>April</v>
      </c>
      <c r="O173" t="str">
        <f t="shared" si="10"/>
        <v>Medium</v>
      </c>
      <c r="P173" s="4">
        <f t="shared" ca="1" si="11"/>
        <v>460</v>
      </c>
    </row>
    <row r="174" spans="1:16" x14ac:dyDescent="0.3">
      <c r="A174" s="2">
        <v>1173</v>
      </c>
      <c r="B174" s="2" t="s">
        <v>334</v>
      </c>
      <c r="C174" s="2" t="s">
        <v>283</v>
      </c>
      <c r="D174" s="2" t="s">
        <v>47</v>
      </c>
      <c r="E174" s="2" t="s">
        <v>15</v>
      </c>
      <c r="F174" s="2" t="s">
        <v>173</v>
      </c>
      <c r="G174" s="2">
        <v>8</v>
      </c>
      <c r="H174" s="2">
        <v>2499</v>
      </c>
      <c r="I174" s="2">
        <v>0</v>
      </c>
      <c r="J174" s="2" t="s">
        <v>29</v>
      </c>
      <c r="K174" s="2" t="s">
        <v>18</v>
      </c>
      <c r="L174" s="2" t="s">
        <v>19</v>
      </c>
      <c r="M174">
        <f t="shared" si="8"/>
        <v>19992</v>
      </c>
      <c r="N174" t="str">
        <f t="shared" si="9"/>
        <v>January</v>
      </c>
      <c r="O174" t="str">
        <f t="shared" si="10"/>
        <v>High</v>
      </c>
      <c r="P174" s="4">
        <f t="shared" ca="1" si="11"/>
        <v>527</v>
      </c>
    </row>
    <row r="175" spans="1:16" x14ac:dyDescent="0.3">
      <c r="A175" s="2">
        <v>1174</v>
      </c>
      <c r="B175" s="2" t="s">
        <v>335</v>
      </c>
      <c r="C175" s="2" t="s">
        <v>170</v>
      </c>
      <c r="D175" s="2" t="s">
        <v>121</v>
      </c>
      <c r="E175" s="2" t="s">
        <v>131</v>
      </c>
      <c r="F175" s="2" t="s">
        <v>97</v>
      </c>
      <c r="G175" s="2">
        <v>4</v>
      </c>
      <c r="H175" s="2">
        <v>899</v>
      </c>
      <c r="I175" s="2">
        <v>5</v>
      </c>
      <c r="J175" s="2" t="s">
        <v>29</v>
      </c>
      <c r="K175" s="2" t="s">
        <v>36</v>
      </c>
      <c r="L175" s="2" t="s">
        <v>19</v>
      </c>
      <c r="M175">
        <f t="shared" si="8"/>
        <v>3416.2</v>
      </c>
      <c r="N175" t="str">
        <f t="shared" si="9"/>
        <v>March</v>
      </c>
      <c r="O175" t="str">
        <f t="shared" si="10"/>
        <v>Medium</v>
      </c>
      <c r="P175" s="4">
        <f t="shared" ca="1" si="11"/>
        <v>473</v>
      </c>
    </row>
    <row r="176" spans="1:16" x14ac:dyDescent="0.3">
      <c r="A176" s="2">
        <v>1175</v>
      </c>
      <c r="B176" s="2" t="s">
        <v>336</v>
      </c>
      <c r="C176" s="2" t="s">
        <v>337</v>
      </c>
      <c r="D176" s="2" t="s">
        <v>47</v>
      </c>
      <c r="E176" s="2" t="s">
        <v>86</v>
      </c>
      <c r="F176" s="2" t="s">
        <v>77</v>
      </c>
      <c r="G176" s="2">
        <v>5</v>
      </c>
      <c r="H176" s="2">
        <v>2999</v>
      </c>
      <c r="I176" s="2">
        <v>15</v>
      </c>
      <c r="J176" s="2" t="s">
        <v>35</v>
      </c>
      <c r="K176" s="2" t="s">
        <v>407</v>
      </c>
      <c r="L176" s="2" t="s">
        <v>19</v>
      </c>
      <c r="M176">
        <f t="shared" si="8"/>
        <v>12745.75</v>
      </c>
      <c r="N176" t="str">
        <f t="shared" si="9"/>
        <v>March</v>
      </c>
      <c r="O176" t="str">
        <f t="shared" si="10"/>
        <v>High</v>
      </c>
      <c r="P176" s="4">
        <f t="shared" ca="1" si="11"/>
        <v>489</v>
      </c>
    </row>
    <row r="177" spans="1:16" x14ac:dyDescent="0.3">
      <c r="A177" s="2">
        <v>1176</v>
      </c>
      <c r="B177" s="2" t="s">
        <v>338</v>
      </c>
      <c r="C177" s="2" t="s">
        <v>323</v>
      </c>
      <c r="D177" s="2" t="s">
        <v>121</v>
      </c>
      <c r="E177" s="2" t="s">
        <v>131</v>
      </c>
      <c r="F177" s="2" t="s">
        <v>262</v>
      </c>
      <c r="G177" s="2">
        <v>6</v>
      </c>
      <c r="H177" s="2">
        <v>999</v>
      </c>
      <c r="I177" s="2">
        <v>10</v>
      </c>
      <c r="J177" s="2" t="s">
        <v>29</v>
      </c>
      <c r="K177" s="2" t="s">
        <v>30</v>
      </c>
      <c r="L177" s="2" t="s">
        <v>19</v>
      </c>
      <c r="M177">
        <f t="shared" si="8"/>
        <v>5394.6</v>
      </c>
      <c r="N177" t="str">
        <f t="shared" si="9"/>
        <v>December</v>
      </c>
      <c r="O177" t="str">
        <f t="shared" si="10"/>
        <v>High</v>
      </c>
      <c r="P177" s="4">
        <f t="shared" ca="1" si="11"/>
        <v>217</v>
      </c>
    </row>
    <row r="178" spans="1:16" x14ac:dyDescent="0.3">
      <c r="A178" s="2">
        <v>1177</v>
      </c>
      <c r="B178" s="2" t="s">
        <v>339</v>
      </c>
      <c r="C178" s="2" t="s">
        <v>168</v>
      </c>
      <c r="D178" s="2" t="s">
        <v>121</v>
      </c>
      <c r="E178" s="2" t="s">
        <v>86</v>
      </c>
      <c r="F178" s="2" t="s">
        <v>153</v>
      </c>
      <c r="G178" s="2">
        <v>7</v>
      </c>
      <c r="H178" s="2">
        <v>2499</v>
      </c>
      <c r="I178" s="2">
        <v>0</v>
      </c>
      <c r="J178" s="2" t="s">
        <v>43</v>
      </c>
      <c r="K178" s="2" t="s">
        <v>44</v>
      </c>
      <c r="L178" s="2" t="s">
        <v>19</v>
      </c>
      <c r="M178">
        <f t="shared" si="8"/>
        <v>17493</v>
      </c>
      <c r="N178" t="str">
        <f t="shared" si="9"/>
        <v>December</v>
      </c>
      <c r="O178" t="str">
        <f t="shared" si="10"/>
        <v>High</v>
      </c>
      <c r="P178" s="4">
        <f t="shared" ca="1" si="11"/>
        <v>218</v>
      </c>
    </row>
    <row r="179" spans="1:16" x14ac:dyDescent="0.3">
      <c r="A179" s="2">
        <v>1178</v>
      </c>
      <c r="B179" s="2" t="s">
        <v>340</v>
      </c>
      <c r="C179" s="2" t="s">
        <v>341</v>
      </c>
      <c r="D179" s="2" t="s">
        <v>93</v>
      </c>
      <c r="E179" s="2" t="s">
        <v>131</v>
      </c>
      <c r="F179" s="2" t="s">
        <v>80</v>
      </c>
      <c r="G179" s="2">
        <v>5</v>
      </c>
      <c r="H179" s="2">
        <v>599</v>
      </c>
      <c r="I179" s="2">
        <v>10</v>
      </c>
      <c r="J179" s="2" t="s">
        <v>29</v>
      </c>
      <c r="K179" s="2" t="s">
        <v>18</v>
      </c>
      <c r="L179" s="2" t="s">
        <v>19</v>
      </c>
      <c r="M179">
        <f t="shared" si="8"/>
        <v>2695.5</v>
      </c>
      <c r="N179" t="str">
        <f t="shared" si="9"/>
        <v>July</v>
      </c>
      <c r="O179" t="str">
        <f t="shared" si="10"/>
        <v>Medium</v>
      </c>
      <c r="P179" s="4">
        <f t="shared" ca="1" si="11"/>
        <v>373</v>
      </c>
    </row>
    <row r="180" spans="1:16" x14ac:dyDescent="0.3">
      <c r="A180" s="2">
        <v>1233</v>
      </c>
      <c r="B180" s="2" t="s">
        <v>342</v>
      </c>
      <c r="C180" s="2" t="s">
        <v>318</v>
      </c>
      <c r="D180" s="2" t="s">
        <v>47</v>
      </c>
      <c r="E180" s="2" t="s">
        <v>48</v>
      </c>
      <c r="F180" s="2" t="s">
        <v>49</v>
      </c>
      <c r="G180" s="2">
        <v>2</v>
      </c>
      <c r="H180" s="2">
        <v>2499</v>
      </c>
      <c r="I180" s="2">
        <v>10</v>
      </c>
      <c r="J180" s="2" t="s">
        <v>61</v>
      </c>
      <c r="K180" s="2" t="s">
        <v>18</v>
      </c>
      <c r="L180" s="2" t="s">
        <v>19</v>
      </c>
      <c r="M180">
        <f t="shared" si="8"/>
        <v>4498.2</v>
      </c>
      <c r="N180" t="str">
        <f t="shared" si="9"/>
        <v>May</v>
      </c>
      <c r="O180" t="str">
        <f t="shared" si="10"/>
        <v>Medium</v>
      </c>
      <c r="P180" s="4">
        <f t="shared" ca="1" si="11"/>
        <v>406</v>
      </c>
    </row>
    <row r="181" spans="1:16" x14ac:dyDescent="0.3">
      <c r="A181" s="2">
        <v>1180</v>
      </c>
      <c r="B181" s="2" t="s">
        <v>343</v>
      </c>
      <c r="C181" s="2" t="s">
        <v>256</v>
      </c>
      <c r="D181" s="2" t="s">
        <v>33</v>
      </c>
      <c r="E181" s="2" t="s">
        <v>15</v>
      </c>
      <c r="F181" s="2" t="s">
        <v>16</v>
      </c>
      <c r="G181" s="2">
        <v>1</v>
      </c>
      <c r="H181" s="2">
        <v>3499</v>
      </c>
      <c r="I181" s="2">
        <v>10</v>
      </c>
      <c r="J181" s="2" t="s">
        <v>26</v>
      </c>
      <c r="K181" s="2" t="s">
        <v>68</v>
      </c>
      <c r="L181" s="2" t="s">
        <v>83</v>
      </c>
      <c r="M181">
        <f t="shared" si="8"/>
        <v>3149.1</v>
      </c>
      <c r="N181" t="str">
        <f t="shared" si="9"/>
        <v>June</v>
      </c>
      <c r="O181" t="str">
        <f t="shared" si="10"/>
        <v>Medium</v>
      </c>
      <c r="P181" s="4">
        <f t="shared" ca="1" si="11"/>
        <v>395</v>
      </c>
    </row>
    <row r="182" spans="1:16" x14ac:dyDescent="0.3">
      <c r="A182" s="2">
        <v>1181</v>
      </c>
      <c r="B182" s="2" t="s">
        <v>344</v>
      </c>
      <c r="C182" s="2" t="s">
        <v>32</v>
      </c>
      <c r="D182" s="2" t="s">
        <v>47</v>
      </c>
      <c r="E182" s="2" t="s">
        <v>71</v>
      </c>
      <c r="F182" s="2" t="s">
        <v>110</v>
      </c>
      <c r="G182" s="2">
        <v>1</v>
      </c>
      <c r="H182" s="2">
        <v>1499</v>
      </c>
      <c r="I182" s="2">
        <v>5</v>
      </c>
      <c r="J182" s="2" t="s">
        <v>17</v>
      </c>
      <c r="K182" s="2" t="s">
        <v>18</v>
      </c>
      <c r="L182" s="2" t="s">
        <v>19</v>
      </c>
      <c r="M182">
        <f t="shared" si="8"/>
        <v>1424.05</v>
      </c>
      <c r="N182" t="str">
        <f t="shared" si="9"/>
        <v>July</v>
      </c>
      <c r="O182" t="str">
        <f t="shared" si="10"/>
        <v>Low</v>
      </c>
      <c r="P182" s="4">
        <f t="shared" ca="1" si="11"/>
        <v>350</v>
      </c>
    </row>
    <row r="183" spans="1:16" x14ac:dyDescent="0.3">
      <c r="A183" s="2">
        <v>1182</v>
      </c>
      <c r="B183" s="2" t="s">
        <v>310</v>
      </c>
      <c r="C183" s="2" t="s">
        <v>323</v>
      </c>
      <c r="D183" s="2" t="s">
        <v>39</v>
      </c>
      <c r="E183" s="2" t="s">
        <v>71</v>
      </c>
      <c r="F183" s="2" t="s">
        <v>72</v>
      </c>
      <c r="G183" s="2">
        <v>6</v>
      </c>
      <c r="H183" s="2">
        <v>2999</v>
      </c>
      <c r="I183" s="2">
        <v>0</v>
      </c>
      <c r="J183" s="2" t="s">
        <v>35</v>
      </c>
      <c r="K183" s="2" t="s">
        <v>406</v>
      </c>
      <c r="L183" s="2" t="s">
        <v>83</v>
      </c>
      <c r="M183">
        <f t="shared" si="8"/>
        <v>17994</v>
      </c>
      <c r="N183" t="str">
        <f t="shared" si="9"/>
        <v>February</v>
      </c>
      <c r="O183" t="str">
        <f t="shared" si="10"/>
        <v>High</v>
      </c>
      <c r="P183" s="4">
        <f t="shared" ca="1" si="11"/>
        <v>523</v>
      </c>
    </row>
    <row r="184" spans="1:16" x14ac:dyDescent="0.3">
      <c r="A184" s="2">
        <v>1183</v>
      </c>
      <c r="B184" s="2" t="s">
        <v>147</v>
      </c>
      <c r="C184" s="2" t="s">
        <v>407</v>
      </c>
      <c r="D184" s="2" t="s">
        <v>93</v>
      </c>
      <c r="E184" s="2" t="s">
        <v>86</v>
      </c>
      <c r="F184" s="2" t="s">
        <v>74</v>
      </c>
      <c r="G184" s="2">
        <v>7</v>
      </c>
      <c r="H184" s="2">
        <v>999</v>
      </c>
      <c r="I184" s="2">
        <v>0</v>
      </c>
      <c r="J184" s="2" t="s">
        <v>43</v>
      </c>
      <c r="K184" s="2" t="s">
        <v>18</v>
      </c>
      <c r="L184" s="2" t="s">
        <v>19</v>
      </c>
      <c r="M184">
        <f t="shared" si="8"/>
        <v>6993</v>
      </c>
      <c r="N184" t="str">
        <f t="shared" si="9"/>
        <v>March</v>
      </c>
      <c r="O184" t="str">
        <f t="shared" si="10"/>
        <v>High</v>
      </c>
      <c r="P184" s="4">
        <f t="shared" ca="1" si="11"/>
        <v>489</v>
      </c>
    </row>
    <row r="185" spans="1:16" x14ac:dyDescent="0.3">
      <c r="A185" s="2">
        <v>1184</v>
      </c>
      <c r="B185" s="2" t="s">
        <v>345</v>
      </c>
      <c r="C185" s="2" t="s">
        <v>178</v>
      </c>
      <c r="D185" s="2" t="s">
        <v>47</v>
      </c>
      <c r="E185" s="2" t="s">
        <v>48</v>
      </c>
      <c r="F185" s="2" t="s">
        <v>206</v>
      </c>
      <c r="G185" s="2">
        <v>5</v>
      </c>
      <c r="H185" s="2">
        <v>499</v>
      </c>
      <c r="I185" s="2">
        <v>15</v>
      </c>
      <c r="J185" s="2" t="s">
        <v>17</v>
      </c>
      <c r="K185" s="2" t="s">
        <v>44</v>
      </c>
      <c r="L185" s="2" t="s">
        <v>19</v>
      </c>
      <c r="M185">
        <f t="shared" si="8"/>
        <v>2120.75</v>
      </c>
      <c r="N185" t="str">
        <f t="shared" si="9"/>
        <v>August</v>
      </c>
      <c r="O185" t="str">
        <f t="shared" si="10"/>
        <v>Medium</v>
      </c>
      <c r="P185" s="4">
        <f t="shared" ca="1" si="11"/>
        <v>314</v>
      </c>
    </row>
    <row r="186" spans="1:16" x14ac:dyDescent="0.3">
      <c r="A186" s="2">
        <v>1185</v>
      </c>
      <c r="B186" s="2" t="s">
        <v>346</v>
      </c>
      <c r="C186" s="2" t="s">
        <v>76</v>
      </c>
      <c r="D186" s="2" t="s">
        <v>93</v>
      </c>
      <c r="E186" s="2" t="s">
        <v>71</v>
      </c>
      <c r="F186" s="2" t="s">
        <v>42</v>
      </c>
      <c r="G186" s="2">
        <v>8</v>
      </c>
      <c r="H186" s="2">
        <v>1499</v>
      </c>
      <c r="I186" s="2">
        <v>5</v>
      </c>
      <c r="J186" s="2" t="s">
        <v>17</v>
      </c>
      <c r="K186" s="2" t="s">
        <v>18</v>
      </c>
      <c r="L186" s="2" t="s">
        <v>224</v>
      </c>
      <c r="M186">
        <f t="shared" si="8"/>
        <v>11392.4</v>
      </c>
      <c r="N186" t="str">
        <f t="shared" si="9"/>
        <v>April</v>
      </c>
      <c r="O186" t="str">
        <f t="shared" si="10"/>
        <v>High</v>
      </c>
      <c r="P186" s="4">
        <f t="shared" ca="1" si="11"/>
        <v>453</v>
      </c>
    </row>
    <row r="187" spans="1:16" x14ac:dyDescent="0.3">
      <c r="A187" s="2">
        <v>1186</v>
      </c>
      <c r="B187" s="2" t="s">
        <v>330</v>
      </c>
      <c r="C187" s="2" t="s">
        <v>347</v>
      </c>
      <c r="D187" s="2" t="s">
        <v>14</v>
      </c>
      <c r="E187" s="2" t="s">
        <v>48</v>
      </c>
      <c r="F187" s="2" t="s">
        <v>206</v>
      </c>
      <c r="G187" s="2">
        <v>3</v>
      </c>
      <c r="H187" s="2">
        <v>249</v>
      </c>
      <c r="I187" s="2">
        <v>10</v>
      </c>
      <c r="J187" s="2" t="s">
        <v>35</v>
      </c>
      <c r="K187" s="2" t="s">
        <v>30</v>
      </c>
      <c r="L187" s="2" t="s">
        <v>19</v>
      </c>
      <c r="M187">
        <f t="shared" si="8"/>
        <v>672.30000000000007</v>
      </c>
      <c r="N187" t="str">
        <f t="shared" si="9"/>
        <v>February</v>
      </c>
      <c r="O187" t="str">
        <f t="shared" si="10"/>
        <v>Low</v>
      </c>
      <c r="P187" s="4">
        <f t="shared" ca="1" si="11"/>
        <v>505</v>
      </c>
    </row>
    <row r="188" spans="1:16" x14ac:dyDescent="0.3">
      <c r="A188" s="2">
        <v>1187</v>
      </c>
      <c r="B188" s="2" t="s">
        <v>348</v>
      </c>
      <c r="C188" s="2" t="s">
        <v>51</v>
      </c>
      <c r="D188" s="2" t="s">
        <v>14</v>
      </c>
      <c r="E188" s="2" t="s">
        <v>131</v>
      </c>
      <c r="F188" s="2" t="s">
        <v>262</v>
      </c>
      <c r="G188" s="2">
        <v>3</v>
      </c>
      <c r="H188" s="2">
        <v>349</v>
      </c>
      <c r="I188" s="2">
        <v>15</v>
      </c>
      <c r="J188" s="2" t="s">
        <v>61</v>
      </c>
      <c r="K188" s="2" t="s">
        <v>406</v>
      </c>
      <c r="L188" s="2" t="s">
        <v>83</v>
      </c>
      <c r="M188">
        <f t="shared" si="8"/>
        <v>889.94999999999993</v>
      </c>
      <c r="N188" t="str">
        <f t="shared" si="9"/>
        <v>March</v>
      </c>
      <c r="O188" t="str">
        <f t="shared" si="10"/>
        <v>Low</v>
      </c>
      <c r="P188" s="4">
        <f t="shared" ca="1" si="11"/>
        <v>469</v>
      </c>
    </row>
    <row r="189" spans="1:16" x14ac:dyDescent="0.3">
      <c r="A189" s="2">
        <v>1188</v>
      </c>
      <c r="B189" s="2" t="s">
        <v>336</v>
      </c>
      <c r="C189" s="2" t="s">
        <v>300</v>
      </c>
      <c r="D189" s="2" t="s">
        <v>121</v>
      </c>
      <c r="E189" s="2" t="s">
        <v>71</v>
      </c>
      <c r="F189" s="2" t="s">
        <v>72</v>
      </c>
      <c r="G189" s="2">
        <v>8</v>
      </c>
      <c r="H189" s="2">
        <v>599</v>
      </c>
      <c r="I189" s="2">
        <v>15</v>
      </c>
      <c r="J189" s="2" t="s">
        <v>35</v>
      </c>
      <c r="K189" s="2" t="s">
        <v>44</v>
      </c>
      <c r="L189" s="2" t="s">
        <v>83</v>
      </c>
      <c r="M189">
        <f t="shared" si="8"/>
        <v>4073.2</v>
      </c>
      <c r="N189" t="str">
        <f t="shared" si="9"/>
        <v>March</v>
      </c>
      <c r="O189" t="str">
        <f t="shared" si="10"/>
        <v>Medium</v>
      </c>
      <c r="P189" s="4">
        <f t="shared" ca="1" si="11"/>
        <v>489</v>
      </c>
    </row>
    <row r="190" spans="1:16" x14ac:dyDescent="0.3">
      <c r="A190" s="2">
        <v>1189</v>
      </c>
      <c r="B190" s="2" t="s">
        <v>349</v>
      </c>
      <c r="C190" s="2" t="s">
        <v>258</v>
      </c>
      <c r="D190" s="2" t="s">
        <v>14</v>
      </c>
      <c r="E190" s="2" t="s">
        <v>86</v>
      </c>
      <c r="F190" s="2" t="s">
        <v>87</v>
      </c>
      <c r="G190" s="2">
        <v>4</v>
      </c>
      <c r="H190" s="2">
        <v>1499</v>
      </c>
      <c r="I190" s="2">
        <v>0</v>
      </c>
      <c r="J190" s="2" t="s">
        <v>61</v>
      </c>
      <c r="K190" s="2" t="s">
        <v>36</v>
      </c>
      <c r="L190" s="2" t="s">
        <v>19</v>
      </c>
      <c r="M190">
        <f t="shared" si="8"/>
        <v>5996</v>
      </c>
      <c r="N190" t="str">
        <f t="shared" si="9"/>
        <v>July</v>
      </c>
      <c r="O190" t="str">
        <f t="shared" si="10"/>
        <v>High</v>
      </c>
      <c r="P190" s="4">
        <f t="shared" ca="1" si="11"/>
        <v>346</v>
      </c>
    </row>
    <row r="191" spans="1:16" x14ac:dyDescent="0.3">
      <c r="A191" s="2">
        <v>1190</v>
      </c>
      <c r="B191" s="2" t="s">
        <v>350</v>
      </c>
      <c r="C191" s="2" t="s">
        <v>351</v>
      </c>
      <c r="D191" s="2" t="s">
        <v>33</v>
      </c>
      <c r="E191" s="2" t="s">
        <v>15</v>
      </c>
      <c r="F191" s="2" t="s">
        <v>28</v>
      </c>
      <c r="G191" s="2">
        <v>6</v>
      </c>
      <c r="H191" s="2">
        <v>899</v>
      </c>
      <c r="I191" s="2">
        <v>10</v>
      </c>
      <c r="J191" s="2" t="s">
        <v>35</v>
      </c>
      <c r="K191" s="2" t="s">
        <v>18</v>
      </c>
      <c r="L191" s="2" t="s">
        <v>19</v>
      </c>
      <c r="M191">
        <f t="shared" si="8"/>
        <v>4854.6000000000004</v>
      </c>
      <c r="N191" t="str">
        <f t="shared" si="9"/>
        <v>January</v>
      </c>
      <c r="O191" t="str">
        <f t="shared" si="10"/>
        <v>Medium</v>
      </c>
      <c r="P191" s="4">
        <f t="shared" ca="1" si="11"/>
        <v>529</v>
      </c>
    </row>
    <row r="192" spans="1:16" x14ac:dyDescent="0.3">
      <c r="A192" s="2">
        <v>1191</v>
      </c>
      <c r="B192" s="2" t="s">
        <v>352</v>
      </c>
      <c r="C192" s="2" t="s">
        <v>145</v>
      </c>
      <c r="D192" s="2" t="s">
        <v>121</v>
      </c>
      <c r="E192" s="2" t="s">
        <v>131</v>
      </c>
      <c r="F192" s="2" t="s">
        <v>90</v>
      </c>
      <c r="G192" s="2">
        <v>7</v>
      </c>
      <c r="H192" s="2">
        <v>249</v>
      </c>
      <c r="I192" s="2">
        <v>0</v>
      </c>
      <c r="J192" s="2" t="s">
        <v>17</v>
      </c>
      <c r="K192" s="2" t="s">
        <v>44</v>
      </c>
      <c r="L192" s="2" t="s">
        <v>224</v>
      </c>
      <c r="M192">
        <f t="shared" si="8"/>
        <v>1743</v>
      </c>
      <c r="N192" t="str">
        <f t="shared" si="9"/>
        <v>February</v>
      </c>
      <c r="O192" t="str">
        <f t="shared" si="10"/>
        <v>Medium</v>
      </c>
      <c r="P192" s="4">
        <f t="shared" ca="1" si="11"/>
        <v>511</v>
      </c>
    </row>
    <row r="193" spans="1:16" x14ac:dyDescent="0.3">
      <c r="A193" s="2">
        <v>1192</v>
      </c>
      <c r="B193" s="2" t="s">
        <v>353</v>
      </c>
      <c r="C193" s="2" t="s">
        <v>354</v>
      </c>
      <c r="D193" s="2" t="s">
        <v>39</v>
      </c>
      <c r="E193" s="2" t="s">
        <v>86</v>
      </c>
      <c r="F193" s="2" t="s">
        <v>153</v>
      </c>
      <c r="G193" s="2">
        <v>2</v>
      </c>
      <c r="H193" s="2">
        <v>349</v>
      </c>
      <c r="I193" s="2">
        <v>5</v>
      </c>
      <c r="J193" s="2" t="s">
        <v>17</v>
      </c>
      <c r="K193" s="2" t="s">
        <v>30</v>
      </c>
      <c r="L193" s="2" t="s">
        <v>83</v>
      </c>
      <c r="M193">
        <f t="shared" si="8"/>
        <v>663.1</v>
      </c>
      <c r="N193" t="str">
        <f t="shared" si="9"/>
        <v>April</v>
      </c>
      <c r="O193" t="str">
        <f t="shared" si="10"/>
        <v>Low</v>
      </c>
      <c r="P193" s="4">
        <f t="shared" ca="1" si="11"/>
        <v>442</v>
      </c>
    </row>
    <row r="194" spans="1:16" x14ac:dyDescent="0.3">
      <c r="A194" s="2">
        <v>1193</v>
      </c>
      <c r="B194" s="2" t="s">
        <v>355</v>
      </c>
      <c r="C194" s="2" t="s">
        <v>168</v>
      </c>
      <c r="D194" s="2" t="s">
        <v>33</v>
      </c>
      <c r="E194" s="2" t="s">
        <v>86</v>
      </c>
      <c r="F194" s="2" t="s">
        <v>34</v>
      </c>
      <c r="G194" s="2">
        <v>4</v>
      </c>
      <c r="H194" s="2">
        <v>349</v>
      </c>
      <c r="I194" s="2">
        <v>15</v>
      </c>
      <c r="J194" s="2" t="s">
        <v>26</v>
      </c>
      <c r="K194" s="2" t="s">
        <v>406</v>
      </c>
      <c r="L194" s="2" t="s">
        <v>19</v>
      </c>
      <c r="M194">
        <f t="shared" si="8"/>
        <v>1186.5999999999999</v>
      </c>
      <c r="N194" t="str">
        <f t="shared" si="9"/>
        <v>March</v>
      </c>
      <c r="O194" t="str">
        <f t="shared" si="10"/>
        <v>Low</v>
      </c>
      <c r="P194" s="4">
        <f t="shared" ca="1" si="11"/>
        <v>472</v>
      </c>
    </row>
    <row r="195" spans="1:16" x14ac:dyDescent="0.3">
      <c r="A195" s="2">
        <v>1194</v>
      </c>
      <c r="B195" s="2" t="s">
        <v>263</v>
      </c>
      <c r="C195" s="2" t="s">
        <v>356</v>
      </c>
      <c r="D195" s="2" t="s">
        <v>47</v>
      </c>
      <c r="E195" s="2" t="s">
        <v>71</v>
      </c>
      <c r="F195" s="2" t="s">
        <v>72</v>
      </c>
      <c r="G195" s="2">
        <v>8</v>
      </c>
      <c r="H195" s="2">
        <v>599</v>
      </c>
      <c r="I195" s="2">
        <v>0</v>
      </c>
      <c r="J195" s="2" t="s">
        <v>29</v>
      </c>
      <c r="K195" s="2" t="s">
        <v>36</v>
      </c>
      <c r="L195" s="2" t="s">
        <v>19</v>
      </c>
      <c r="M195">
        <f t="shared" ref="M195:M231" si="12">G195*H195*(1-I195/100)</f>
        <v>4792</v>
      </c>
      <c r="N195" t="str">
        <f t="shared" ref="N195:N231" si="13">TEXT(B195,"mmmm")</f>
        <v>August</v>
      </c>
      <c r="O195" t="str">
        <f t="shared" ref="O195:O231" si="14">IF(M195&gt;5000,"High", IF(M195&gt;1500,"Medium","Low") )</f>
        <v>Medium</v>
      </c>
      <c r="P195" s="4">
        <f t="shared" ref="P195:P231" ca="1" si="15">TODAY()-B195</f>
        <v>326</v>
      </c>
    </row>
    <row r="196" spans="1:16" x14ac:dyDescent="0.3">
      <c r="A196" s="2">
        <v>1195</v>
      </c>
      <c r="B196" s="2" t="s">
        <v>116</v>
      </c>
      <c r="C196" s="2" t="s">
        <v>357</v>
      </c>
      <c r="D196" s="2" t="s">
        <v>14</v>
      </c>
      <c r="E196" s="2" t="s">
        <v>48</v>
      </c>
      <c r="F196" s="2" t="s">
        <v>60</v>
      </c>
      <c r="G196" s="2">
        <v>7</v>
      </c>
      <c r="H196" s="2">
        <v>1299</v>
      </c>
      <c r="I196" s="2">
        <v>10</v>
      </c>
      <c r="J196" s="2" t="s">
        <v>29</v>
      </c>
      <c r="K196" s="2" t="s">
        <v>44</v>
      </c>
      <c r="L196" s="2" t="s">
        <v>19</v>
      </c>
      <c r="M196">
        <f t="shared" si="12"/>
        <v>8183.7</v>
      </c>
      <c r="N196" t="str">
        <f t="shared" si="13"/>
        <v>December</v>
      </c>
      <c r="O196" t="str">
        <f t="shared" si="14"/>
        <v>High</v>
      </c>
      <c r="P196" s="4">
        <f t="shared" ca="1" si="15"/>
        <v>202</v>
      </c>
    </row>
    <row r="197" spans="1:16" x14ac:dyDescent="0.3">
      <c r="A197" s="2">
        <v>1196</v>
      </c>
      <c r="B197" s="2" t="s">
        <v>358</v>
      </c>
      <c r="C197" s="2" t="s">
        <v>359</v>
      </c>
      <c r="D197" s="2" t="s">
        <v>47</v>
      </c>
      <c r="E197" s="2" t="s">
        <v>71</v>
      </c>
      <c r="F197" s="2" t="s">
        <v>72</v>
      </c>
      <c r="G197" s="2">
        <v>7</v>
      </c>
      <c r="H197" s="2">
        <v>1299</v>
      </c>
      <c r="I197" s="2">
        <v>15</v>
      </c>
      <c r="J197" s="2" t="s">
        <v>17</v>
      </c>
      <c r="K197" s="2" t="s">
        <v>44</v>
      </c>
      <c r="L197" s="2" t="s">
        <v>19</v>
      </c>
      <c r="M197">
        <f t="shared" si="12"/>
        <v>7729.05</v>
      </c>
      <c r="N197" t="str">
        <f t="shared" si="13"/>
        <v>November</v>
      </c>
      <c r="O197" t="str">
        <f t="shared" si="14"/>
        <v>High</v>
      </c>
      <c r="P197" s="4">
        <f t="shared" ca="1" si="15"/>
        <v>224</v>
      </c>
    </row>
    <row r="198" spans="1:16" x14ac:dyDescent="0.3">
      <c r="A198" s="2">
        <v>1197</v>
      </c>
      <c r="B198" s="2" t="s">
        <v>360</v>
      </c>
      <c r="C198" s="2" t="s">
        <v>361</v>
      </c>
      <c r="D198" s="2" t="s">
        <v>47</v>
      </c>
      <c r="E198" s="2" t="s">
        <v>15</v>
      </c>
      <c r="F198" s="2" t="s">
        <v>173</v>
      </c>
      <c r="G198" s="2">
        <v>8</v>
      </c>
      <c r="H198" s="2">
        <v>349</v>
      </c>
      <c r="I198" s="2">
        <v>5</v>
      </c>
      <c r="J198" s="2" t="s">
        <v>29</v>
      </c>
      <c r="K198" s="2" t="s">
        <v>44</v>
      </c>
      <c r="L198" s="2" t="s">
        <v>19</v>
      </c>
      <c r="M198">
        <f t="shared" si="12"/>
        <v>2652.4</v>
      </c>
      <c r="N198" t="str">
        <f t="shared" si="13"/>
        <v>May</v>
      </c>
      <c r="O198" t="str">
        <f t="shared" si="14"/>
        <v>Medium</v>
      </c>
      <c r="P198" s="4">
        <f t="shared" ca="1" si="15"/>
        <v>410</v>
      </c>
    </row>
    <row r="199" spans="1:16" x14ac:dyDescent="0.3">
      <c r="A199" s="2">
        <v>1198</v>
      </c>
      <c r="B199" s="2" t="s">
        <v>362</v>
      </c>
      <c r="C199" s="2" t="s">
        <v>354</v>
      </c>
      <c r="D199" s="2" t="s">
        <v>47</v>
      </c>
      <c r="E199" s="2" t="s">
        <v>86</v>
      </c>
      <c r="F199" s="2" t="s">
        <v>87</v>
      </c>
      <c r="G199" s="2">
        <v>8</v>
      </c>
      <c r="H199" s="2">
        <v>899</v>
      </c>
      <c r="I199" s="2">
        <v>10</v>
      </c>
      <c r="J199" s="2" t="s">
        <v>43</v>
      </c>
      <c r="K199" s="2" t="s">
        <v>44</v>
      </c>
      <c r="L199" s="2" t="s">
        <v>83</v>
      </c>
      <c r="M199">
        <f t="shared" si="12"/>
        <v>6472.8</v>
      </c>
      <c r="N199" t="str">
        <f t="shared" si="13"/>
        <v>July</v>
      </c>
      <c r="O199" t="str">
        <f t="shared" si="14"/>
        <v>High</v>
      </c>
      <c r="P199" s="4">
        <f t="shared" ca="1" si="15"/>
        <v>358</v>
      </c>
    </row>
    <row r="200" spans="1:16" x14ac:dyDescent="0.3">
      <c r="A200" s="2">
        <v>1199</v>
      </c>
      <c r="B200" s="2" t="s">
        <v>363</v>
      </c>
      <c r="C200" s="2" t="s">
        <v>89</v>
      </c>
      <c r="D200" s="2" t="s">
        <v>121</v>
      </c>
      <c r="E200" s="2" t="s">
        <v>86</v>
      </c>
      <c r="F200" s="2" t="s">
        <v>77</v>
      </c>
      <c r="G200" s="2">
        <v>3</v>
      </c>
      <c r="H200" s="2">
        <v>599</v>
      </c>
      <c r="I200" s="2">
        <v>10</v>
      </c>
      <c r="J200" s="2" t="s">
        <v>17</v>
      </c>
      <c r="K200" s="2" t="s">
        <v>30</v>
      </c>
      <c r="L200" s="2" t="s">
        <v>19</v>
      </c>
      <c r="M200">
        <f t="shared" si="12"/>
        <v>1617.3</v>
      </c>
      <c r="N200" t="str">
        <f t="shared" si="13"/>
        <v>March</v>
      </c>
      <c r="O200" t="str">
        <f t="shared" si="14"/>
        <v>Medium</v>
      </c>
      <c r="P200" s="4">
        <f t="shared" ca="1" si="15"/>
        <v>468</v>
      </c>
    </row>
    <row r="201" spans="1:16" x14ac:dyDescent="0.3">
      <c r="A201" s="2">
        <v>1200</v>
      </c>
      <c r="B201" s="2" t="s">
        <v>364</v>
      </c>
      <c r="C201" s="2" t="s">
        <v>190</v>
      </c>
      <c r="D201" s="2" t="s">
        <v>14</v>
      </c>
      <c r="E201" s="2" t="s">
        <v>86</v>
      </c>
      <c r="F201" s="2" t="s">
        <v>34</v>
      </c>
      <c r="G201" s="2">
        <v>3</v>
      </c>
      <c r="H201" s="2">
        <v>299</v>
      </c>
      <c r="I201" s="2">
        <v>0</v>
      </c>
      <c r="J201" s="2" t="s">
        <v>61</v>
      </c>
      <c r="K201" s="2" t="s">
        <v>44</v>
      </c>
      <c r="L201" s="2" t="s">
        <v>19</v>
      </c>
      <c r="M201">
        <f t="shared" si="12"/>
        <v>897</v>
      </c>
      <c r="N201" t="str">
        <f t="shared" si="13"/>
        <v>November</v>
      </c>
      <c r="O201" t="str">
        <f t="shared" si="14"/>
        <v>Low</v>
      </c>
      <c r="P201" s="4">
        <f t="shared" ca="1" si="15"/>
        <v>241</v>
      </c>
    </row>
    <row r="202" spans="1:16" x14ac:dyDescent="0.3">
      <c r="A202" s="2">
        <v>1201</v>
      </c>
      <c r="B202" s="2" t="s">
        <v>365</v>
      </c>
      <c r="C202" s="2" t="s">
        <v>209</v>
      </c>
      <c r="D202" s="2" t="s">
        <v>47</v>
      </c>
      <c r="E202" s="2" t="s">
        <v>86</v>
      </c>
      <c r="F202" s="2" t="s">
        <v>34</v>
      </c>
      <c r="G202" s="2">
        <v>5</v>
      </c>
      <c r="H202" s="2">
        <v>249</v>
      </c>
      <c r="I202" s="2">
        <v>10</v>
      </c>
      <c r="J202" s="2" t="s">
        <v>61</v>
      </c>
      <c r="K202" s="2" t="s">
        <v>18</v>
      </c>
      <c r="L202" s="2" t="s">
        <v>19</v>
      </c>
      <c r="M202">
        <f t="shared" si="12"/>
        <v>1120.5</v>
      </c>
      <c r="N202" t="str">
        <f t="shared" si="13"/>
        <v>November</v>
      </c>
      <c r="O202" t="str">
        <f t="shared" si="14"/>
        <v>Low</v>
      </c>
      <c r="P202" s="4">
        <f t="shared" ca="1" si="15"/>
        <v>240</v>
      </c>
    </row>
    <row r="203" spans="1:16" x14ac:dyDescent="0.3">
      <c r="A203" s="2">
        <v>1202</v>
      </c>
      <c r="B203" s="2" t="s">
        <v>366</v>
      </c>
      <c r="C203" s="2" t="s">
        <v>104</v>
      </c>
      <c r="D203" s="2" t="s">
        <v>14</v>
      </c>
      <c r="E203" s="2" t="s">
        <v>15</v>
      </c>
      <c r="F203" s="2" t="s">
        <v>64</v>
      </c>
      <c r="G203" s="2">
        <v>2</v>
      </c>
      <c r="H203" s="2">
        <v>349</v>
      </c>
      <c r="I203" s="2">
        <v>0</v>
      </c>
      <c r="J203" s="2" t="s">
        <v>43</v>
      </c>
      <c r="K203" s="2" t="s">
        <v>44</v>
      </c>
      <c r="L203" s="2" t="s">
        <v>19</v>
      </c>
      <c r="M203">
        <f t="shared" si="12"/>
        <v>698</v>
      </c>
      <c r="N203" t="str">
        <f t="shared" si="13"/>
        <v>September</v>
      </c>
      <c r="O203" t="str">
        <f t="shared" si="14"/>
        <v>Low</v>
      </c>
      <c r="P203" s="4">
        <f t="shared" ca="1" si="15"/>
        <v>296</v>
      </c>
    </row>
    <row r="204" spans="1:16" x14ac:dyDescent="0.3">
      <c r="A204" s="2">
        <v>1203</v>
      </c>
      <c r="B204" s="2" t="s">
        <v>367</v>
      </c>
      <c r="C204" s="2" t="s">
        <v>112</v>
      </c>
      <c r="D204" s="2" t="s">
        <v>47</v>
      </c>
      <c r="E204" s="2" t="s">
        <v>131</v>
      </c>
      <c r="F204" s="2" t="s">
        <v>262</v>
      </c>
      <c r="G204" s="2">
        <v>1</v>
      </c>
      <c r="H204" s="2">
        <v>299</v>
      </c>
      <c r="I204" s="2">
        <v>0</v>
      </c>
      <c r="J204" s="2" t="s">
        <v>17</v>
      </c>
      <c r="K204" s="2" t="s">
        <v>36</v>
      </c>
      <c r="L204" s="2" t="s">
        <v>19</v>
      </c>
      <c r="M204">
        <f t="shared" si="12"/>
        <v>299</v>
      </c>
      <c r="N204" t="str">
        <f t="shared" si="13"/>
        <v>April</v>
      </c>
      <c r="O204" t="str">
        <f t="shared" si="14"/>
        <v>Low</v>
      </c>
      <c r="P204" s="4">
        <f t="shared" ca="1" si="15"/>
        <v>451</v>
      </c>
    </row>
    <row r="205" spans="1:16" x14ac:dyDescent="0.3">
      <c r="A205" s="2">
        <v>1204</v>
      </c>
      <c r="B205" s="2" t="s">
        <v>368</v>
      </c>
      <c r="C205" s="2" t="s">
        <v>106</v>
      </c>
      <c r="D205" s="2" t="s">
        <v>47</v>
      </c>
      <c r="E205" s="2" t="s">
        <v>71</v>
      </c>
      <c r="F205" s="2" t="s">
        <v>72</v>
      </c>
      <c r="G205" s="2">
        <v>1</v>
      </c>
      <c r="H205" s="2">
        <v>299</v>
      </c>
      <c r="I205" s="2">
        <v>10</v>
      </c>
      <c r="J205" s="2" t="s">
        <v>43</v>
      </c>
      <c r="K205" s="2" t="s">
        <v>18</v>
      </c>
      <c r="L205" s="2" t="s">
        <v>83</v>
      </c>
      <c r="M205">
        <f t="shared" si="12"/>
        <v>269.10000000000002</v>
      </c>
      <c r="N205" t="str">
        <f t="shared" si="13"/>
        <v>August</v>
      </c>
      <c r="O205" t="str">
        <f t="shared" si="14"/>
        <v>Low</v>
      </c>
      <c r="P205" s="4">
        <f t="shared" ca="1" si="15"/>
        <v>335</v>
      </c>
    </row>
    <row r="206" spans="1:16" x14ac:dyDescent="0.3">
      <c r="A206" s="2">
        <v>1205</v>
      </c>
      <c r="B206" s="2" t="s">
        <v>369</v>
      </c>
      <c r="C206" s="2" t="s">
        <v>407</v>
      </c>
      <c r="D206" s="2" t="s">
        <v>93</v>
      </c>
      <c r="E206" s="2" t="s">
        <v>48</v>
      </c>
      <c r="F206" s="2" t="s">
        <v>23</v>
      </c>
      <c r="G206" s="2">
        <v>3</v>
      </c>
      <c r="H206" s="2">
        <v>1299</v>
      </c>
      <c r="I206" s="2">
        <v>10</v>
      </c>
      <c r="J206" s="2" t="s">
        <v>17</v>
      </c>
      <c r="K206" s="2" t="s">
        <v>44</v>
      </c>
      <c r="L206" s="2" t="s">
        <v>19</v>
      </c>
      <c r="M206">
        <f t="shared" si="12"/>
        <v>3507.3</v>
      </c>
      <c r="N206" t="str">
        <f t="shared" si="13"/>
        <v>December</v>
      </c>
      <c r="O206" t="str">
        <f t="shared" si="14"/>
        <v>Medium</v>
      </c>
      <c r="P206" s="4">
        <f t="shared" ca="1" si="15"/>
        <v>218</v>
      </c>
    </row>
    <row r="207" spans="1:16" x14ac:dyDescent="0.3">
      <c r="A207" s="2">
        <v>1206</v>
      </c>
      <c r="B207" s="2" t="s">
        <v>370</v>
      </c>
      <c r="C207" s="2" t="s">
        <v>112</v>
      </c>
      <c r="D207" s="2" t="s">
        <v>93</v>
      </c>
      <c r="E207" s="2" t="s">
        <v>15</v>
      </c>
      <c r="F207" s="2" t="s">
        <v>64</v>
      </c>
      <c r="G207" s="2">
        <v>5</v>
      </c>
      <c r="H207" s="2">
        <v>699</v>
      </c>
      <c r="I207" s="2">
        <v>0</v>
      </c>
      <c r="J207" s="2" t="s">
        <v>26</v>
      </c>
      <c r="K207" s="2" t="s">
        <v>44</v>
      </c>
      <c r="L207" s="2" t="s">
        <v>83</v>
      </c>
      <c r="M207">
        <f t="shared" si="12"/>
        <v>3495</v>
      </c>
      <c r="N207" t="str">
        <f t="shared" si="13"/>
        <v>June</v>
      </c>
      <c r="O207" t="str">
        <f t="shared" si="14"/>
        <v>Medium</v>
      </c>
      <c r="P207" s="4">
        <f t="shared" ca="1" si="15"/>
        <v>380</v>
      </c>
    </row>
    <row r="208" spans="1:16" x14ac:dyDescent="0.3">
      <c r="A208" s="2">
        <v>1207</v>
      </c>
      <c r="B208" s="2" t="s">
        <v>371</v>
      </c>
      <c r="C208" s="2" t="s">
        <v>372</v>
      </c>
      <c r="D208" s="2" t="s">
        <v>33</v>
      </c>
      <c r="E208" s="2" t="s">
        <v>86</v>
      </c>
      <c r="F208" s="2" t="s">
        <v>34</v>
      </c>
      <c r="G208" s="2">
        <v>2</v>
      </c>
      <c r="H208" s="2">
        <v>1299</v>
      </c>
      <c r="I208" s="2">
        <v>0</v>
      </c>
      <c r="J208" s="2" t="s">
        <v>26</v>
      </c>
      <c r="K208" s="2" t="s">
        <v>30</v>
      </c>
      <c r="L208" s="2" t="s">
        <v>19</v>
      </c>
      <c r="M208">
        <f t="shared" si="12"/>
        <v>2598</v>
      </c>
      <c r="N208" t="str">
        <f t="shared" si="13"/>
        <v>February</v>
      </c>
      <c r="O208" t="str">
        <f t="shared" si="14"/>
        <v>Medium</v>
      </c>
      <c r="P208" s="4">
        <f t="shared" ca="1" si="15"/>
        <v>522</v>
      </c>
    </row>
    <row r="209" spans="1:16" x14ac:dyDescent="0.3">
      <c r="A209" s="2">
        <v>1208</v>
      </c>
      <c r="B209" s="2" t="s">
        <v>373</v>
      </c>
      <c r="C209" s="2" t="s">
        <v>374</v>
      </c>
      <c r="D209" s="2" t="s">
        <v>14</v>
      </c>
      <c r="E209" s="2" t="s">
        <v>15</v>
      </c>
      <c r="F209" s="2" t="s">
        <v>173</v>
      </c>
      <c r="G209" s="2">
        <v>6</v>
      </c>
      <c r="H209" s="2">
        <v>499</v>
      </c>
      <c r="I209" s="2">
        <v>10</v>
      </c>
      <c r="J209" s="2" t="s">
        <v>61</v>
      </c>
      <c r="K209" s="2" t="s">
        <v>406</v>
      </c>
      <c r="L209" s="2" t="s">
        <v>19</v>
      </c>
      <c r="M209">
        <f t="shared" si="12"/>
        <v>2694.6</v>
      </c>
      <c r="N209" t="str">
        <f t="shared" si="13"/>
        <v>June</v>
      </c>
      <c r="O209" t="str">
        <f t="shared" si="14"/>
        <v>Medium</v>
      </c>
      <c r="P209" s="4">
        <f t="shared" ca="1" si="15"/>
        <v>395</v>
      </c>
    </row>
    <row r="210" spans="1:16" x14ac:dyDescent="0.3">
      <c r="A210" s="2">
        <v>1209</v>
      </c>
      <c r="B210" s="2" t="s">
        <v>375</v>
      </c>
      <c r="C210" s="2" t="s">
        <v>376</v>
      </c>
      <c r="D210" s="2" t="s">
        <v>47</v>
      </c>
      <c r="E210" s="2" t="s">
        <v>131</v>
      </c>
      <c r="F210" s="2" t="s">
        <v>134</v>
      </c>
      <c r="G210" s="2">
        <v>7</v>
      </c>
      <c r="H210" s="2">
        <v>699</v>
      </c>
      <c r="I210" s="2">
        <v>0</v>
      </c>
      <c r="J210" s="2" t="s">
        <v>43</v>
      </c>
      <c r="K210" s="2" t="s">
        <v>30</v>
      </c>
      <c r="L210" s="2" t="s">
        <v>19</v>
      </c>
      <c r="M210">
        <f t="shared" si="12"/>
        <v>4893</v>
      </c>
      <c r="N210" t="str">
        <f t="shared" si="13"/>
        <v>March</v>
      </c>
      <c r="O210" t="str">
        <f t="shared" si="14"/>
        <v>Medium</v>
      </c>
      <c r="P210" s="4">
        <f t="shared" ca="1" si="15"/>
        <v>485</v>
      </c>
    </row>
    <row r="211" spans="1:16" x14ac:dyDescent="0.3">
      <c r="A211" s="2">
        <v>1210</v>
      </c>
      <c r="B211" s="2" t="s">
        <v>377</v>
      </c>
      <c r="C211" s="2" t="s">
        <v>38</v>
      </c>
      <c r="D211" s="2" t="s">
        <v>14</v>
      </c>
      <c r="E211" s="2" t="s">
        <v>131</v>
      </c>
      <c r="F211" s="2" t="s">
        <v>80</v>
      </c>
      <c r="G211" s="2">
        <v>3</v>
      </c>
      <c r="H211" s="2">
        <v>499</v>
      </c>
      <c r="I211" s="2">
        <v>20</v>
      </c>
      <c r="J211" s="2" t="s">
        <v>26</v>
      </c>
      <c r="K211" s="2" t="s">
        <v>68</v>
      </c>
      <c r="L211" s="2" t="s">
        <v>224</v>
      </c>
      <c r="M211">
        <f t="shared" si="12"/>
        <v>1197.6000000000001</v>
      </c>
      <c r="N211" t="str">
        <f t="shared" si="13"/>
        <v>March</v>
      </c>
      <c r="O211" t="str">
        <f t="shared" si="14"/>
        <v>Low</v>
      </c>
      <c r="P211" s="4">
        <f t="shared" ca="1" si="15"/>
        <v>488</v>
      </c>
    </row>
    <row r="212" spans="1:16" x14ac:dyDescent="0.3">
      <c r="A212" s="2">
        <v>1211</v>
      </c>
      <c r="B212" s="2" t="s">
        <v>171</v>
      </c>
      <c r="C212" s="2" t="s">
        <v>309</v>
      </c>
      <c r="D212" s="2" t="s">
        <v>14</v>
      </c>
      <c r="E212" s="2" t="s">
        <v>15</v>
      </c>
      <c r="F212" s="2" t="s">
        <v>57</v>
      </c>
      <c r="G212" s="2">
        <v>6</v>
      </c>
      <c r="H212" s="2">
        <v>2499</v>
      </c>
      <c r="I212" s="2">
        <v>20</v>
      </c>
      <c r="J212" s="2" t="s">
        <v>61</v>
      </c>
      <c r="K212" s="2" t="s">
        <v>18</v>
      </c>
      <c r="L212" s="2" t="s">
        <v>138</v>
      </c>
      <c r="M212">
        <f t="shared" si="12"/>
        <v>11995.2</v>
      </c>
      <c r="N212" t="str">
        <f t="shared" si="13"/>
        <v>April</v>
      </c>
      <c r="O212" t="str">
        <f t="shared" si="14"/>
        <v>High</v>
      </c>
      <c r="P212" s="4">
        <f t="shared" ca="1" si="15"/>
        <v>444</v>
      </c>
    </row>
    <row r="213" spans="1:16" x14ac:dyDescent="0.3">
      <c r="A213" s="2">
        <v>1212</v>
      </c>
      <c r="B213" s="2" t="s">
        <v>378</v>
      </c>
      <c r="C213" s="2" t="s">
        <v>321</v>
      </c>
      <c r="D213" s="2" t="s">
        <v>33</v>
      </c>
      <c r="E213" s="2" t="s">
        <v>71</v>
      </c>
      <c r="F213" s="2" t="s">
        <v>67</v>
      </c>
      <c r="G213" s="2">
        <v>5</v>
      </c>
      <c r="H213" s="2">
        <v>2499</v>
      </c>
      <c r="I213" s="2">
        <v>0</v>
      </c>
      <c r="J213" s="2" t="s">
        <v>43</v>
      </c>
      <c r="K213" s="2" t="s">
        <v>406</v>
      </c>
      <c r="L213" s="2" t="s">
        <v>83</v>
      </c>
      <c r="M213">
        <f t="shared" si="12"/>
        <v>12495</v>
      </c>
      <c r="N213" t="str">
        <f t="shared" si="13"/>
        <v>May</v>
      </c>
      <c r="O213" t="str">
        <f t="shared" si="14"/>
        <v>High</v>
      </c>
      <c r="P213" s="4">
        <f t="shared" ca="1" si="15"/>
        <v>422</v>
      </c>
    </row>
    <row r="214" spans="1:16" x14ac:dyDescent="0.3">
      <c r="A214" s="2">
        <v>1213</v>
      </c>
      <c r="B214" s="2" t="s">
        <v>379</v>
      </c>
      <c r="C214" s="2" t="s">
        <v>309</v>
      </c>
      <c r="D214" s="2" t="s">
        <v>14</v>
      </c>
      <c r="E214" s="2" t="s">
        <v>15</v>
      </c>
      <c r="F214" s="2" t="s">
        <v>57</v>
      </c>
      <c r="G214" s="2">
        <v>6</v>
      </c>
      <c r="H214" s="2">
        <v>349</v>
      </c>
      <c r="I214" s="2">
        <v>5</v>
      </c>
      <c r="J214" s="2" t="s">
        <v>61</v>
      </c>
      <c r="K214" s="2" t="s">
        <v>407</v>
      </c>
      <c r="L214" s="2" t="s">
        <v>19</v>
      </c>
      <c r="M214">
        <f t="shared" si="12"/>
        <v>1989.3</v>
      </c>
      <c r="N214" t="str">
        <f t="shared" si="13"/>
        <v>August</v>
      </c>
      <c r="O214" t="str">
        <f t="shared" si="14"/>
        <v>Medium</v>
      </c>
      <c r="P214" s="4">
        <f t="shared" ca="1" si="15"/>
        <v>331</v>
      </c>
    </row>
    <row r="215" spans="1:16" x14ac:dyDescent="0.3">
      <c r="A215" s="2">
        <v>1214</v>
      </c>
      <c r="B215" s="2" t="s">
        <v>380</v>
      </c>
      <c r="C215" s="2" t="s">
        <v>143</v>
      </c>
      <c r="D215" s="2" t="s">
        <v>47</v>
      </c>
      <c r="E215" s="2" t="s">
        <v>131</v>
      </c>
      <c r="F215" s="2" t="s">
        <v>262</v>
      </c>
      <c r="G215" s="2">
        <v>3</v>
      </c>
      <c r="H215" s="2">
        <v>2499</v>
      </c>
      <c r="I215" s="2">
        <v>0</v>
      </c>
      <c r="J215" s="2" t="s">
        <v>29</v>
      </c>
      <c r="K215" s="2" t="s">
        <v>30</v>
      </c>
      <c r="L215" s="2" t="s">
        <v>19</v>
      </c>
      <c r="M215">
        <f t="shared" si="12"/>
        <v>7497</v>
      </c>
      <c r="N215" t="str">
        <f t="shared" si="13"/>
        <v>January</v>
      </c>
      <c r="O215" t="str">
        <f t="shared" si="14"/>
        <v>High</v>
      </c>
      <c r="P215" s="4">
        <f t="shared" ca="1" si="15"/>
        <v>534</v>
      </c>
    </row>
    <row r="216" spans="1:16" x14ac:dyDescent="0.3">
      <c r="A216" s="2">
        <v>1215</v>
      </c>
      <c r="B216" s="2" t="s">
        <v>381</v>
      </c>
      <c r="C216" s="2" t="s">
        <v>337</v>
      </c>
      <c r="D216" s="2" t="s">
        <v>14</v>
      </c>
      <c r="E216" s="2" t="s">
        <v>86</v>
      </c>
      <c r="F216" s="2" t="s">
        <v>87</v>
      </c>
      <c r="G216" s="2">
        <v>2</v>
      </c>
      <c r="H216" s="2">
        <v>899</v>
      </c>
      <c r="I216" s="2">
        <v>15</v>
      </c>
      <c r="J216" s="2" t="s">
        <v>61</v>
      </c>
      <c r="K216" s="2" t="s">
        <v>36</v>
      </c>
      <c r="L216" s="2" t="s">
        <v>19</v>
      </c>
      <c r="M216">
        <f t="shared" si="12"/>
        <v>1528.3</v>
      </c>
      <c r="N216" t="str">
        <f t="shared" si="13"/>
        <v>March</v>
      </c>
      <c r="O216" t="str">
        <f t="shared" si="14"/>
        <v>Medium</v>
      </c>
      <c r="P216" s="4">
        <f t="shared" ca="1" si="15"/>
        <v>483</v>
      </c>
    </row>
    <row r="217" spans="1:16" x14ac:dyDescent="0.3">
      <c r="A217" s="2">
        <v>1216</v>
      </c>
      <c r="B217" s="2" t="s">
        <v>315</v>
      </c>
      <c r="C217" s="2" t="s">
        <v>382</v>
      </c>
      <c r="D217" s="2" t="s">
        <v>47</v>
      </c>
      <c r="E217" s="2" t="s">
        <v>48</v>
      </c>
      <c r="F217" s="2" t="s">
        <v>60</v>
      </c>
      <c r="G217" s="2">
        <v>1</v>
      </c>
      <c r="H217" s="2">
        <v>2999</v>
      </c>
      <c r="I217" s="2">
        <v>15</v>
      </c>
      <c r="J217" s="2" t="s">
        <v>35</v>
      </c>
      <c r="K217" s="2" t="s">
        <v>18</v>
      </c>
      <c r="L217" s="2" t="s">
        <v>19</v>
      </c>
      <c r="M217">
        <f t="shared" si="12"/>
        <v>2549.15</v>
      </c>
      <c r="N217" t="str">
        <f t="shared" si="13"/>
        <v>April</v>
      </c>
      <c r="O217" t="str">
        <f t="shared" si="14"/>
        <v>Medium</v>
      </c>
      <c r="P217" s="4">
        <f t="shared" ca="1" si="15"/>
        <v>466</v>
      </c>
    </row>
    <row r="218" spans="1:16" x14ac:dyDescent="0.3">
      <c r="A218" s="2">
        <v>1217</v>
      </c>
      <c r="B218" s="2" t="s">
        <v>154</v>
      </c>
      <c r="C218" s="2" t="s">
        <v>89</v>
      </c>
      <c r="D218" s="2" t="s">
        <v>93</v>
      </c>
      <c r="E218" s="2" t="s">
        <v>48</v>
      </c>
      <c r="F218" s="2" t="s">
        <v>206</v>
      </c>
      <c r="G218" s="2">
        <v>5</v>
      </c>
      <c r="H218" s="2">
        <v>2999</v>
      </c>
      <c r="I218" s="2">
        <v>10</v>
      </c>
      <c r="J218" s="2" t="s">
        <v>26</v>
      </c>
      <c r="K218" s="2" t="s">
        <v>18</v>
      </c>
      <c r="L218" s="2" t="s">
        <v>19</v>
      </c>
      <c r="M218">
        <f t="shared" si="12"/>
        <v>13495.5</v>
      </c>
      <c r="N218" t="str">
        <f t="shared" si="13"/>
        <v>December</v>
      </c>
      <c r="O218" t="str">
        <f t="shared" si="14"/>
        <v>High</v>
      </c>
      <c r="P218" s="4">
        <f t="shared" ca="1" si="15"/>
        <v>200</v>
      </c>
    </row>
    <row r="219" spans="1:16" x14ac:dyDescent="0.3">
      <c r="A219" s="2">
        <v>1218</v>
      </c>
      <c r="B219" s="2" t="s">
        <v>175</v>
      </c>
      <c r="C219" s="2" t="s">
        <v>383</v>
      </c>
      <c r="D219" s="2" t="s">
        <v>14</v>
      </c>
      <c r="E219" s="2" t="s">
        <v>71</v>
      </c>
      <c r="F219" s="2" t="s">
        <v>72</v>
      </c>
      <c r="G219" s="2">
        <v>6</v>
      </c>
      <c r="H219" s="2">
        <v>999</v>
      </c>
      <c r="I219" s="2">
        <v>15</v>
      </c>
      <c r="J219" s="2" t="s">
        <v>26</v>
      </c>
      <c r="K219" s="2" t="s">
        <v>406</v>
      </c>
      <c r="L219" s="2" t="s">
        <v>83</v>
      </c>
      <c r="M219">
        <f t="shared" si="12"/>
        <v>5094.8999999999996</v>
      </c>
      <c r="N219" t="str">
        <f t="shared" si="13"/>
        <v>July</v>
      </c>
      <c r="O219" t="str">
        <f t="shared" si="14"/>
        <v>High</v>
      </c>
      <c r="P219" s="4">
        <f t="shared" ca="1" si="15"/>
        <v>371</v>
      </c>
    </row>
    <row r="220" spans="1:16" x14ac:dyDescent="0.3">
      <c r="A220" s="2">
        <v>1219</v>
      </c>
      <c r="B220" s="2" t="s">
        <v>384</v>
      </c>
      <c r="C220" s="2" t="s">
        <v>305</v>
      </c>
      <c r="D220" s="2" t="s">
        <v>22</v>
      </c>
      <c r="E220" s="2" t="s">
        <v>131</v>
      </c>
      <c r="F220" s="2" t="s">
        <v>80</v>
      </c>
      <c r="G220" s="2">
        <v>8</v>
      </c>
      <c r="H220" s="2">
        <v>599</v>
      </c>
      <c r="I220" s="2">
        <v>0</v>
      </c>
      <c r="J220" s="2" t="s">
        <v>26</v>
      </c>
      <c r="K220" s="2" t="s">
        <v>44</v>
      </c>
      <c r="L220" s="2" t="s">
        <v>83</v>
      </c>
      <c r="M220">
        <f t="shared" si="12"/>
        <v>4792</v>
      </c>
      <c r="N220" t="str">
        <f t="shared" si="13"/>
        <v>June</v>
      </c>
      <c r="O220" t="str">
        <f t="shared" si="14"/>
        <v>Medium</v>
      </c>
      <c r="P220" s="4">
        <f t="shared" ca="1" si="15"/>
        <v>380</v>
      </c>
    </row>
    <row r="221" spans="1:16" x14ac:dyDescent="0.3">
      <c r="A221" s="2">
        <v>1220</v>
      </c>
      <c r="B221" s="2" t="s">
        <v>385</v>
      </c>
      <c r="C221" s="2" t="s">
        <v>123</v>
      </c>
      <c r="D221" s="2" t="s">
        <v>39</v>
      </c>
      <c r="E221" s="2" t="s">
        <v>48</v>
      </c>
      <c r="F221" s="2" t="s">
        <v>206</v>
      </c>
      <c r="G221" s="2">
        <v>5</v>
      </c>
      <c r="H221" s="2">
        <v>899</v>
      </c>
      <c r="I221" s="2">
        <v>10</v>
      </c>
      <c r="J221" s="2" t="s">
        <v>17</v>
      </c>
      <c r="K221" s="2" t="s">
        <v>44</v>
      </c>
      <c r="L221" s="2" t="s">
        <v>19</v>
      </c>
      <c r="M221">
        <f t="shared" si="12"/>
        <v>4045.5</v>
      </c>
      <c r="N221" t="str">
        <f t="shared" si="13"/>
        <v>November</v>
      </c>
      <c r="O221" t="str">
        <f t="shared" si="14"/>
        <v>Medium</v>
      </c>
      <c r="P221" s="4">
        <f t="shared" ca="1" si="15"/>
        <v>231</v>
      </c>
    </row>
    <row r="222" spans="1:16" x14ac:dyDescent="0.3">
      <c r="A222" s="2">
        <v>1221</v>
      </c>
      <c r="B222" s="2" t="s">
        <v>334</v>
      </c>
      <c r="C222" s="2" t="s">
        <v>407</v>
      </c>
      <c r="D222" s="2" t="s">
        <v>47</v>
      </c>
      <c r="E222" s="2" t="s">
        <v>71</v>
      </c>
      <c r="F222" s="2" t="s">
        <v>42</v>
      </c>
      <c r="G222" s="2">
        <v>1</v>
      </c>
      <c r="H222" s="2">
        <v>899</v>
      </c>
      <c r="I222" s="2">
        <v>0</v>
      </c>
      <c r="J222" s="2" t="s">
        <v>29</v>
      </c>
      <c r="K222" s="2" t="s">
        <v>18</v>
      </c>
      <c r="L222" s="2" t="s">
        <v>19</v>
      </c>
      <c r="M222">
        <f t="shared" si="12"/>
        <v>899</v>
      </c>
      <c r="N222" t="str">
        <f t="shared" si="13"/>
        <v>January</v>
      </c>
      <c r="O222" t="str">
        <f t="shared" si="14"/>
        <v>Low</v>
      </c>
      <c r="P222" s="4">
        <f t="shared" ca="1" si="15"/>
        <v>527</v>
      </c>
    </row>
    <row r="223" spans="1:16" x14ac:dyDescent="0.3">
      <c r="A223" s="2">
        <v>1222</v>
      </c>
      <c r="B223" s="2" t="s">
        <v>238</v>
      </c>
      <c r="C223" s="2" t="s">
        <v>386</v>
      </c>
      <c r="D223" s="2" t="s">
        <v>47</v>
      </c>
      <c r="E223" s="2" t="s">
        <v>131</v>
      </c>
      <c r="F223" s="2" t="s">
        <v>262</v>
      </c>
      <c r="G223" s="2">
        <v>5</v>
      </c>
      <c r="H223" s="2">
        <v>1999</v>
      </c>
      <c r="I223" s="2">
        <v>10</v>
      </c>
      <c r="J223" s="2" t="s">
        <v>26</v>
      </c>
      <c r="K223" s="2" t="s">
        <v>44</v>
      </c>
      <c r="L223" s="2" t="s">
        <v>19</v>
      </c>
      <c r="M223">
        <f t="shared" si="12"/>
        <v>8995.5</v>
      </c>
      <c r="N223" t="str">
        <f t="shared" si="13"/>
        <v>July</v>
      </c>
      <c r="O223" t="str">
        <f t="shared" si="14"/>
        <v>High</v>
      </c>
      <c r="P223" s="4">
        <f t="shared" ca="1" si="15"/>
        <v>354</v>
      </c>
    </row>
    <row r="224" spans="1:16" x14ac:dyDescent="0.3">
      <c r="A224" s="2">
        <v>1223</v>
      </c>
      <c r="B224" s="2" t="s">
        <v>387</v>
      </c>
      <c r="C224" s="2" t="s">
        <v>185</v>
      </c>
      <c r="D224" s="2" t="s">
        <v>14</v>
      </c>
      <c r="E224" s="2" t="s">
        <v>71</v>
      </c>
      <c r="F224" s="2" t="s">
        <v>54</v>
      </c>
      <c r="G224" s="2">
        <v>5</v>
      </c>
      <c r="H224" s="2">
        <v>4999</v>
      </c>
      <c r="I224" s="2">
        <v>5</v>
      </c>
      <c r="J224" s="2" t="s">
        <v>35</v>
      </c>
      <c r="K224" s="2" t="s">
        <v>406</v>
      </c>
      <c r="L224" s="2" t="s">
        <v>19</v>
      </c>
      <c r="M224">
        <f t="shared" si="12"/>
        <v>23745.25</v>
      </c>
      <c r="N224" t="str">
        <f t="shared" si="13"/>
        <v>September</v>
      </c>
      <c r="O224" t="str">
        <f t="shared" si="14"/>
        <v>High</v>
      </c>
      <c r="P224" s="4">
        <f t="shared" ca="1" si="15"/>
        <v>299</v>
      </c>
    </row>
    <row r="225" spans="1:16" x14ac:dyDescent="0.3">
      <c r="A225" s="2">
        <v>1224</v>
      </c>
      <c r="B225" s="2" t="s">
        <v>388</v>
      </c>
      <c r="C225" s="2" t="s">
        <v>264</v>
      </c>
      <c r="D225" s="2" t="s">
        <v>33</v>
      </c>
      <c r="E225" s="2" t="s">
        <v>71</v>
      </c>
      <c r="F225" s="2" t="s">
        <v>67</v>
      </c>
      <c r="G225" s="2">
        <v>5</v>
      </c>
      <c r="H225" s="2">
        <v>899</v>
      </c>
      <c r="I225" s="2">
        <v>10</v>
      </c>
      <c r="J225" s="2" t="s">
        <v>17</v>
      </c>
      <c r="K225" s="2" t="s">
        <v>406</v>
      </c>
      <c r="L225" s="2" t="s">
        <v>19</v>
      </c>
      <c r="M225">
        <f t="shared" si="12"/>
        <v>4045.5</v>
      </c>
      <c r="N225" t="str">
        <f t="shared" si="13"/>
        <v>April</v>
      </c>
      <c r="O225" t="str">
        <f t="shared" si="14"/>
        <v>Medium</v>
      </c>
      <c r="P225" s="4">
        <f t="shared" ca="1" si="15"/>
        <v>444</v>
      </c>
    </row>
    <row r="226" spans="1:16" x14ac:dyDescent="0.3">
      <c r="A226" s="2">
        <v>1225</v>
      </c>
      <c r="B226" s="2" t="s">
        <v>389</v>
      </c>
      <c r="C226" s="2" t="s">
        <v>82</v>
      </c>
      <c r="D226" s="2" t="s">
        <v>93</v>
      </c>
      <c r="E226" s="2" t="s">
        <v>15</v>
      </c>
      <c r="F226" s="2" t="s">
        <v>57</v>
      </c>
      <c r="G226" s="2">
        <v>5</v>
      </c>
      <c r="H226" s="2">
        <v>699</v>
      </c>
      <c r="I226" s="2">
        <v>5</v>
      </c>
      <c r="J226" s="2" t="s">
        <v>26</v>
      </c>
      <c r="K226" s="2" t="s">
        <v>68</v>
      </c>
      <c r="L226" s="2" t="s">
        <v>19</v>
      </c>
      <c r="M226">
        <f t="shared" si="12"/>
        <v>3320.25</v>
      </c>
      <c r="N226" t="str">
        <f t="shared" si="13"/>
        <v>October</v>
      </c>
      <c r="O226" t="str">
        <f t="shared" si="14"/>
        <v>Medium</v>
      </c>
      <c r="P226" s="4">
        <f t="shared" ca="1" si="15"/>
        <v>263</v>
      </c>
    </row>
    <row r="227" spans="1:16" x14ac:dyDescent="0.3">
      <c r="A227" s="2">
        <v>1226</v>
      </c>
      <c r="B227" s="2" t="s">
        <v>390</v>
      </c>
      <c r="C227" s="2" t="s">
        <v>283</v>
      </c>
      <c r="D227" s="2" t="s">
        <v>14</v>
      </c>
      <c r="E227" s="2" t="s">
        <v>86</v>
      </c>
      <c r="F227" s="2" t="s">
        <v>87</v>
      </c>
      <c r="G227" s="2">
        <v>5</v>
      </c>
      <c r="H227" s="2">
        <v>4999</v>
      </c>
      <c r="I227" s="2">
        <v>0</v>
      </c>
      <c r="J227" s="2" t="s">
        <v>43</v>
      </c>
      <c r="K227" s="2" t="s">
        <v>30</v>
      </c>
      <c r="L227" s="2" t="s">
        <v>19</v>
      </c>
      <c r="M227">
        <f t="shared" si="12"/>
        <v>24995</v>
      </c>
      <c r="N227" t="str">
        <f t="shared" si="13"/>
        <v>January</v>
      </c>
      <c r="O227" t="str">
        <f t="shared" si="14"/>
        <v>High</v>
      </c>
      <c r="P227" s="4">
        <f t="shared" ca="1" si="15"/>
        <v>553</v>
      </c>
    </row>
    <row r="228" spans="1:16" x14ac:dyDescent="0.3">
      <c r="A228" s="2">
        <v>1227</v>
      </c>
      <c r="B228" s="2" t="s">
        <v>387</v>
      </c>
      <c r="C228" s="2" t="s">
        <v>248</v>
      </c>
      <c r="D228" s="2" t="s">
        <v>93</v>
      </c>
      <c r="E228" s="2" t="s">
        <v>131</v>
      </c>
      <c r="F228" s="2" t="s">
        <v>97</v>
      </c>
      <c r="G228" s="2">
        <v>8</v>
      </c>
      <c r="H228" s="2">
        <v>1499</v>
      </c>
      <c r="I228" s="2">
        <v>0</v>
      </c>
      <c r="J228" s="2" t="s">
        <v>17</v>
      </c>
      <c r="K228" s="2" t="s">
        <v>36</v>
      </c>
      <c r="L228" s="2" t="s">
        <v>19</v>
      </c>
      <c r="M228">
        <f t="shared" si="12"/>
        <v>11992</v>
      </c>
      <c r="N228" t="str">
        <f t="shared" si="13"/>
        <v>September</v>
      </c>
      <c r="O228" t="str">
        <f t="shared" si="14"/>
        <v>High</v>
      </c>
      <c r="P228" s="4">
        <f t="shared" ca="1" si="15"/>
        <v>299</v>
      </c>
    </row>
    <row r="229" spans="1:16" x14ac:dyDescent="0.3">
      <c r="A229" s="2">
        <v>1228</v>
      </c>
      <c r="B229" s="2" t="s">
        <v>391</v>
      </c>
      <c r="C229" s="2" t="s">
        <v>392</v>
      </c>
      <c r="D229" s="2" t="s">
        <v>93</v>
      </c>
      <c r="E229" s="2" t="s">
        <v>48</v>
      </c>
      <c r="F229" s="2" t="s">
        <v>94</v>
      </c>
      <c r="G229" s="2">
        <v>6</v>
      </c>
      <c r="H229" s="2">
        <v>1999</v>
      </c>
      <c r="I229" s="2">
        <v>15</v>
      </c>
      <c r="J229" s="2" t="s">
        <v>35</v>
      </c>
      <c r="K229" s="2" t="s">
        <v>406</v>
      </c>
      <c r="L229" s="2" t="s">
        <v>19</v>
      </c>
      <c r="M229">
        <f t="shared" si="12"/>
        <v>10194.9</v>
      </c>
      <c r="N229" t="str">
        <f t="shared" si="13"/>
        <v>August</v>
      </c>
      <c r="O229" t="str">
        <f t="shared" si="14"/>
        <v>High</v>
      </c>
      <c r="P229" s="4">
        <f t="shared" ca="1" si="15"/>
        <v>315</v>
      </c>
    </row>
    <row r="230" spans="1:16" x14ac:dyDescent="0.3">
      <c r="A230" s="2">
        <v>1229</v>
      </c>
      <c r="B230" s="2" t="s">
        <v>393</v>
      </c>
      <c r="C230" s="2" t="s">
        <v>242</v>
      </c>
      <c r="D230" s="2" t="s">
        <v>22</v>
      </c>
      <c r="E230" s="6" t="s">
        <v>15</v>
      </c>
      <c r="F230" s="2" t="s">
        <v>16</v>
      </c>
      <c r="G230" s="2">
        <v>3</v>
      </c>
      <c r="H230" s="2">
        <v>2999</v>
      </c>
      <c r="I230" s="2">
        <v>20</v>
      </c>
      <c r="J230" s="2" t="s">
        <v>26</v>
      </c>
      <c r="K230" s="2" t="s">
        <v>44</v>
      </c>
      <c r="L230" s="2" t="s">
        <v>83</v>
      </c>
      <c r="M230">
        <f t="shared" si="12"/>
        <v>7197.6</v>
      </c>
      <c r="N230" t="str">
        <f t="shared" si="13"/>
        <v>October</v>
      </c>
      <c r="O230" t="str">
        <f t="shared" si="14"/>
        <v>High</v>
      </c>
      <c r="P230" s="4">
        <f t="shared" ca="1" si="15"/>
        <v>272</v>
      </c>
    </row>
    <row r="231" spans="1:16" x14ac:dyDescent="0.3">
      <c r="A231" s="2">
        <v>1230</v>
      </c>
      <c r="B231" s="2" t="s">
        <v>302</v>
      </c>
      <c r="C231" s="2" t="s">
        <v>394</v>
      </c>
      <c r="D231" s="2" t="s">
        <v>121</v>
      </c>
      <c r="E231" s="2" t="s">
        <v>86</v>
      </c>
      <c r="F231" s="2" t="s">
        <v>77</v>
      </c>
      <c r="G231" s="2">
        <v>6</v>
      </c>
      <c r="H231" s="2">
        <v>999</v>
      </c>
      <c r="I231" s="2">
        <v>10</v>
      </c>
      <c r="J231" s="2" t="s">
        <v>17</v>
      </c>
      <c r="K231" s="2" t="s">
        <v>406</v>
      </c>
      <c r="L231" s="2" t="s">
        <v>19</v>
      </c>
      <c r="M231">
        <f t="shared" si="12"/>
        <v>5394.6</v>
      </c>
      <c r="N231" t="str">
        <f t="shared" si="13"/>
        <v>January</v>
      </c>
      <c r="O231" t="str">
        <f t="shared" si="14"/>
        <v>High</v>
      </c>
      <c r="P231" s="4">
        <f t="shared" ca="1" si="15"/>
        <v>526</v>
      </c>
    </row>
    <row r="235" spans="1:16" x14ac:dyDescent="0.3">
      <c r="A235" s="5" t="s">
        <v>412</v>
      </c>
      <c r="E235">
        <f>SUMIFS(M:M,D:D,"North")</f>
        <v>328973.19999999995</v>
      </c>
    </row>
    <row r="238" spans="1:16" x14ac:dyDescent="0.3">
      <c r="A238" s="5" t="s">
        <v>413</v>
      </c>
      <c r="F238">
        <f>SUMIFS(M:M,E:E,"Furniture")</f>
        <v>387024.54999999987</v>
      </c>
    </row>
    <row r="241" spans="1:5" x14ac:dyDescent="0.3">
      <c r="A241" s="5" t="s">
        <v>414</v>
      </c>
      <c r="E241">
        <f>AVERAGEIFS(M:M,K:K,"UPI")</f>
        <v>6496.737500000002</v>
      </c>
    </row>
    <row r="244" spans="1:5" x14ac:dyDescent="0.3">
      <c r="A244" s="5" t="s">
        <v>415</v>
      </c>
      <c r="E244">
        <f>COUNTIFS(J:J, "Rahul Mehta")</f>
        <v>49</v>
      </c>
    </row>
    <row r="248" spans="1:5" x14ac:dyDescent="0.3">
      <c r="A248" s="5" t="s">
        <v>416</v>
      </c>
    </row>
    <row r="253" spans="1:5" x14ac:dyDescent="0.3">
      <c r="C253">
        <f>COUNTA(D:D)-SUMPRODUCT((D2:D234=D2:D234))</f>
        <v>231</v>
      </c>
    </row>
    <row r="255" spans="1:5" x14ac:dyDescent="0.3">
      <c r="C255">
        <f>LEN(D2)</f>
        <v>4</v>
      </c>
    </row>
    <row r="281" spans="3:3" x14ac:dyDescent="0.3">
      <c r="C281" t="b">
        <f>EXACT(D9,D15)</f>
        <v>1</v>
      </c>
    </row>
  </sheetData>
  <conditionalFormatting sqref="B2">
    <cfRule type="duplicateValues" dxfId="1" priority="2"/>
  </conditionalFormatting>
  <conditionalFormatting sqref="A2:A200">
    <cfRule type="duplicateValues" dxfId="0" priority="4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workbookViewId="0">
      <selection activeCell="C5" sqref="C5"/>
    </sheetView>
  </sheetViews>
  <sheetFormatPr defaultRowHeight="14.4" x14ac:dyDescent="0.3"/>
  <cols>
    <col min="1" max="1" width="90" customWidth="1"/>
    <col min="3" max="3" width="18.77734375" bestFit="1" customWidth="1"/>
    <col min="4" max="4" width="15.5546875" bestFit="1" customWidth="1"/>
    <col min="5" max="7" width="10" bestFit="1" customWidth="1"/>
    <col min="8" max="8" width="9.6640625" bestFit="1" customWidth="1"/>
    <col min="9" max="9" width="10.77734375" bestFit="1" customWidth="1"/>
    <col min="10" max="13" width="10" bestFit="1" customWidth="1"/>
    <col min="14" max="14" width="10.5546875" bestFit="1" customWidth="1"/>
    <col min="15" max="19" width="10" bestFit="1" customWidth="1"/>
    <col min="20" max="20" width="11" bestFit="1" customWidth="1"/>
    <col min="21" max="25" width="10" bestFit="1" customWidth="1"/>
    <col min="26" max="26" width="10.6640625" bestFit="1" customWidth="1"/>
    <col min="27" max="30" width="10" bestFit="1" customWidth="1"/>
    <col min="31" max="31" width="11.109375" bestFit="1" customWidth="1"/>
    <col min="32" max="36" width="10" bestFit="1" customWidth="1"/>
    <col min="37" max="37" width="9.88671875" bestFit="1" customWidth="1"/>
    <col min="38" max="41" width="9.6640625" bestFit="1" customWidth="1"/>
    <col min="42" max="42" width="10.33203125" bestFit="1" customWidth="1"/>
    <col min="43" max="43" width="10.77734375" bestFit="1" customWidth="1"/>
  </cols>
  <sheetData>
    <row r="1" spans="1:9" ht="16.8" x14ac:dyDescent="0.3">
      <c r="A1" s="3" t="s">
        <v>395</v>
      </c>
    </row>
    <row r="2" spans="1:9" x14ac:dyDescent="0.3">
      <c r="A2" s="2"/>
      <c r="C2" s="7" t="s">
        <v>420</v>
      </c>
      <c r="D2" s="7" t="s">
        <v>419</v>
      </c>
    </row>
    <row r="3" spans="1:9" x14ac:dyDescent="0.3">
      <c r="A3" s="2" t="s">
        <v>396</v>
      </c>
      <c r="C3" s="7" t="s">
        <v>417</v>
      </c>
      <c r="D3" t="s">
        <v>48</v>
      </c>
      <c r="E3" t="s">
        <v>131</v>
      </c>
      <c r="F3" t="s">
        <v>15</v>
      </c>
      <c r="G3" t="s">
        <v>71</v>
      </c>
      <c r="H3" t="s">
        <v>86</v>
      </c>
      <c r="I3" t="s">
        <v>418</v>
      </c>
    </row>
    <row r="4" spans="1:9" x14ac:dyDescent="0.3">
      <c r="A4" s="2" t="s">
        <v>397</v>
      </c>
      <c r="C4" s="8" t="s">
        <v>14</v>
      </c>
      <c r="D4" s="4">
        <v>69286.55</v>
      </c>
      <c r="E4" s="4">
        <v>39875.449999999997</v>
      </c>
      <c r="F4" s="4">
        <v>104309.84999999999</v>
      </c>
      <c r="G4" s="4">
        <v>41559.35</v>
      </c>
      <c r="H4" s="4">
        <v>73751.600000000006</v>
      </c>
      <c r="I4" s="4">
        <v>328782.8</v>
      </c>
    </row>
    <row r="5" spans="1:9" x14ac:dyDescent="0.3">
      <c r="A5" s="2"/>
      <c r="C5" s="8" t="s">
        <v>47</v>
      </c>
      <c r="D5" s="4">
        <v>12359.199999999999</v>
      </c>
      <c r="E5" s="4">
        <v>58953</v>
      </c>
      <c r="F5" s="4">
        <v>117968.34999999999</v>
      </c>
      <c r="G5" s="4">
        <v>92933.900000000009</v>
      </c>
      <c r="H5" s="4">
        <v>46758.75</v>
      </c>
      <c r="I5" s="4">
        <v>328973.2</v>
      </c>
    </row>
    <row r="6" spans="1:9" x14ac:dyDescent="0.3">
      <c r="A6" s="2" t="s">
        <v>398</v>
      </c>
      <c r="C6" s="8" t="s">
        <v>121</v>
      </c>
      <c r="D6" s="4">
        <v>13638.099999999999</v>
      </c>
      <c r="E6" s="4">
        <v>28640.700000000004</v>
      </c>
      <c r="F6" s="4">
        <v>7996.8</v>
      </c>
      <c r="G6" s="4">
        <v>34067.199999999997</v>
      </c>
      <c r="H6" s="4">
        <v>33471.5</v>
      </c>
      <c r="I6" s="4">
        <v>117814.3</v>
      </c>
    </row>
    <row r="7" spans="1:9" x14ac:dyDescent="0.3">
      <c r="A7" s="2" t="s">
        <v>399</v>
      </c>
      <c r="C7" s="8" t="s">
        <v>93</v>
      </c>
      <c r="D7" s="4">
        <v>30983.050000000003</v>
      </c>
      <c r="E7" s="4">
        <v>76954.549999999988</v>
      </c>
      <c r="F7" s="4">
        <v>56353.85</v>
      </c>
      <c r="G7" s="4">
        <v>85812.799999999988</v>
      </c>
      <c r="H7" s="4">
        <v>52099.8</v>
      </c>
      <c r="I7" s="4">
        <v>302204.05</v>
      </c>
    </row>
    <row r="8" spans="1:9" x14ac:dyDescent="0.3">
      <c r="A8" s="2" t="s">
        <v>400</v>
      </c>
      <c r="C8" s="8" t="s">
        <v>22</v>
      </c>
      <c r="D8" s="4">
        <v>20211.75</v>
      </c>
      <c r="E8" s="4">
        <v>53726.45</v>
      </c>
      <c r="F8" s="4">
        <v>54295.299999999996</v>
      </c>
      <c r="G8" s="4"/>
      <c r="H8" s="4">
        <v>4792</v>
      </c>
      <c r="I8" s="4">
        <v>133025.5</v>
      </c>
    </row>
    <row r="9" spans="1:9" x14ac:dyDescent="0.3">
      <c r="A9" s="2" t="s">
        <v>401</v>
      </c>
      <c r="C9" s="8" t="s">
        <v>33</v>
      </c>
      <c r="D9" s="4">
        <v>69289.7</v>
      </c>
      <c r="E9" s="4">
        <v>67884.2</v>
      </c>
      <c r="F9" s="4">
        <v>35861.1</v>
      </c>
      <c r="G9" s="4">
        <v>28430</v>
      </c>
      <c r="H9" s="4">
        <v>16702.050000000003</v>
      </c>
      <c r="I9" s="4">
        <v>218167.05</v>
      </c>
    </row>
    <row r="10" spans="1:9" x14ac:dyDescent="0.3">
      <c r="A10" s="2" t="s">
        <v>402</v>
      </c>
      <c r="C10" s="8" t="s">
        <v>39</v>
      </c>
      <c r="D10" s="4">
        <v>35233.5</v>
      </c>
      <c r="E10" s="4"/>
      <c r="F10" s="4">
        <v>10239.299999999999</v>
      </c>
      <c r="G10" s="4">
        <v>17994</v>
      </c>
      <c r="H10" s="4">
        <v>6033.9000000000005</v>
      </c>
      <c r="I10" s="4">
        <v>69500.7</v>
      </c>
    </row>
    <row r="11" spans="1:9" x14ac:dyDescent="0.3">
      <c r="A11" s="2" t="s">
        <v>403</v>
      </c>
      <c r="C11" s="8" t="s">
        <v>418</v>
      </c>
      <c r="D11" s="4">
        <v>251001.85000000003</v>
      </c>
      <c r="E11" s="4">
        <v>326034.34999999998</v>
      </c>
      <c r="F11" s="4">
        <v>387024.54999999993</v>
      </c>
      <c r="G11" s="4">
        <v>300797.25</v>
      </c>
      <c r="H11" s="4">
        <v>233609.60000000001</v>
      </c>
      <c r="I11" s="4">
        <v>1498467.6</v>
      </c>
    </row>
    <row r="12" spans="1:9" x14ac:dyDescent="0.3">
      <c r="A12" s="2" t="s">
        <v>404</v>
      </c>
    </row>
    <row r="13" spans="1:9" x14ac:dyDescent="0.3">
      <c r="A13" s="2"/>
    </row>
    <row r="14" spans="1:9" x14ac:dyDescent="0.3">
      <c r="A14" s="2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</vt:lpstr>
      <vt:lpstr>Read_Me_First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DC</cp:lastModifiedBy>
  <dcterms:created xsi:type="dcterms:W3CDTF">2026-07-09T05:19:03Z</dcterms:created>
  <dcterms:modified xsi:type="dcterms:W3CDTF">2026-07-11T08:16:26Z</dcterms:modified>
</cp:coreProperties>
</file>